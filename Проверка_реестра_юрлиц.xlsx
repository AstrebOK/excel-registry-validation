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Инструкция" sheetId="1" state="visible" r:id="rId3"/>
    <sheet name="Сводная" sheetId="2" state="visible" r:id="rId4"/>
    <sheet name="Реестр" sheetId="3" state="visible" r:id="rId5"/>
    <sheet name="Ошибки" sheetId="4" state="visible" r:id="rId6"/>
    <sheet name="Финальный реестр" sheetId="5" state="visible" r:id="rId7"/>
    <sheet name="Справочники" sheetId="6" state="visible" r:id="rId8"/>
  </sheets>
  <definedNames>
    <definedName function="false" hidden="true" localSheetId="2" name="_xlnm._FilterDatabase" vbProcedure="false">Реестр!$A$1:$W$401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<sst xmlns="http://schemas.openxmlformats.org/spreadsheetml/2006/main" count="3298" uniqueCount="3237">
  <si>
    <t xml:space="preserve">Проверка реестра подключаемых юридических лиц</t>
  </si>
  <si>
    <t xml:space="preserve">Учебный проект в Excel. Автор: Белорусцев Матвей Дмитриевич</t>
  </si>
  <si>
    <t xml:space="preserve">Задача</t>
  </si>
  <si>
    <t xml:space="preserve">Цель</t>
  </si>
  <si>
    <t xml:space="preserve">Смоделировать рабочую задачу аналитика по внедрению продукта: проверить данные о подключаемых организациях, найти ошибки, подготовить обратную связь для клиентов и итоговый реестр для передачи.</t>
  </si>
  <si>
    <t xml:space="preserve">Результат</t>
  </si>
  <si>
    <t xml:space="preserve">400 организаций проверяются автоматически по 7 группам правил. Ошибки подсвечиваются, собираются в отдельный список с готовым текстом сообщения клиенту, а корректные записи попадают в финальный реестр.</t>
  </si>
  <si>
    <t xml:space="preserve">Листы файла</t>
  </si>
  <si>
    <t xml:space="preserve">Сводная</t>
  </si>
  <si>
    <t xml:space="preserve">Ключевые показатели, ошибки по типам (с диаграммой), результаты по регионам. Сводка построена формулами СЧЁТЕСЛИ / СЧЁТЕСЛИМН / СУММПРОИЗВ и содержит контрольные суммы.</t>
  </si>
  <si>
    <t xml:space="preserve">Реестр</t>
  </si>
  <si>
    <t xml:space="preserve">Исходные данные (синий шрифт, столбцы B–I) и проверки (коричневые заголовки). Красная заливка в ячейке данных означает найденную ошибку. Фильтры включены.</t>
  </si>
  <si>
    <t xml:space="preserve">Ошибки</t>
  </si>
  <si>
    <t xml:space="preserve">Автоматический список проблемных записей: описание ошибок и готовый текст сообщения клиенту.</t>
  </si>
  <si>
    <t xml:space="preserve">Финальный реестр</t>
  </si>
  <si>
    <t xml:space="preserve">Только записи со статусом «Готово к передаче».</t>
  </si>
  <si>
    <t xml:space="preserve">Справочники</t>
  </si>
  <si>
    <t xml:space="preserve">Коды регионов для функции ВПР.</t>
  </si>
  <si>
    <t xml:space="preserve">Что проверяется</t>
  </si>
  <si>
    <t xml:space="preserve">ИНН</t>
  </si>
  <si>
    <t xml:space="preserve">Не пустой; 10 цифр (юридическое лицо); только цифры; контрольная цифра по алгоритму ФНС (веса 2, 4, 10, 3, 5, 9, 4, 6, 8; остаток от деления на 11, затем на 10).</t>
  </si>
  <si>
    <t xml:space="preserve">ОГРН</t>
  </si>
  <si>
    <t xml:space="preserve">Не пустой; 13 цифр; только цифры; контрольная цифра = остаток от деления первых 12 цифр на 11 (если 10, то 0).</t>
  </si>
  <si>
    <t xml:space="preserve">КПП</t>
  </si>
  <si>
    <t xml:space="preserve">Не пустой; 9 знаков; формат; первые две цифры (регион) совпадают с ИНН.</t>
  </si>
  <si>
    <t xml:space="preserve">Дубликат ИНН</t>
  </si>
  <si>
    <t xml:space="preserve">ИНН не должен повторяться в реестре (СЧЁТЕСЛИ).</t>
  </si>
  <si>
    <t xml:space="preserve">Email</t>
  </si>
  <si>
    <t xml:space="preserve">Один символ @, точка после @, нет пробелов, не начинается с @ и не заканчивается точкой (упрощённая проверка).</t>
  </si>
  <si>
    <t xml:space="preserve">Телефон</t>
  </si>
  <si>
    <t xml:space="preserve">После удаления пробелов, дефисов, скобок и плюса остаётся 11 цифр, начинается с 7 или 8.</t>
  </si>
  <si>
    <t xml:space="preserve">Обязательные поля</t>
  </si>
  <si>
    <t xml:space="preserve">Заполнены наименование, адрес и контактное лицо.</t>
  </si>
  <si>
    <t xml:space="preserve">Как использовать со своими данными</t>
  </si>
  <si>
    <t xml:space="preserve">Шаги</t>
  </si>
  <si>
    <t xml:space="preserve">1) Вставьте свои данные в столбцы B–I листа «Реестр», строки 2–401 (ИНН, ОГРН, КПП и телефон — как текст, чтобы не потерять ведущие нули). 2) Все проверки, сводка, список ошибок и финальный реестр пересчитаются сами. 3) Если записей больше 400, протяните формулы вниз и расширьте диапазоны.</t>
  </si>
  <si>
    <t xml:space="preserve">Реальная проверка</t>
  </si>
  <si>
    <t xml:space="preserve">Файл проверяет формат и контрольные цифры. Существование организации и актуальность реквизитов в работе нужно сверять по публичным государственным ресурсам (например, ЕГРЮЛ на сайте ФНС).</t>
  </si>
  <si>
    <t xml:space="preserve">Допущения</t>
  </si>
  <si>
    <t xml:space="preserve">Данные</t>
  </si>
  <si>
    <t xml:space="preserve">Все организации, ИНН, ОГРН, КПП, адреса, контакты, телефоны и email вымышлены и сгенерированы программой. Контрольные цифры подобраны по алгоритму, поэтому совпадения с реальными организациями случайны. Ошибки внесены намеренно (около трети записей). Email-адреса используют зарезервированный домен .example.</t>
  </si>
  <si>
    <t xml:space="preserve">Регион</t>
  </si>
  <si>
    <t xml:space="preserve">Регион определяется по первым двум цифрам ИНН через ВПР. В справочнике 15 регионов — это учебное допущение, не полный список.</t>
  </si>
  <si>
    <t xml:space="preserve">Сводка по проверке реестра подключаемых организаций</t>
  </si>
  <si>
    <t xml:space="preserve">Все числа считаются формулами по листу «Реестр» и пересчитываются при изменении данных.</t>
  </si>
  <si>
    <t xml:space="preserve">Показатель</t>
  </si>
  <si>
    <t xml:space="preserve">Значение</t>
  </si>
  <si>
    <t xml:space="preserve">Всего организаций в реестре</t>
  </si>
  <si>
    <t xml:space="preserve">Готово к передаче</t>
  </si>
  <si>
    <t xml:space="preserve">Требуют исправления</t>
  </si>
  <si>
    <t xml:space="preserve">Доля готовых записей</t>
  </si>
  <si>
    <t xml:space="preserve">Всего найдено ошибок</t>
  </si>
  <si>
    <t xml:space="preserve">В среднем ошибок на проблемную запись</t>
  </si>
  <si>
    <t xml:space="preserve">Ошибки по типам</t>
  </si>
  <si>
    <t xml:space="preserve">Тип ошибки</t>
  </si>
  <si>
    <t xml:space="preserve">Записей с ошибкой</t>
  </si>
  <si>
    <t xml:space="preserve">Доля от всех записей</t>
  </si>
  <si>
    <t xml:space="preserve">ИНН (пустой, длина, символы, контрольная цифра)</t>
  </si>
  <si>
    <t xml:space="preserve">ОГРН (пустой, длина, символы, контрольная цифра)</t>
  </si>
  <si>
    <t xml:space="preserve">КПП (пустой, формат, регион не совпадает с ИНН)</t>
  </si>
  <si>
    <t xml:space="preserve">Обязательные поля (наименование, адрес, контакт)</t>
  </si>
  <si>
    <t xml:space="preserve">Итого ошибок (должно совпасть с «Всего найдено ошибок»)</t>
  </si>
  <si>
    <t xml:space="preserve">Результаты по регионам (ВПР по первым цифрам ИНН)</t>
  </si>
  <si>
    <t xml:space="preserve">Всего записей</t>
  </si>
  <si>
    <t xml:space="preserve">Доля с ошибками</t>
  </si>
  <si>
    <t xml:space="preserve">Регион не определён (ИНН пустой или с ошибкой)</t>
  </si>
  <si>
    <t xml:space="preserve">Итого</t>
  </si>
  <si>
    <t xml:space="preserve">№</t>
  </si>
  <si>
    <t xml:space="preserve">Наименование организации</t>
  </si>
  <si>
    <t xml:space="preserve">Адрес</t>
  </si>
  <si>
    <t xml:space="preserve">Контактное лицо</t>
  </si>
  <si>
    <t xml:space="preserve">Регион (ВПР по ИНН)</t>
  </si>
  <si>
    <t xml:space="preserve">Проверка: ИНН</t>
  </si>
  <si>
    <t xml:space="preserve">Проверка: ОГРН</t>
  </si>
  <si>
    <t xml:space="preserve">Проверка: КПП</t>
  </si>
  <si>
    <t xml:space="preserve">Проверка: дубликат ИНН</t>
  </si>
  <si>
    <t xml:space="preserve">Проверка: email</t>
  </si>
  <si>
    <t xml:space="preserve">Проверка: телефон</t>
  </si>
  <si>
    <t xml:space="preserve">Проверка: обязательные поля</t>
  </si>
  <si>
    <t xml:space="preserve">Число ошибок</t>
  </si>
  <si>
    <t xml:space="preserve">Статус</t>
  </si>
  <si>
    <t xml:space="preserve">Описание ошибок</t>
  </si>
  <si>
    <t xml:space="preserve">Сообщение клиенту</t>
  </si>
  <si>
    <t xml:space="preserve">№ в списке ошибок (служебный)</t>
  </si>
  <si>
    <t xml:space="preserve">№ в финальном реестре (служебный)</t>
  </si>
  <si>
    <t xml:space="preserve">ООО «Эталон Принт»</t>
  </si>
  <si>
    <t xml:space="preserve">2327503454</t>
  </si>
  <si>
    <t xml:space="preserve">5092327868474</t>
  </si>
  <si>
    <t xml:space="preserve">232701003</t>
  </si>
  <si>
    <t xml:space="preserve">г. Краснодар, ул. Советская, д. 70, оф. 15</t>
  </si>
  <si>
    <t xml:space="preserve">Иванова Е. С.</t>
  </si>
  <si>
    <t xml:space="preserve">sales@etalon-print.example</t>
  </si>
  <si>
    <t xml:space="preserve">+7 (861) 587-81-60</t>
  </si>
  <si>
    <t xml:space="preserve">ООО «Меридиан Стандарт»</t>
  </si>
  <si>
    <t xml:space="preserve">7821181744</t>
  </si>
  <si>
    <t xml:space="preserve">1077836049818</t>
  </si>
  <si>
    <t xml:space="preserve">782145005</t>
  </si>
  <si>
    <t xml:space="preserve">г. Санкт-Петербург, ул. Центральная, д. 82, оф. 267</t>
  </si>
  <si>
    <t xml:space="preserve">Новиков О. М.</t>
  </si>
  <si>
    <t xml:space="preserve">mail@meridian-standart.example</t>
  </si>
  <si>
    <t xml:space="preserve">8 812 5658356</t>
  </si>
  <si>
    <t xml:space="preserve">ООО «Горизонт Консалт»</t>
  </si>
  <si>
    <t xml:space="preserve">7715736088</t>
  </si>
  <si>
    <t xml:space="preserve">5127713491164</t>
  </si>
  <si>
    <t xml:space="preserve">771501008</t>
  </si>
  <si>
    <t xml:space="preserve">г. Москва, ул. Кирова, д. 59, оф. 281</t>
  </si>
  <si>
    <t xml:space="preserve">Павлов О. С.</t>
  </si>
  <si>
    <t xml:space="preserve">zakaz@gorizont-konsalt.example</t>
  </si>
  <si>
    <t xml:space="preserve">+74955165983</t>
  </si>
  <si>
    <t xml:space="preserve">АО «Меридиан Монтаж»</t>
  </si>
  <si>
    <t xml:space="preserve">1049120488625</t>
  </si>
  <si>
    <t xml:space="preserve">910345005</t>
  </si>
  <si>
    <t xml:space="preserve">г. Симферополь, ул. Советская, д. 92, оф. 52</t>
  </si>
  <si>
    <t xml:space="preserve">Иванов В. О.</t>
  </si>
  <si>
    <t xml:space="preserve">info@meridian-montazh.example</t>
  </si>
  <si>
    <t xml:space="preserve">+73655321609</t>
  </si>
  <si>
    <t xml:space="preserve">АО «Линия Сервис»</t>
  </si>
  <si>
    <t xml:space="preserve">7733137520</t>
  </si>
  <si>
    <t xml:space="preserve">1067747510148</t>
  </si>
  <si>
    <t xml:space="preserve">773301009</t>
  </si>
  <si>
    <t xml:space="preserve">г. Москва, ул. Школьная, д. 40, оф. 22</t>
  </si>
  <si>
    <t xml:space="preserve">Алексеев В. Е.</t>
  </si>
  <si>
    <t xml:space="preserve">sales@liniya-servis.example</t>
  </si>
  <si>
    <t xml:space="preserve">8 495 5942577</t>
  </si>
  <si>
    <t xml:space="preserve">ООО «Феникс Фуд»</t>
  </si>
  <si>
    <t xml:space="preserve">2339849062</t>
  </si>
  <si>
    <t xml:space="preserve">5152323704341</t>
  </si>
  <si>
    <t xml:space="preserve">233901009</t>
  </si>
  <si>
    <t xml:space="preserve">г. Краснодар, ул. Ленина, д. 23, оф. 162</t>
  </si>
  <si>
    <t xml:space="preserve">Попов И. А.</t>
  </si>
  <si>
    <t xml:space="preserve">sales@feniks-fud.example</t>
  </si>
  <si>
    <t xml:space="preserve">+78615122366</t>
  </si>
  <si>
    <t xml:space="preserve">ООО «Квант Пласт»</t>
  </si>
  <si>
    <t xml:space="preserve">6635202145</t>
  </si>
  <si>
    <t xml:space="preserve">1066607427677</t>
  </si>
  <si>
    <t xml:space="preserve">663543002</t>
  </si>
  <si>
    <t xml:space="preserve">г. Екатеринбург, ул. Победы, д. 10, оф. 196</t>
  </si>
  <si>
    <t xml:space="preserve">Волкова М. И.</t>
  </si>
  <si>
    <t xml:space="preserve">mail@kvant-plast.example</t>
  </si>
  <si>
    <t xml:space="preserve">8 343 5123259</t>
  </si>
  <si>
    <t xml:space="preserve">ООО «Вектор Проект»</t>
  </si>
  <si>
    <t xml:space="preserve">6338452351</t>
  </si>
  <si>
    <t xml:space="preserve">1046306648563</t>
  </si>
  <si>
    <t xml:space="preserve">633801005</t>
  </si>
  <si>
    <t xml:space="preserve">г. Самара, ул. Кирова, д. 29, оф. 87</t>
  </si>
  <si>
    <t xml:space="preserve">Козлов С. Н.</t>
  </si>
  <si>
    <t xml:space="preserve">mail @ vektor-proekt.example</t>
  </si>
  <si>
    <t xml:space="preserve">+78465338368</t>
  </si>
  <si>
    <t xml:space="preserve">АО «Гранит Снаб»</t>
  </si>
  <si>
    <t xml:space="preserve">6615903294</t>
  </si>
  <si>
    <t xml:space="preserve">5136627773145</t>
  </si>
  <si>
    <t xml:space="preserve">661543004</t>
  </si>
  <si>
    <t xml:space="preserve">г. Екатеринбург, ул. Советская, д. 57, оф. 291</t>
  </si>
  <si>
    <t xml:space="preserve">Алексеева И. Н.</t>
  </si>
  <si>
    <t xml:space="preserve">office@granit-snab.example</t>
  </si>
  <si>
    <t xml:space="preserve">8 343 5876238</t>
  </si>
  <si>
    <t xml:space="preserve">АО «Эталон Проект»</t>
  </si>
  <si>
    <t xml:space="preserve">782218804</t>
  </si>
  <si>
    <t xml:space="preserve">1107819752864</t>
  </si>
  <si>
    <t xml:space="preserve">782243007</t>
  </si>
  <si>
    <t xml:space="preserve">г. Санкт-Петербург, ул. Садовая, д. 3, оф. 282</t>
  </si>
  <si>
    <t xml:space="preserve">Новикова М. И.</t>
  </si>
  <si>
    <t xml:space="preserve">mail@etalon-proekt.example</t>
  </si>
  <si>
    <t xml:space="preserve">8 812 5099621</t>
  </si>
  <si>
    <t xml:space="preserve">ООО «Гранит Агро»</t>
  </si>
  <si>
    <t xml:space="preserve">6326949532</t>
  </si>
  <si>
    <t xml:space="preserve">1026318732582</t>
  </si>
  <si>
    <t xml:space="preserve">632601003</t>
  </si>
  <si>
    <t xml:space="preserve">г. Самара, ул. Центральная, д. 75, оф. 213</t>
  </si>
  <si>
    <t xml:space="preserve">Лебедева С. А.</t>
  </si>
  <si>
    <t xml:space="preserve">zakaz@granit-agro.example</t>
  </si>
  <si>
    <t xml:space="preserve">+7 (846) 561-53-11</t>
  </si>
  <si>
    <t xml:space="preserve">ООО «Эталон Технологии»</t>
  </si>
  <si>
    <t xml:space="preserve">1633362955</t>
  </si>
  <si>
    <t xml:space="preserve">5041636907582</t>
  </si>
  <si>
    <t xml:space="preserve">163301009</t>
  </si>
  <si>
    <t xml:space="preserve">г. Казань, ул. Ленина, д. 13, оф. 80</t>
  </si>
  <si>
    <t xml:space="preserve">Морозова И. Н.</t>
  </si>
  <si>
    <t xml:space="preserve">mail @ etalon-tekhnologii.example</t>
  </si>
  <si>
    <t xml:space="preserve">+7 (843) 528-69-36</t>
  </si>
  <si>
    <t xml:space="preserve">ООО «Дельта Технологии»</t>
  </si>
  <si>
    <t xml:space="preserve">5436174653</t>
  </si>
  <si>
    <t xml:space="preserve">1025418549892</t>
  </si>
  <si>
    <t xml:space="preserve">54360100</t>
  </si>
  <si>
    <t xml:space="preserve">г. Новосибирск, ул. Набережная, д. 94, оф. 263</t>
  </si>
  <si>
    <t xml:space="preserve">Степанова В. Т.</t>
  </si>
  <si>
    <t xml:space="preserve">office@delta-tekhnologii.example</t>
  </si>
  <si>
    <t xml:space="preserve">8 383 5357843</t>
  </si>
  <si>
    <t xml:space="preserve">АО «Вектор Групп»</t>
  </si>
  <si>
    <t xml:space="preserve">9203843570</t>
  </si>
  <si>
    <t xml:space="preserve">5069202630030</t>
  </si>
  <si>
    <t xml:space="preserve">920301005</t>
  </si>
  <si>
    <t xml:space="preserve">г. Севастополь, ул. Заводская, д. 26, оф. 189</t>
  </si>
  <si>
    <t xml:space="preserve">Новикова С. М.</t>
  </si>
  <si>
    <t xml:space="preserve">mail@vektor-grupp.example</t>
  </si>
  <si>
    <t xml:space="preserve">ООО «Эталон Энерго»</t>
  </si>
  <si>
    <t xml:space="preserve">6140118904</t>
  </si>
  <si>
    <t xml:space="preserve">5176121865805</t>
  </si>
  <si>
    <t xml:space="preserve">614001006</t>
  </si>
  <si>
    <t xml:space="preserve">г. Ростов-на-Дону, ул. Советская, д. 10, оф. 288</t>
  </si>
  <si>
    <t xml:space="preserve">Павлов М. Н.</t>
  </si>
  <si>
    <t xml:space="preserve">office@etalon-energo.example</t>
  </si>
  <si>
    <t xml:space="preserve">8 863 5545828</t>
  </si>
  <si>
    <t xml:space="preserve">ООО «Навигатор Сервис»</t>
  </si>
  <si>
    <t xml:space="preserve">1633690191</t>
  </si>
  <si>
    <t xml:space="preserve">1181614354789</t>
  </si>
  <si>
    <t xml:space="preserve">163343003</t>
  </si>
  <si>
    <t xml:space="preserve">г. Казань, ул. Набережная, д. 87, оф. 167</t>
  </si>
  <si>
    <t xml:space="preserve">Иванова И. О.</t>
  </si>
  <si>
    <t xml:space="preserve">mail@navigator-servis.example</t>
  </si>
  <si>
    <t xml:space="preserve">+78435761425</t>
  </si>
  <si>
    <t xml:space="preserve">ООО «Импульс Фуд»</t>
  </si>
  <si>
    <t xml:space="preserve">7843045О55</t>
  </si>
  <si>
    <t xml:space="preserve">5117812182439</t>
  </si>
  <si>
    <t xml:space="preserve">784301009</t>
  </si>
  <si>
    <t xml:space="preserve">г. Санкт-Петербург, ул. Победы, д. 46, оф. 66</t>
  </si>
  <si>
    <t xml:space="preserve">Попова Т. А.</t>
  </si>
  <si>
    <t xml:space="preserve">zakaz@impuls-fud.example</t>
  </si>
  <si>
    <t xml:space="preserve">+7 (812) 521-33-98</t>
  </si>
  <si>
    <t xml:space="preserve">АО «Горизонт Агро»</t>
  </si>
  <si>
    <t xml:space="preserve">6620289584</t>
  </si>
  <si>
    <t xml:space="preserve">519660661032</t>
  </si>
  <si>
    <t xml:space="preserve">662043003</t>
  </si>
  <si>
    <t xml:space="preserve">г. Екатеринбург, ул. Центральная, д. 19, оф. 261</t>
  </si>
  <si>
    <t xml:space="preserve">Николаева В. А.</t>
  </si>
  <si>
    <t xml:space="preserve">info@gorizont-agro.example</t>
  </si>
  <si>
    <t xml:space="preserve">+73435370174</t>
  </si>
  <si>
    <t xml:space="preserve">ООО «Эталон Торг»</t>
  </si>
  <si>
    <t xml:space="preserve">6113118030</t>
  </si>
  <si>
    <t xml:space="preserve">5236128261408</t>
  </si>
  <si>
    <t xml:space="preserve">611301004</t>
  </si>
  <si>
    <t xml:space="preserve">г. Ростов-на-Дону, ул. Парковая, д. 85, оф. 254</t>
  </si>
  <si>
    <t xml:space="preserve">Морозов Е. В.</t>
  </si>
  <si>
    <t xml:space="preserve">office@etalon-torg.example</t>
  </si>
  <si>
    <t xml:space="preserve">+78635442470</t>
  </si>
  <si>
    <t xml:space="preserve">ООО «Радуга Логистик»</t>
  </si>
  <si>
    <t xml:space="preserve">5039631511</t>
  </si>
  <si>
    <t xml:space="preserve">1085048256171</t>
  </si>
  <si>
    <t xml:space="preserve">503901002</t>
  </si>
  <si>
    <t xml:space="preserve">г. Красногорск, ул. Центральная, д. 92, оф. 81</t>
  </si>
  <si>
    <t xml:space="preserve">Соколов Н. В.</t>
  </si>
  <si>
    <t xml:space="preserve">info@raduga-logistik.example</t>
  </si>
  <si>
    <t xml:space="preserve">8 498 5454648</t>
  </si>
  <si>
    <t xml:space="preserve">ООО «Альфа Энерго»</t>
  </si>
  <si>
    <t xml:space="preserve">7701624659</t>
  </si>
  <si>
    <t xml:space="preserve">5107723639854</t>
  </si>
  <si>
    <t xml:space="preserve">770101002</t>
  </si>
  <si>
    <t xml:space="preserve">г. Москва, ул. Советская, д. 72, оф. 114</t>
  </si>
  <si>
    <t xml:space="preserve">Новикова С. О.</t>
  </si>
  <si>
    <t xml:space="preserve">mail@alfa-energo.example</t>
  </si>
  <si>
    <t xml:space="preserve">+7 (495) 558-58-87</t>
  </si>
  <si>
    <t xml:space="preserve">ООО «Линия Логистик»</t>
  </si>
  <si>
    <t xml:space="preserve">7430453439</t>
  </si>
  <si>
    <t xml:space="preserve">1107419048791</t>
  </si>
  <si>
    <t xml:space="preserve">743001001</t>
  </si>
  <si>
    <t xml:space="preserve">г. Челябинск, ул. Мира, д. 68, оф. 232</t>
  </si>
  <si>
    <t xml:space="preserve">Новиков Д. Н.</t>
  </si>
  <si>
    <t xml:space="preserve">sales@liniya-logistik.example</t>
  </si>
  <si>
    <t xml:space="preserve">8 351 5839060</t>
  </si>
  <si>
    <t xml:space="preserve">ООО «Берег Принт»</t>
  </si>
  <si>
    <t xml:space="preserve">1624830910</t>
  </si>
  <si>
    <t xml:space="preserve">160701001</t>
  </si>
  <si>
    <t xml:space="preserve">г. Казань, ул. Победы, д. 10, оф. 267</t>
  </si>
  <si>
    <t xml:space="preserve">Попов Е. А.</t>
  </si>
  <si>
    <t xml:space="preserve">info@bereg-print.example</t>
  </si>
  <si>
    <t xml:space="preserve">+7 (843) 593-52-29</t>
  </si>
  <si>
    <t xml:space="preserve">АО «Гранит Сервис»</t>
  </si>
  <si>
    <t xml:space="preserve">92270541103</t>
  </si>
  <si>
    <t xml:space="preserve">5099239241547</t>
  </si>
  <si>
    <t xml:space="preserve">922743004</t>
  </si>
  <si>
    <t xml:space="preserve">г. Севастополь, ул. Мира, д. 76, оф. 244</t>
  </si>
  <si>
    <t xml:space="preserve">Михайлова В. С.</t>
  </si>
  <si>
    <t xml:space="preserve">sales@granit-servis.example</t>
  </si>
  <si>
    <t xml:space="preserve">+7 (869) 548-71-77</t>
  </si>
  <si>
    <t xml:space="preserve">ООО «Феникс Торг»</t>
  </si>
  <si>
    <t xml:space="preserve">9116683346</t>
  </si>
  <si>
    <t xml:space="preserve">5109128963720</t>
  </si>
  <si>
    <t xml:space="preserve">911645001</t>
  </si>
  <si>
    <t xml:space="preserve">г. Симферополь, ул. Центральная, д. 78, оф. 267</t>
  </si>
  <si>
    <t xml:space="preserve">Павлова Е. М.</t>
  </si>
  <si>
    <t xml:space="preserve">office@feniks-torg.example</t>
  </si>
  <si>
    <t xml:space="preserve">+7 (365) 567-25-82</t>
  </si>
  <si>
    <t xml:space="preserve">ООО «Юпитер Трейд»</t>
  </si>
  <si>
    <t xml:space="preserve">1630059492</t>
  </si>
  <si>
    <t xml:space="preserve">1091613066995</t>
  </si>
  <si>
    <t xml:space="preserve">162701003</t>
  </si>
  <si>
    <t xml:space="preserve">г. Казань, ул. Набережная, д. 35, оф. 192</t>
  </si>
  <si>
    <t xml:space="preserve">Семёнова Д. Д.</t>
  </si>
  <si>
    <t xml:space="preserve">info@yupiter-treid.example</t>
  </si>
  <si>
    <t xml:space="preserve">+78435740970</t>
  </si>
  <si>
    <t xml:space="preserve">ООО «Дельта Сервис»</t>
  </si>
  <si>
    <t xml:space="preserve">6145612079</t>
  </si>
  <si>
    <t xml:space="preserve">1086142853543</t>
  </si>
  <si>
    <t xml:space="preserve">614543001</t>
  </si>
  <si>
    <t xml:space="preserve">г. Ростов-на-Дону, ул. Школьная, д. 12, оф. 87</t>
  </si>
  <si>
    <t xml:space="preserve">Семёнов А. С.</t>
  </si>
  <si>
    <t xml:space="preserve">info@delta-servis.example</t>
  </si>
  <si>
    <t xml:space="preserve">+78635647754</t>
  </si>
  <si>
    <t xml:space="preserve">ООО «Квант Строй»</t>
  </si>
  <si>
    <t xml:space="preserve">7736833212</t>
  </si>
  <si>
    <t xml:space="preserve">1177704709973</t>
  </si>
  <si>
    <t xml:space="preserve">773601004</t>
  </si>
  <si>
    <t xml:space="preserve">г. Москва, ул. Набережная, д. 51, оф. 238</t>
  </si>
  <si>
    <t xml:space="preserve">Смирнов В. Е.</t>
  </si>
  <si>
    <t xml:space="preserve">info@kvant-stroy.example</t>
  </si>
  <si>
    <t xml:space="preserve">+74955404579</t>
  </si>
  <si>
    <t xml:space="preserve">ООО «Атлант Стандарт»</t>
  </si>
  <si>
    <t xml:space="preserve">7733991323</t>
  </si>
  <si>
    <t xml:space="preserve">5147718846908</t>
  </si>
  <si>
    <t xml:space="preserve">773301008</t>
  </si>
  <si>
    <t xml:space="preserve">г. Москва, ул. Мира, д. 3, оф. 177</t>
  </si>
  <si>
    <t xml:space="preserve">Васильева В. И.</t>
  </si>
  <si>
    <t xml:space="preserve">info@atlant-standart.example</t>
  </si>
  <si>
    <t xml:space="preserve">+7 (495) 595-26-82</t>
  </si>
  <si>
    <t xml:space="preserve">АО «Альфа Монтаж»</t>
  </si>
  <si>
    <t xml:space="preserve">6132721049</t>
  </si>
  <si>
    <t xml:space="preserve">1066101497472</t>
  </si>
  <si>
    <t xml:space="preserve">613201008</t>
  </si>
  <si>
    <t xml:space="preserve">г. Ростов-на-Дону, ул. Кирова, д. 54, оф. 291</t>
  </si>
  <si>
    <t xml:space="preserve">Попов С. Е.</t>
  </si>
  <si>
    <t xml:space="preserve">mail @ alfa-montazh.example</t>
  </si>
  <si>
    <t xml:space="preserve">+78635714765</t>
  </si>
  <si>
    <t xml:space="preserve">ООО «Меридиан Консалт»</t>
  </si>
  <si>
    <t xml:space="preserve">77398853460</t>
  </si>
  <si>
    <t xml:space="preserve">1117748696328</t>
  </si>
  <si>
    <t xml:space="preserve">773901001</t>
  </si>
  <si>
    <t xml:space="preserve">г. Москва, ул. Центральная, д. 118, оф. 90</t>
  </si>
  <si>
    <t xml:space="preserve">Михайлова И. М.</t>
  </si>
  <si>
    <t xml:space="preserve">zakaz@meridian-konsalt.example</t>
  </si>
  <si>
    <t xml:space="preserve">+7 (495) 575-22-41</t>
  </si>
  <si>
    <t xml:space="preserve">АО «Феникс Принт»</t>
  </si>
  <si>
    <t xml:space="preserve">1634407743</t>
  </si>
  <si>
    <t xml:space="preserve">1151617026593</t>
  </si>
  <si>
    <t xml:space="preserve">163443005</t>
  </si>
  <si>
    <t xml:space="preserve">г. Казань, ул. Советская, д. 49, оф. 3</t>
  </si>
  <si>
    <t xml:space="preserve">Кузнецова А. Т.</t>
  </si>
  <si>
    <t xml:space="preserve">zakaz@feniks-print.example</t>
  </si>
  <si>
    <t xml:space="preserve">8 843 5238471</t>
  </si>
  <si>
    <t xml:space="preserve">ООО «Юпитер Групп»</t>
  </si>
  <si>
    <t xml:space="preserve">504738980</t>
  </si>
  <si>
    <t xml:space="preserve">5165048815344</t>
  </si>
  <si>
    <t xml:space="preserve">504743008</t>
  </si>
  <si>
    <t xml:space="preserve">г. Красногорск, ул. Школьная, д. 111, оф. 161</t>
  </si>
  <si>
    <t xml:space="preserve">Алексеев Н. Н.</t>
  </si>
  <si>
    <t xml:space="preserve">office@yupiter-grupp.example</t>
  </si>
  <si>
    <t xml:space="preserve">+7 (498) 513-88-80</t>
  </si>
  <si>
    <t xml:space="preserve">ООО «Меридиан Снаб»</t>
  </si>
  <si>
    <t xml:space="preserve">2407301260</t>
  </si>
  <si>
    <t xml:space="preserve">5062439439409</t>
  </si>
  <si>
    <t xml:space="preserve">240745007</t>
  </si>
  <si>
    <t xml:space="preserve">г. Красноярск, ул. Парковая, д. 79, оф. 282</t>
  </si>
  <si>
    <t xml:space="preserve">Алексеева С. Е.</t>
  </si>
  <si>
    <t xml:space="preserve">mail@meridian-snab.example</t>
  </si>
  <si>
    <t xml:space="preserve">8 391 5727299</t>
  </si>
  <si>
    <t xml:space="preserve">АО «Заря Торг»</t>
  </si>
  <si>
    <t xml:space="preserve">0248814206</t>
  </si>
  <si>
    <t xml:space="preserve">1110211564275</t>
  </si>
  <si>
    <t xml:space="preserve">024845003</t>
  </si>
  <si>
    <t xml:space="preserve">г. Уфа, ул. Заводская, д. 49, оф. 255</t>
  </si>
  <si>
    <t xml:space="preserve">Михайлова М. А.</t>
  </si>
  <si>
    <t xml:space="preserve">info@zarya-torg.example</t>
  </si>
  <si>
    <t xml:space="preserve">+73475625607</t>
  </si>
  <si>
    <t xml:space="preserve">ООО «Меридиан Мед»</t>
  </si>
  <si>
    <t xml:space="preserve">9219871407</t>
  </si>
  <si>
    <t xml:space="preserve">5139249510560</t>
  </si>
  <si>
    <t xml:space="preserve">921945004</t>
  </si>
  <si>
    <t xml:space="preserve">г. Севастополь, ул. Ленина, д. 54, оф. 270</t>
  </si>
  <si>
    <t xml:space="preserve">Лебедева В. В.</t>
  </si>
  <si>
    <t xml:space="preserve">zakaz@meridian-med.example</t>
  </si>
  <si>
    <t xml:space="preserve">+7 (869) 549-89-56</t>
  </si>
  <si>
    <t xml:space="preserve">АО «Дельта Мед»</t>
  </si>
  <si>
    <t xml:space="preserve">2316282203</t>
  </si>
  <si>
    <t xml:space="preserve">1172340515896</t>
  </si>
  <si>
    <t xml:space="preserve">231643003</t>
  </si>
  <si>
    <t xml:space="preserve">г. Краснодар, ул. Садовая, д. 66, оф. 98</t>
  </si>
  <si>
    <t xml:space="preserve">Волков А. Д.</t>
  </si>
  <si>
    <t xml:space="preserve">mail@delta-med.example</t>
  </si>
  <si>
    <t xml:space="preserve">+7 (861) 503-79-20</t>
  </si>
  <si>
    <t xml:space="preserve">АО «Тандем Агро»</t>
  </si>
  <si>
    <t xml:space="preserve">9127308025</t>
  </si>
  <si>
    <t xml:space="preserve">5119101126766</t>
  </si>
  <si>
    <t xml:space="preserve">912701006</t>
  </si>
  <si>
    <t xml:space="preserve">г. Симферополь, ул. Кирова, д. 20, оф. 236</t>
  </si>
  <si>
    <t xml:space="preserve">Николаева В. Д.</t>
  </si>
  <si>
    <t xml:space="preserve">zakaz@tandem-agro.example</t>
  </si>
  <si>
    <t xml:space="preserve">+7 (365) 512-92-23</t>
  </si>
  <si>
    <t xml:space="preserve">АО «Юпитер Логистик»</t>
  </si>
  <si>
    <t xml:space="preserve">1160230130488</t>
  </si>
  <si>
    <t xml:space="preserve">022345007</t>
  </si>
  <si>
    <t xml:space="preserve">г. Уфа, ул. Советская, д. 12, оф. 11</t>
  </si>
  <si>
    <t xml:space="preserve">Морозов Д. Д.</t>
  </si>
  <si>
    <t xml:space="preserve">zakaz@yupiter-logistik.example</t>
  </si>
  <si>
    <t xml:space="preserve">8 347 5522058</t>
  </si>
  <si>
    <t xml:space="preserve">ООО «Альфа Трейд»</t>
  </si>
  <si>
    <t xml:space="preserve">5017934375</t>
  </si>
  <si>
    <t xml:space="preserve">1155007458858</t>
  </si>
  <si>
    <t xml:space="preserve">501701001</t>
  </si>
  <si>
    <t xml:space="preserve">г. Красногорск, ул. Советская, д. 78, оф. 158</t>
  </si>
  <si>
    <t xml:space="preserve">Петрова О. Д.</t>
  </si>
  <si>
    <t xml:space="preserve">mail@alfa-treid.example</t>
  </si>
  <si>
    <t xml:space="preserve">8 498 5728615</t>
  </si>
  <si>
    <t xml:space="preserve">ООО «Навигатор Строй»</t>
  </si>
  <si>
    <t xml:space="preserve">7440346309</t>
  </si>
  <si>
    <t xml:space="preserve">5157440758107</t>
  </si>
  <si>
    <t xml:space="preserve">744001004</t>
  </si>
  <si>
    <t xml:space="preserve">г. Челябинск, ул. Победы, д. 106, оф. 269</t>
  </si>
  <si>
    <t xml:space="preserve">Лебедев Д. Т.</t>
  </si>
  <si>
    <t xml:space="preserve">office@navigator-stroy.example</t>
  </si>
  <si>
    <t xml:space="preserve">+73515582503</t>
  </si>
  <si>
    <t xml:space="preserve">АО «Юпитер Сервис»</t>
  </si>
  <si>
    <t xml:space="preserve">7846953978</t>
  </si>
  <si>
    <t xml:space="preserve">5077823677916</t>
  </si>
  <si>
    <t xml:space="preserve">784601005</t>
  </si>
  <si>
    <t xml:space="preserve">г. Санкт-Петербург, ул. Школьная, д. 15, оф. 127</t>
  </si>
  <si>
    <t xml:space="preserve">Фёдорова М. И.</t>
  </si>
  <si>
    <t xml:space="preserve">info@yupiter-servis.example</t>
  </si>
  <si>
    <t xml:space="preserve">8 812 5354036</t>
  </si>
  <si>
    <t xml:space="preserve">ООО «Орбита Проект»</t>
  </si>
  <si>
    <t xml:space="preserve">5430797877</t>
  </si>
  <si>
    <t xml:space="preserve">5235407488410</t>
  </si>
  <si>
    <t xml:space="preserve">543043008</t>
  </si>
  <si>
    <t xml:space="preserve">г. Новосибирск, ул. Гагарина, д. 42, оф. 292</t>
  </si>
  <si>
    <t xml:space="preserve">Морозова О. Т.</t>
  </si>
  <si>
    <t xml:space="preserve">zakaz@orbita-proekt.example</t>
  </si>
  <si>
    <t xml:space="preserve">8 383 5405112</t>
  </si>
  <si>
    <t xml:space="preserve">АО «Атлант Логистик»</t>
  </si>
  <si>
    <t xml:space="preserve">5239030324</t>
  </si>
  <si>
    <t xml:space="preserve">5195235071653</t>
  </si>
  <si>
    <t xml:space="preserve">523901006</t>
  </si>
  <si>
    <t xml:space="preserve">г. Нижний Новгород, ул. Садовая, д. 34, оф. 197</t>
  </si>
  <si>
    <t xml:space="preserve">Иванова Н. А.</t>
  </si>
  <si>
    <t xml:space="preserve">mail@atlant-logistik.example</t>
  </si>
  <si>
    <t xml:space="preserve">+7 (831) 590-42-10</t>
  </si>
  <si>
    <t xml:space="preserve">ООО «Орбита Торг»</t>
  </si>
  <si>
    <t xml:space="preserve">7730135170</t>
  </si>
  <si>
    <t xml:space="preserve">1117709141681</t>
  </si>
  <si>
    <t xml:space="preserve">773043004</t>
  </si>
  <si>
    <t xml:space="preserve">г. Москва, ул. Мира, д. 89, оф. 35</t>
  </si>
  <si>
    <t xml:space="preserve">Петров Т. В.</t>
  </si>
  <si>
    <t xml:space="preserve">info@orbita-torg.example</t>
  </si>
  <si>
    <t xml:space="preserve">8 495 5038580</t>
  </si>
  <si>
    <t xml:space="preserve">ООО «Вектор Трейд»</t>
  </si>
  <si>
    <t xml:space="preserve">2444578277</t>
  </si>
  <si>
    <t xml:space="preserve">1032427408463</t>
  </si>
  <si>
    <t xml:space="preserve">244401005</t>
  </si>
  <si>
    <t xml:space="preserve">г. Красноярск, ул. Кирова, д. 120, оф. 275</t>
  </si>
  <si>
    <t xml:space="preserve">Фёдорова С. В.</t>
  </si>
  <si>
    <t xml:space="preserve">office@vektor-treid.example</t>
  </si>
  <si>
    <t xml:space="preserve">+73915475413</t>
  </si>
  <si>
    <t xml:space="preserve">АО «Вектор Фуд»</t>
  </si>
  <si>
    <t xml:space="preserve">9119123895</t>
  </si>
  <si>
    <t xml:space="preserve">1159113353552</t>
  </si>
  <si>
    <t xml:space="preserve">911943009</t>
  </si>
  <si>
    <t xml:space="preserve">г. Симферополь, ул. Гагарина, д. 20, оф. 106</t>
  </si>
  <si>
    <t xml:space="preserve">Семёнов Е. А.</t>
  </si>
  <si>
    <t xml:space="preserve">mail@vektor-fud.example</t>
  </si>
  <si>
    <t xml:space="preserve">+7 (365) 520-98-47</t>
  </si>
  <si>
    <t xml:space="preserve">АО «Заря Монтаж»</t>
  </si>
  <si>
    <t xml:space="preserve">7824756292</t>
  </si>
  <si>
    <t xml:space="preserve">1107836286854</t>
  </si>
  <si>
    <t xml:space="preserve">782401006</t>
  </si>
  <si>
    <t xml:space="preserve">г. Санкт-Петербург, ул. Школьная, д. 12, оф. 156</t>
  </si>
  <si>
    <t xml:space="preserve">Смирнова Д. А.</t>
  </si>
  <si>
    <t xml:space="preserve">sales@zarya-montazh.example</t>
  </si>
  <si>
    <t xml:space="preserve">+7 (812) 571-24-79</t>
  </si>
  <si>
    <t xml:space="preserve">ООО «Навигатор Логистик»</t>
  </si>
  <si>
    <t xml:space="preserve">5017895380</t>
  </si>
  <si>
    <t xml:space="preserve">1145017770688</t>
  </si>
  <si>
    <t xml:space="preserve">501743006</t>
  </si>
  <si>
    <t xml:space="preserve">г. Красногорск, ул. Парковая, д. 25, оф. 92</t>
  </si>
  <si>
    <t xml:space="preserve">Попова И. В.</t>
  </si>
  <si>
    <t xml:space="preserve">mail@navigator-logistik.example</t>
  </si>
  <si>
    <t xml:space="preserve">+74985141870</t>
  </si>
  <si>
    <t xml:space="preserve">ООО «Горизонт Софт»</t>
  </si>
  <si>
    <t xml:space="preserve">2431832494</t>
  </si>
  <si>
    <t xml:space="preserve">1112410351591</t>
  </si>
  <si>
    <t xml:space="preserve">243143007</t>
  </si>
  <si>
    <t xml:space="preserve">г. Красноярск, ул. Победы, д. 14, оф. 107</t>
  </si>
  <si>
    <t xml:space="preserve">Козлова И. М.</t>
  </si>
  <si>
    <t xml:space="preserve">mail@gorizont-soft.example</t>
  </si>
  <si>
    <t xml:space="preserve">+7 (391) 515-43-96</t>
  </si>
  <si>
    <t xml:space="preserve">ООО «Линия Трейд»</t>
  </si>
  <si>
    <t xml:space="preserve">5019991379</t>
  </si>
  <si>
    <t xml:space="preserve">5045013857422</t>
  </si>
  <si>
    <t xml:space="preserve">501901009</t>
  </si>
  <si>
    <t xml:space="preserve">г. Красногорск, ул. Ленина, д. 4, оф. 162</t>
  </si>
  <si>
    <t xml:space="preserve">Фёдорова А. Д.</t>
  </si>
  <si>
    <t xml:space="preserve">office@liniya-treid.example</t>
  </si>
  <si>
    <t xml:space="preserve">8 498 5098335</t>
  </si>
  <si>
    <t xml:space="preserve">АО «Альфа Стандарт»</t>
  </si>
  <si>
    <t xml:space="preserve">2403469110</t>
  </si>
  <si>
    <t xml:space="preserve">5232432904347</t>
  </si>
  <si>
    <t xml:space="preserve">240343001</t>
  </si>
  <si>
    <t xml:space="preserve">г. Красноярск, ул. Кирова, д. 84, оф. 176</t>
  </si>
  <si>
    <t xml:space="preserve">Морозов Т. И.</t>
  </si>
  <si>
    <t xml:space="preserve">mail@alfa-standart.example</t>
  </si>
  <si>
    <t xml:space="preserve">+73915664780</t>
  </si>
  <si>
    <t xml:space="preserve">АО «Гранит Строй»</t>
  </si>
  <si>
    <t xml:space="preserve">9228610426</t>
  </si>
  <si>
    <t xml:space="preserve">1229239051799</t>
  </si>
  <si>
    <t xml:space="preserve">922843003</t>
  </si>
  <si>
    <t xml:space="preserve">г. Севастополь, ул. Кирова, д. 61, оф. 207</t>
  </si>
  <si>
    <t xml:space="preserve">Козлов Д. А.</t>
  </si>
  <si>
    <t xml:space="preserve">info @ granit-stroy.example</t>
  </si>
  <si>
    <t xml:space="preserve">+7 (869) 591-92-55</t>
  </si>
  <si>
    <t xml:space="preserve">ООО «Альфа Мед»</t>
  </si>
  <si>
    <t xml:space="preserve">7844011731</t>
  </si>
  <si>
    <t xml:space="preserve">1037848691430</t>
  </si>
  <si>
    <t xml:space="preserve">784443006</t>
  </si>
  <si>
    <t xml:space="preserve">г. Санкт-Петербург, ул. Советская, д. 51, оф. 68</t>
  </si>
  <si>
    <t xml:space="preserve">Соколова И. Н.</t>
  </si>
  <si>
    <t xml:space="preserve">office@alfa-med.example</t>
  </si>
  <si>
    <t xml:space="preserve">8 812 5188074</t>
  </si>
  <si>
    <t xml:space="preserve">АО «Навигатор Софт»</t>
  </si>
  <si>
    <t xml:space="preserve">9225482367</t>
  </si>
  <si>
    <t xml:space="preserve">1219235967906</t>
  </si>
  <si>
    <t xml:space="preserve">922545008</t>
  </si>
  <si>
    <t xml:space="preserve">г. Севастополь, ул. Школьная, д. 99, оф. 163</t>
  </si>
  <si>
    <t xml:space="preserve">Козлова Д. О.</t>
  </si>
  <si>
    <t xml:space="preserve">office@navigator-soft.example</t>
  </si>
  <si>
    <t xml:space="preserve">+7 (869) 593-52</t>
  </si>
  <si>
    <t xml:space="preserve">ООО «Берег Проект»</t>
  </si>
  <si>
    <t xml:space="preserve">5420815598</t>
  </si>
  <si>
    <t xml:space="preserve">5165430056259</t>
  </si>
  <si>
    <t xml:space="preserve">542001005</t>
  </si>
  <si>
    <t xml:space="preserve">г. Новосибирск, ул. Победы, д. 12, оф. 24</t>
  </si>
  <si>
    <t xml:space="preserve">Смирнова И. И.</t>
  </si>
  <si>
    <t xml:space="preserve">mail@bereg-proekt.example</t>
  </si>
  <si>
    <t xml:space="preserve">+7 (383) 599-69-53</t>
  </si>
  <si>
    <t xml:space="preserve">АО «Юпитер Софт»</t>
  </si>
  <si>
    <t xml:space="preserve">5208924970</t>
  </si>
  <si>
    <t xml:space="preserve">1185209323936</t>
  </si>
  <si>
    <t xml:space="preserve">520801006</t>
  </si>
  <si>
    <t xml:space="preserve">г. Нижний Новгород, ул. Парковая, д. 34, оф. 139</t>
  </si>
  <si>
    <t xml:space="preserve">Морозова Д. М.</t>
  </si>
  <si>
    <t xml:space="preserve">info@yupiter-soft.example</t>
  </si>
  <si>
    <t xml:space="preserve">8 831 5593226</t>
  </si>
  <si>
    <t xml:space="preserve">ООО «Вектор Снаб»</t>
  </si>
  <si>
    <t xml:space="preserve">5209348511</t>
  </si>
  <si>
    <t xml:space="preserve">5145201235097</t>
  </si>
  <si>
    <t xml:space="preserve">520943002</t>
  </si>
  <si>
    <t xml:space="preserve">г. Нижний Новгород, ул. Гагарина, д. 48, оф. 207</t>
  </si>
  <si>
    <t xml:space="preserve">Семёнов Д. В.</t>
  </si>
  <si>
    <t xml:space="preserve">sales@vektor-snab.example</t>
  </si>
  <si>
    <t xml:space="preserve">+7 (831) 588-10-81</t>
  </si>
  <si>
    <t xml:space="preserve">ООО «Меридиан Проект»</t>
  </si>
  <si>
    <t xml:space="preserve">0232067319</t>
  </si>
  <si>
    <t xml:space="preserve">1200207581546</t>
  </si>
  <si>
    <t xml:space="preserve">023201004</t>
  </si>
  <si>
    <t xml:space="preserve">г. Уфа, ул. Гагарина, д. 20, оф. 253</t>
  </si>
  <si>
    <t xml:space="preserve">Морозов А. А.</t>
  </si>
  <si>
    <t xml:space="preserve">office@meridian-proekt.example</t>
  </si>
  <si>
    <t xml:space="preserve">+7 (347) 528-14-57</t>
  </si>
  <si>
    <t xml:space="preserve">АО «Тандем Снаб»</t>
  </si>
  <si>
    <t xml:space="preserve">7746524020</t>
  </si>
  <si>
    <t xml:space="preserve">1057720525213</t>
  </si>
  <si>
    <t xml:space="preserve">774601006</t>
  </si>
  <si>
    <t xml:space="preserve">г. Москва, ул. Мира, д. 11, оф. 3</t>
  </si>
  <si>
    <t xml:space="preserve">Семёнов Д. О.</t>
  </si>
  <si>
    <t xml:space="preserve">office@tandem-snab.example</t>
  </si>
  <si>
    <t xml:space="preserve">+7 (495) 503-41-75</t>
  </si>
  <si>
    <t xml:space="preserve">ООО «Дельта Логистик»</t>
  </si>
  <si>
    <t xml:space="preserve">7720218444</t>
  </si>
  <si>
    <t xml:space="preserve">5087749580793</t>
  </si>
  <si>
    <t xml:space="preserve">772001007</t>
  </si>
  <si>
    <t xml:space="preserve">г. Москва, ул. Заводская, д. 13, оф. 173</t>
  </si>
  <si>
    <t xml:space="preserve">Иванов А. А.</t>
  </si>
  <si>
    <t xml:space="preserve">mail@delta-logistik.example</t>
  </si>
  <si>
    <t xml:space="preserve">+7 (495) 522-85-41</t>
  </si>
  <si>
    <t xml:space="preserve">ООО «Юпитер Транс»</t>
  </si>
  <si>
    <t xml:space="preserve">6310789426</t>
  </si>
  <si>
    <t xml:space="preserve">5176302444577</t>
  </si>
  <si>
    <t xml:space="preserve">г. Самара, ул. Гагарина, д. 91, оф. 87</t>
  </si>
  <si>
    <t xml:space="preserve">Лебедева В. Д.</t>
  </si>
  <si>
    <t xml:space="preserve">office@yupiter-trans.example</t>
  </si>
  <si>
    <t xml:space="preserve">ООО «Заря Логистик»</t>
  </si>
  <si>
    <t xml:space="preserve">7827161222</t>
  </si>
  <si>
    <t xml:space="preserve">5197808177397</t>
  </si>
  <si>
    <t xml:space="preserve">782745002</t>
  </si>
  <si>
    <t xml:space="preserve">г. Санкт-Петербург, ул. Школьная, д. 63, оф. 12</t>
  </si>
  <si>
    <t xml:space="preserve">Попов Д. В.</t>
  </si>
  <si>
    <t xml:space="preserve">zakaz@zarya-logistik.example</t>
  </si>
  <si>
    <t xml:space="preserve">8 812 5272404</t>
  </si>
  <si>
    <t xml:space="preserve">АО «Берег Монтаж»</t>
  </si>
  <si>
    <t xml:space="preserve">7732543826</t>
  </si>
  <si>
    <t xml:space="preserve">1127738607963</t>
  </si>
  <si>
    <t xml:space="preserve">г. Москва, ул. Набережная, д. 93, оф. 47</t>
  </si>
  <si>
    <t xml:space="preserve">Михайлов Д. О.</t>
  </si>
  <si>
    <t xml:space="preserve">office@bereg-montazh.example</t>
  </si>
  <si>
    <t xml:space="preserve">+74955937068</t>
  </si>
  <si>
    <t xml:space="preserve">ООО «Радуга Трейд»</t>
  </si>
  <si>
    <t xml:space="preserve">2410677544</t>
  </si>
  <si>
    <t xml:space="preserve">1202402863992</t>
  </si>
  <si>
    <t xml:space="preserve">241045003</t>
  </si>
  <si>
    <t xml:space="preserve">г. Красноярск, ул. Ленина, д. 68, оф. 69</t>
  </si>
  <si>
    <t xml:space="preserve">Алексеева О. О.</t>
  </si>
  <si>
    <t xml:space="preserve">mail@raduga-treid.example</t>
  </si>
  <si>
    <t xml:space="preserve">8 391 5028322</t>
  </si>
  <si>
    <t xml:space="preserve">ООО «Навигатор Энерго»</t>
  </si>
  <si>
    <t xml:space="preserve">7744778452</t>
  </si>
  <si>
    <t xml:space="preserve">5037725078925</t>
  </si>
  <si>
    <t xml:space="preserve">774401009</t>
  </si>
  <si>
    <t xml:space="preserve">г. Москва, ул. Набережная, д. 76, оф. 285</t>
  </si>
  <si>
    <t xml:space="preserve">Павлова Н. А.</t>
  </si>
  <si>
    <t xml:space="preserve">zakaz@navigator-energo.example</t>
  </si>
  <si>
    <t xml:space="preserve">8 495 5328005</t>
  </si>
  <si>
    <t xml:space="preserve">ООО «Тандем Энерго»</t>
  </si>
  <si>
    <t xml:space="preserve">6312503441</t>
  </si>
  <si>
    <t xml:space="preserve">5156347255059</t>
  </si>
  <si>
    <t xml:space="preserve">631243009</t>
  </si>
  <si>
    <t xml:space="preserve">г. Самара, ул. Советская, д. 118, оф. 240</t>
  </si>
  <si>
    <t xml:space="preserve">Кузнецова Е. С.</t>
  </si>
  <si>
    <t xml:space="preserve">zakaz@tandem-energo.example</t>
  </si>
  <si>
    <t xml:space="preserve">+7 (846) 588-14-92</t>
  </si>
  <si>
    <t xml:space="preserve">АО «Квант Агро»</t>
  </si>
  <si>
    <t xml:space="preserve">66235263076</t>
  </si>
  <si>
    <t xml:space="preserve">1166603026061</t>
  </si>
  <si>
    <t xml:space="preserve">662301003</t>
  </si>
  <si>
    <t xml:space="preserve">г. Екатеринбург, ул. Парковая, д. 70, оф. 208</t>
  </si>
  <si>
    <t xml:space="preserve">Кузнецова И. В.</t>
  </si>
  <si>
    <t xml:space="preserve">sales@kvant-agro.example</t>
  </si>
  <si>
    <t xml:space="preserve">+7 (343) 550-86-52</t>
  </si>
  <si>
    <t xml:space="preserve">ООО «Орбита Агро»</t>
  </si>
  <si>
    <t xml:space="preserve">7705263932</t>
  </si>
  <si>
    <t xml:space="preserve">5057704957536</t>
  </si>
  <si>
    <t xml:space="preserve">770501007</t>
  </si>
  <si>
    <t xml:space="preserve">г. Москва, ул. Парковая, д. 113, оф. 249</t>
  </si>
  <si>
    <t xml:space="preserve">info@orbita-agro.example</t>
  </si>
  <si>
    <t xml:space="preserve">+7 (495) 592-70-19</t>
  </si>
  <si>
    <t xml:space="preserve">ООО «Эталон Сервис»</t>
  </si>
  <si>
    <t xml:space="preserve">5227444031</t>
  </si>
  <si>
    <t xml:space="preserve">5035239728992</t>
  </si>
  <si>
    <t xml:space="preserve">522743009</t>
  </si>
  <si>
    <t xml:space="preserve">г. Нижний Новгород, ул. Ленина, д. 99, оф. 54</t>
  </si>
  <si>
    <t xml:space="preserve">Михайлова С. Д.</t>
  </si>
  <si>
    <t xml:space="preserve">mail@etalon-servis.example</t>
  </si>
  <si>
    <t xml:space="preserve">+7 (831) 532-37-23</t>
  </si>
  <si>
    <t xml:space="preserve">ООО «Прогресс Принт»</t>
  </si>
  <si>
    <t xml:space="preserve">7807464638</t>
  </si>
  <si>
    <t xml:space="preserve">1027824941044</t>
  </si>
  <si>
    <t xml:space="preserve">780701002</t>
  </si>
  <si>
    <t xml:space="preserve">г. Санкт-Петербург, ул. Школьная, д. 69, оф. 71</t>
  </si>
  <si>
    <t xml:space="preserve">Попова А. Е.</t>
  </si>
  <si>
    <t xml:space="preserve">sales@progress-print.example</t>
  </si>
  <si>
    <t xml:space="preserve">+7 (812) 583-4xx24</t>
  </si>
  <si>
    <t xml:space="preserve">ООО «Меридиан Транс»</t>
  </si>
  <si>
    <t xml:space="preserve">9226966508</t>
  </si>
  <si>
    <t xml:space="preserve">1099224173113</t>
  </si>
  <si>
    <t xml:space="preserve">922601003</t>
  </si>
  <si>
    <t xml:space="preserve">г. Севастополь, ул. Советская, д. 23, оф. 111</t>
  </si>
  <si>
    <t xml:space="preserve">Павлова И. В.</t>
  </si>
  <si>
    <t xml:space="preserve">sales@meridian-trans.example</t>
  </si>
  <si>
    <t xml:space="preserve">+78695512669</t>
  </si>
  <si>
    <t xml:space="preserve">АО «Заря Мед»</t>
  </si>
  <si>
    <t xml:space="preserve">5020224632</t>
  </si>
  <si>
    <t xml:space="preserve">5145034901666</t>
  </si>
  <si>
    <t xml:space="preserve">502001005</t>
  </si>
  <si>
    <t xml:space="preserve">г. Красногорск, ул. Кирова, д. 20, оф. 132</t>
  </si>
  <si>
    <t xml:space="preserve">Петрова А. С.</t>
  </si>
  <si>
    <t xml:space="preserve">office@zarya-med.example</t>
  </si>
  <si>
    <t xml:space="preserve">+7 (498) 596-67-65</t>
  </si>
  <si>
    <t xml:space="preserve">ООО «Орбита Пласт»</t>
  </si>
  <si>
    <t xml:space="preserve">1617959381</t>
  </si>
  <si>
    <t xml:space="preserve">5141626051771</t>
  </si>
  <si>
    <t xml:space="preserve">161701008</t>
  </si>
  <si>
    <t xml:space="preserve">г. Казань, ул. Мира, д. 29, оф. 117</t>
  </si>
  <si>
    <t xml:space="preserve">Николаев Н. М.</t>
  </si>
  <si>
    <t xml:space="preserve">zakaz@orbita-plast.example</t>
  </si>
  <si>
    <t xml:space="preserve">+7 (843) 592-16-94</t>
  </si>
  <si>
    <t xml:space="preserve">АО «Дельта Групп»</t>
  </si>
  <si>
    <t xml:space="preserve">9244463962</t>
  </si>
  <si>
    <t xml:space="preserve">5159217912189</t>
  </si>
  <si>
    <t xml:space="preserve">922701004</t>
  </si>
  <si>
    <t xml:space="preserve">Волков А. Т.</t>
  </si>
  <si>
    <t xml:space="preserve">sales@delta-grupp.example</t>
  </si>
  <si>
    <t xml:space="preserve">8 869 5885211</t>
  </si>
  <si>
    <t xml:space="preserve">АО «Заря Принт»</t>
  </si>
  <si>
    <t xml:space="preserve">7720058751</t>
  </si>
  <si>
    <t xml:space="preserve">1167712034885</t>
  </si>
  <si>
    <t xml:space="preserve">г. Москва, ул. Набережная, д. 32, оф. 66</t>
  </si>
  <si>
    <t xml:space="preserve">Фёдорова О. Т.</t>
  </si>
  <si>
    <t xml:space="preserve">zakaz@zarya-print.example</t>
  </si>
  <si>
    <t xml:space="preserve">8 495 5500600</t>
  </si>
  <si>
    <t xml:space="preserve">АО «Импульс Энерго»</t>
  </si>
  <si>
    <t xml:space="preserve">1035043326230</t>
  </si>
  <si>
    <t xml:space="preserve">500445007</t>
  </si>
  <si>
    <t xml:space="preserve">г. Красногорск, ул. Советская, д. 104, оф. 93</t>
  </si>
  <si>
    <t xml:space="preserve">Волкова М. В.</t>
  </si>
  <si>
    <t xml:space="preserve">info@impuls-energo.example</t>
  </si>
  <si>
    <t xml:space="preserve">8 498 5928787</t>
  </si>
  <si>
    <t xml:space="preserve">ООО «Юпитер Торг»</t>
  </si>
  <si>
    <t xml:space="preserve">2302745444</t>
  </si>
  <si>
    <t xml:space="preserve">5152343029350</t>
  </si>
  <si>
    <t xml:space="preserve">230201003</t>
  </si>
  <si>
    <t xml:space="preserve">г. Краснодар, ул. Набережная, д. 104, оф. 66</t>
  </si>
  <si>
    <t xml:space="preserve">Николаева Д. А.</t>
  </si>
  <si>
    <t xml:space="preserve">office@yupiter-torg.example</t>
  </si>
  <si>
    <t xml:space="preserve">+78615091727</t>
  </si>
  <si>
    <t xml:space="preserve">АО «Гранит Принт»</t>
  </si>
  <si>
    <t xml:space="preserve">6317409587</t>
  </si>
  <si>
    <t xml:space="preserve">1176334188007</t>
  </si>
  <si>
    <t xml:space="preserve">631701007</t>
  </si>
  <si>
    <t xml:space="preserve">г. Самара, ул. Победы, д. 104, оф. 79</t>
  </si>
  <si>
    <t xml:space="preserve">Николаева Т. В.</t>
  </si>
  <si>
    <t xml:space="preserve">mail@granit-print.example</t>
  </si>
  <si>
    <t xml:space="preserve">8 846 5888763</t>
  </si>
  <si>
    <t xml:space="preserve">АО «Навигатор Стандарт»</t>
  </si>
  <si>
    <t xml:space="preserve">7828916148</t>
  </si>
  <si>
    <t xml:space="preserve">5167829781401</t>
  </si>
  <si>
    <t xml:space="preserve">782801002</t>
  </si>
  <si>
    <t xml:space="preserve">г. Санкт-Петербург, ул. Школьная, д. 12, оф. 191</t>
  </si>
  <si>
    <t xml:space="preserve">Новикова И. Д.</t>
  </si>
  <si>
    <t xml:space="preserve">office@navigator-standart.example</t>
  </si>
  <si>
    <t xml:space="preserve">+78125673537</t>
  </si>
  <si>
    <t xml:space="preserve">АО «Атлант Сервис»</t>
  </si>
  <si>
    <t xml:space="preserve">2405697016</t>
  </si>
  <si>
    <t xml:space="preserve">1082414220602</t>
  </si>
  <si>
    <t xml:space="preserve">240501003</t>
  </si>
  <si>
    <t xml:space="preserve">г. Красноярск, ул. Победы, д. 56, оф. 203</t>
  </si>
  <si>
    <t xml:space="preserve">Семёнова С. Е.</t>
  </si>
  <si>
    <t xml:space="preserve">sales@atlant-servis.example</t>
  </si>
  <si>
    <t xml:space="preserve">8 391 5920714</t>
  </si>
  <si>
    <t xml:space="preserve">ООО «Линия Софт»</t>
  </si>
  <si>
    <t xml:space="preserve">6137357971</t>
  </si>
  <si>
    <t xml:space="preserve">5046124871360</t>
  </si>
  <si>
    <t xml:space="preserve">613701003</t>
  </si>
  <si>
    <t xml:space="preserve">г. Ростов-на-Дону, ул. Кирова, д. 96, оф. 192</t>
  </si>
  <si>
    <t xml:space="preserve">Павлова Д. Е.</t>
  </si>
  <si>
    <t xml:space="preserve">office@liniya-soft.example</t>
  </si>
  <si>
    <t xml:space="preserve">+7 (863) 578-33-17</t>
  </si>
  <si>
    <t xml:space="preserve">ООО «Заря Групп»</t>
  </si>
  <si>
    <t xml:space="preserve">9207639008</t>
  </si>
  <si>
    <t xml:space="preserve">5089219427622</t>
  </si>
  <si>
    <t xml:space="preserve">920701007</t>
  </si>
  <si>
    <t xml:space="preserve">г. Севастополь, ул. Ленина, д. 91, оф. 219</t>
  </si>
  <si>
    <t xml:space="preserve">Егоров И. Н.</t>
  </si>
  <si>
    <t xml:space="preserve">mail@zarya-grupp.example</t>
  </si>
  <si>
    <t xml:space="preserve">8 869 5081417</t>
  </si>
  <si>
    <t xml:space="preserve">ООО «Линия Фуд»</t>
  </si>
  <si>
    <t xml:space="preserve">5121648999313</t>
  </si>
  <si>
    <t xml:space="preserve">162401001</t>
  </si>
  <si>
    <t xml:space="preserve">г. Казань, ул. Заводская, д. 81, оф. 138</t>
  </si>
  <si>
    <t xml:space="preserve">Лебедева Т. О.</t>
  </si>
  <si>
    <t xml:space="preserve">sales@liniya-fud.example</t>
  </si>
  <si>
    <t xml:space="preserve">+7 (843) 541-2xx46</t>
  </si>
  <si>
    <t xml:space="preserve">ООО «Прогресс Мед»</t>
  </si>
  <si>
    <t xml:space="preserve">7703337956</t>
  </si>
  <si>
    <t xml:space="preserve">1197746259787</t>
  </si>
  <si>
    <t xml:space="preserve">770343009</t>
  </si>
  <si>
    <t xml:space="preserve">г. Москва, ул. Победы, д. 116, оф. 37</t>
  </si>
  <si>
    <t xml:space="preserve">Смирнов С. О.</t>
  </si>
  <si>
    <t xml:space="preserve">sales@progress-med.example</t>
  </si>
  <si>
    <t xml:space="preserve">8 495 5974615</t>
  </si>
  <si>
    <t xml:space="preserve">ООО «Берег Торг»</t>
  </si>
  <si>
    <t xml:space="preserve">7746374487</t>
  </si>
  <si>
    <t xml:space="preserve">5117725084659</t>
  </si>
  <si>
    <t xml:space="preserve">ХХ4601002</t>
  </si>
  <si>
    <t xml:space="preserve">г. Москва, ул. Центральная, д. 120, оф. 250</t>
  </si>
  <si>
    <t xml:space="preserve">Смирнова Т. С.</t>
  </si>
  <si>
    <t xml:space="preserve">mail@bereg-torg.example</t>
  </si>
  <si>
    <t xml:space="preserve">+74955662823</t>
  </si>
  <si>
    <t xml:space="preserve">ООО «Заря Софт»</t>
  </si>
  <si>
    <t xml:space="preserve">7737977739</t>
  </si>
  <si>
    <t xml:space="preserve">1227740215284</t>
  </si>
  <si>
    <t xml:space="preserve">773701009</t>
  </si>
  <si>
    <t xml:space="preserve">г. Москва, ул. Кирова, д. 65, оф. 31</t>
  </si>
  <si>
    <t xml:space="preserve">Петров С. М.</t>
  </si>
  <si>
    <t xml:space="preserve">mail@zarya-soft.example</t>
  </si>
  <si>
    <t xml:space="preserve">+7 (495) 574-87-52</t>
  </si>
  <si>
    <t xml:space="preserve">ООО «Импульс Монтаж»</t>
  </si>
  <si>
    <t xml:space="preserve">5210527226</t>
  </si>
  <si>
    <t xml:space="preserve">5205221125951</t>
  </si>
  <si>
    <t xml:space="preserve">524243009</t>
  </si>
  <si>
    <t xml:space="preserve">г. Нижний Новгород, ул. Центральная, д. 115, оф. 148</t>
  </si>
  <si>
    <t xml:space="preserve">Михайлова И. И.</t>
  </si>
  <si>
    <t xml:space="preserve">office@impuls-montazh.example</t>
  </si>
  <si>
    <t xml:space="preserve">+78315944626</t>
  </si>
  <si>
    <t xml:space="preserve">ООО «Тандем Торг»</t>
  </si>
  <si>
    <t xml:space="preserve">2303960363</t>
  </si>
  <si>
    <t xml:space="preserve">5132324684102</t>
  </si>
  <si>
    <t xml:space="preserve">230301007</t>
  </si>
  <si>
    <t xml:space="preserve">г. Краснодар, ул. Победы, д. 104, оф. 71</t>
  </si>
  <si>
    <t xml:space="preserve">Степанова Т. В.</t>
  </si>
  <si>
    <t xml:space="preserve">mail@tandem-torg.example</t>
  </si>
  <si>
    <t xml:space="preserve">8 861 5338843</t>
  </si>
  <si>
    <t xml:space="preserve">АО «Гранит Трейд»</t>
  </si>
  <si>
    <t xml:space="preserve">7706283723</t>
  </si>
  <si>
    <t xml:space="preserve">5177724030094</t>
  </si>
  <si>
    <t xml:space="preserve">770643005</t>
  </si>
  <si>
    <t xml:space="preserve">г. Москва, ул. Советская, д. 54, оф. 198</t>
  </si>
  <si>
    <t xml:space="preserve">Соколова С. О.</t>
  </si>
  <si>
    <t xml:space="preserve">sales@granit-treid.example</t>
  </si>
  <si>
    <t xml:space="preserve">+74955321947</t>
  </si>
  <si>
    <t xml:space="preserve">ООО «Вектор Принт»</t>
  </si>
  <si>
    <t xml:space="preserve">78159087501</t>
  </si>
  <si>
    <t xml:space="preserve">1177818603214</t>
  </si>
  <si>
    <t xml:space="preserve">781543008</t>
  </si>
  <si>
    <t xml:space="preserve">г. Санкт-Петербург, ул. Садовая, д. 25, оф. 285</t>
  </si>
  <si>
    <t xml:space="preserve">Семёнов Д. М.</t>
  </si>
  <si>
    <t xml:space="preserve">sales@vektor-print.example</t>
  </si>
  <si>
    <t xml:space="preserve">+78125075826</t>
  </si>
  <si>
    <t xml:space="preserve">ООО «Тандем Консалт»</t>
  </si>
  <si>
    <t xml:space="preserve">7742853626</t>
  </si>
  <si>
    <t xml:space="preserve">5037728805516</t>
  </si>
  <si>
    <t xml:space="preserve">774201007</t>
  </si>
  <si>
    <t xml:space="preserve">г. Москва, ул. Парковая, д. 14, оф. 139</t>
  </si>
  <si>
    <t xml:space="preserve">Смирнов Д. И.</t>
  </si>
  <si>
    <t xml:space="preserve">office@tandem-konsalt.example</t>
  </si>
  <si>
    <t xml:space="preserve">+74955289232</t>
  </si>
  <si>
    <t xml:space="preserve">ООО «Прогресс Стандарт»</t>
  </si>
  <si>
    <t xml:space="preserve">9125574448</t>
  </si>
  <si>
    <t xml:space="preserve">1179110904257</t>
  </si>
  <si>
    <t xml:space="preserve">912501007</t>
  </si>
  <si>
    <t xml:space="preserve">г. Симферополь, ул. Садовая, д. 38, оф. 40</t>
  </si>
  <si>
    <t xml:space="preserve">Павлова Н. С.</t>
  </si>
  <si>
    <t xml:space="preserve">office@progress-standart.example</t>
  </si>
  <si>
    <t xml:space="preserve">8 365 5524337</t>
  </si>
  <si>
    <t xml:space="preserve">ООО «Эталон Мед»</t>
  </si>
  <si>
    <t xml:space="preserve">2344481306</t>
  </si>
  <si>
    <t xml:space="preserve">5212344581950</t>
  </si>
  <si>
    <t xml:space="preserve">234445002</t>
  </si>
  <si>
    <t xml:space="preserve">г. Краснодар, ул. Заводская, д. 49, оф. 265</t>
  </si>
  <si>
    <t xml:space="preserve">Морозов А. Е.</t>
  </si>
  <si>
    <t xml:space="preserve">sales@etalon-med.example</t>
  </si>
  <si>
    <t xml:space="preserve">+78615602827</t>
  </si>
  <si>
    <t xml:space="preserve">ООО «Гранит Логистик»</t>
  </si>
  <si>
    <t xml:space="preserve">7421642609</t>
  </si>
  <si>
    <t xml:space="preserve">5157428015058</t>
  </si>
  <si>
    <t xml:space="preserve">742101006</t>
  </si>
  <si>
    <t xml:space="preserve">г. Челябинск, ул. Школьная, д. 83, оф. 271</t>
  </si>
  <si>
    <t xml:space="preserve">Егоров В. С.</t>
  </si>
  <si>
    <t xml:space="preserve">office@granit-logistik.example</t>
  </si>
  <si>
    <t xml:space="preserve">+73515953612</t>
  </si>
  <si>
    <t xml:space="preserve">АО «Линия Торг»</t>
  </si>
  <si>
    <t xml:space="preserve">5433444196</t>
  </si>
  <si>
    <t xml:space="preserve">1045426245457</t>
  </si>
  <si>
    <t xml:space="preserve">543301005</t>
  </si>
  <si>
    <t xml:space="preserve">г. Новосибирск, ул. Набережная, д. 59, оф. 35</t>
  </si>
  <si>
    <t xml:space="preserve">Егорова В. Н.</t>
  </si>
  <si>
    <t xml:space="preserve">zakaz@liniya-torg.example</t>
  </si>
  <si>
    <t xml:space="preserve">+7 (383) 557-43-76</t>
  </si>
  <si>
    <t xml:space="preserve">ООО «Радуга Монтаж»</t>
  </si>
  <si>
    <t xml:space="preserve">9105742905</t>
  </si>
  <si>
    <t xml:space="preserve">1169111180633</t>
  </si>
  <si>
    <t xml:space="preserve">230545001</t>
  </si>
  <si>
    <t xml:space="preserve">г. Симферополь, ул. Парковая, д. 99, оф. 168</t>
  </si>
  <si>
    <t xml:space="preserve">Петров Е. А.</t>
  </si>
  <si>
    <t xml:space="preserve">zakaz@raduga-montazh.example</t>
  </si>
  <si>
    <t xml:space="preserve">8 365 5556813</t>
  </si>
  <si>
    <t xml:space="preserve">АО «Дельта Стандарт»</t>
  </si>
  <si>
    <t xml:space="preserve">6123622612</t>
  </si>
  <si>
    <t xml:space="preserve">102610850483</t>
  </si>
  <si>
    <t xml:space="preserve">612345003</t>
  </si>
  <si>
    <t xml:space="preserve">г. Ростов-на-Дону, ул. Гагарина, д. 28, оф. 272</t>
  </si>
  <si>
    <t xml:space="preserve">Павлов С. М.</t>
  </si>
  <si>
    <t xml:space="preserve">office@delta-standart.example</t>
  </si>
  <si>
    <t xml:space="preserve">8 863 5505414</t>
  </si>
  <si>
    <t xml:space="preserve">ООО «Альфа Софт»</t>
  </si>
  <si>
    <t xml:space="preserve">9221753739</t>
  </si>
  <si>
    <t xml:space="preserve">1179241674204</t>
  </si>
  <si>
    <t xml:space="preserve">922143004</t>
  </si>
  <si>
    <t xml:space="preserve">г. Севастополь, ул. Садовая, д. 52, оф. 247</t>
  </si>
  <si>
    <t xml:space="preserve">Новикова Д. Д.</t>
  </si>
  <si>
    <t xml:space="preserve">mail@alfa-soft.example</t>
  </si>
  <si>
    <t xml:space="preserve">+7 (869) 561-19-49</t>
  </si>
  <si>
    <t xml:space="preserve">ООО «Берег Стандарт»</t>
  </si>
  <si>
    <t xml:space="preserve">7831150657</t>
  </si>
  <si>
    <t xml:space="preserve">1077847586772</t>
  </si>
  <si>
    <t xml:space="preserve">783101005</t>
  </si>
  <si>
    <t xml:space="preserve">г. Санкт-Петербург, ул. Ленина, д. 38, оф. 115</t>
  </si>
  <si>
    <t xml:space="preserve">Новикова В. Н.</t>
  </si>
  <si>
    <t xml:space="preserve">info@bereg-standart.example</t>
  </si>
  <si>
    <t xml:space="preserve">+7 (812) 573-63-45</t>
  </si>
  <si>
    <t xml:space="preserve">ООО «Феникс Транс»</t>
  </si>
  <si>
    <t xml:space="preserve">9222755557</t>
  </si>
  <si>
    <t xml:space="preserve">1189249270990</t>
  </si>
  <si>
    <t xml:space="preserve">922245002</t>
  </si>
  <si>
    <t xml:space="preserve">г. Севастополь, ул. Кирова, д. 38, оф. 171</t>
  </si>
  <si>
    <t xml:space="preserve">Кузнецов И. И.</t>
  </si>
  <si>
    <t xml:space="preserve">zakaz@feniks-trans.example</t>
  </si>
  <si>
    <t xml:space="preserve">8 869 5819</t>
  </si>
  <si>
    <t xml:space="preserve">АО «Квант Софт»</t>
  </si>
  <si>
    <t xml:space="preserve">7409476384</t>
  </si>
  <si>
    <t xml:space="preserve">1027447929915</t>
  </si>
  <si>
    <t xml:space="preserve">740901003</t>
  </si>
  <si>
    <t xml:space="preserve">г. Челябинск, ул. Садовая, д. 48, оф. 36</t>
  </si>
  <si>
    <t xml:space="preserve">Алексеева Н. Д.</t>
  </si>
  <si>
    <t xml:space="preserve">info@kvant-soft</t>
  </si>
  <si>
    <t xml:space="preserve">+73515412696</t>
  </si>
  <si>
    <t xml:space="preserve">ООО «Заря Транс»</t>
  </si>
  <si>
    <t xml:space="preserve">2412619185</t>
  </si>
  <si>
    <t xml:space="preserve">1032446472992</t>
  </si>
  <si>
    <t xml:space="preserve">241201009</t>
  </si>
  <si>
    <t xml:space="preserve">г. Красноярск, ул. Садовая, д. 46, оф. 298</t>
  </si>
  <si>
    <t xml:space="preserve">Козлова Т. А.</t>
  </si>
  <si>
    <t xml:space="preserve">mail@zarya-trans.example</t>
  </si>
  <si>
    <t xml:space="preserve">+73915097853</t>
  </si>
  <si>
    <t xml:space="preserve">ООО «Дельта Агро»</t>
  </si>
  <si>
    <t xml:space="preserve">2305409105</t>
  </si>
  <si>
    <t xml:space="preserve">5122324430091</t>
  </si>
  <si>
    <t xml:space="preserve">230543003</t>
  </si>
  <si>
    <t xml:space="preserve">г. Краснодар, ул. Победы, д. 22, оф. 106</t>
  </si>
  <si>
    <t xml:space="preserve">Иванов А. Н.</t>
  </si>
  <si>
    <t xml:space="preserve">mail@delta-agro.example</t>
  </si>
  <si>
    <t xml:space="preserve">+7 (861) 566-78-76</t>
  </si>
  <si>
    <t xml:space="preserve">ООО «Берег Технологии»</t>
  </si>
  <si>
    <t xml:space="preserve">7440043671</t>
  </si>
  <si>
    <t xml:space="preserve">1097416658778</t>
  </si>
  <si>
    <t xml:space="preserve">г. Челябинск, ул. Ленина, д. 102, оф. 175</t>
  </si>
  <si>
    <t xml:space="preserve">Попова С. М.</t>
  </si>
  <si>
    <t xml:space="preserve">sales@bereg-tekhnologii.example</t>
  </si>
  <si>
    <t xml:space="preserve">+73515119905</t>
  </si>
  <si>
    <t xml:space="preserve">АО «Линия Групп»</t>
  </si>
  <si>
    <t xml:space="preserve">5117732352359</t>
  </si>
  <si>
    <t xml:space="preserve">773601006</t>
  </si>
  <si>
    <t xml:space="preserve">г. Москва, ул. Мира, д. 77, оф. 290</t>
  </si>
  <si>
    <t xml:space="preserve">Волкова С. М.</t>
  </si>
  <si>
    <t xml:space="preserve">mail@liniya-grupp.example</t>
  </si>
  <si>
    <t xml:space="preserve">+74955199460</t>
  </si>
  <si>
    <t xml:space="preserve">ООО «Меридиан Торг»</t>
  </si>
  <si>
    <t xml:space="preserve">1241627119557</t>
  </si>
  <si>
    <t xml:space="preserve">743001009</t>
  </si>
  <si>
    <t xml:space="preserve">г. Казань, ул. Заводская, д. 28, оф. 6</t>
  </si>
  <si>
    <t xml:space="preserve">Николаев В. Д.</t>
  </si>
  <si>
    <t xml:space="preserve">office@meridian-torg.example</t>
  </si>
  <si>
    <t xml:space="preserve">8 843 5902723</t>
  </si>
  <si>
    <t xml:space="preserve">ООО «Юпитер Консалт»</t>
  </si>
  <si>
    <t xml:space="preserve">2321962116</t>
  </si>
  <si>
    <t xml:space="preserve">1232342726835</t>
  </si>
  <si>
    <t xml:space="preserve">232101008</t>
  </si>
  <si>
    <t xml:space="preserve">г. Краснодар, ул. Садовая, д. 15, оф. 75</t>
  </si>
  <si>
    <t xml:space="preserve">Егоров О. А.</t>
  </si>
  <si>
    <t xml:space="preserve">mail@yupiter-konsalt.example</t>
  </si>
  <si>
    <t xml:space="preserve">+78615983412</t>
  </si>
  <si>
    <t xml:space="preserve">ООО «Вектор Сервис»</t>
  </si>
  <si>
    <t xml:space="preserve">7803953356</t>
  </si>
  <si>
    <t xml:space="preserve">5087802656299</t>
  </si>
  <si>
    <t xml:space="preserve">780301001</t>
  </si>
  <si>
    <t xml:space="preserve">г. Санкт-Петербург, ул. Набережная, д. 50, оф. 81</t>
  </si>
  <si>
    <t xml:space="preserve">Егорова И. Н.</t>
  </si>
  <si>
    <t xml:space="preserve">zakaz@vektor-servis.example</t>
  </si>
  <si>
    <t xml:space="preserve">8 812 5441497</t>
  </si>
  <si>
    <t xml:space="preserve">АО «Заря Технологии»</t>
  </si>
  <si>
    <t xml:space="preserve">9201349609</t>
  </si>
  <si>
    <t xml:space="preserve">1059203380059</t>
  </si>
  <si>
    <t xml:space="preserve">920101008</t>
  </si>
  <si>
    <t xml:space="preserve">г. Севастополь, ул. Советская, д. 52, оф. 46</t>
  </si>
  <si>
    <t xml:space="preserve">Фёдоров О. В.</t>
  </si>
  <si>
    <t xml:space="preserve">mail@zarya-tekhnologii.example</t>
  </si>
  <si>
    <t xml:space="preserve">+7 (869) 587-97-27</t>
  </si>
  <si>
    <t xml:space="preserve">ООО «Эталон Монтаж»</t>
  </si>
  <si>
    <t xml:space="preserve">2426586050</t>
  </si>
  <si>
    <t xml:space="preserve">5232410533339</t>
  </si>
  <si>
    <t xml:space="preserve">242601006</t>
  </si>
  <si>
    <t xml:space="preserve">г. Красноярск, ул. Набережная, д. 87, оф. 45</t>
  </si>
  <si>
    <t xml:space="preserve">Смирнова С. Н.</t>
  </si>
  <si>
    <t xml:space="preserve">sales@etalon-montazh.example</t>
  </si>
  <si>
    <t xml:space="preserve">+7 (391) 565-54</t>
  </si>
  <si>
    <t xml:space="preserve">ООО «Квант Групп»</t>
  </si>
  <si>
    <t xml:space="preserve">2331048712</t>
  </si>
  <si>
    <t xml:space="preserve">1092306587560</t>
  </si>
  <si>
    <t xml:space="preserve">233101008</t>
  </si>
  <si>
    <t xml:space="preserve">г. Краснодар, ул. Ленина, д. 114, оф. 200</t>
  </si>
  <si>
    <t xml:space="preserve">Степанов А. Н.</t>
  </si>
  <si>
    <t xml:space="preserve">info@kvant-grupp.example</t>
  </si>
  <si>
    <t xml:space="preserve">8 861 5396702</t>
  </si>
  <si>
    <t xml:space="preserve">ООО «Линия Мед»</t>
  </si>
  <si>
    <t xml:space="preserve">2433315396</t>
  </si>
  <si>
    <t xml:space="preserve">5152433761321</t>
  </si>
  <si>
    <t xml:space="preserve">243301008</t>
  </si>
  <si>
    <t xml:space="preserve">г. Красноярск, ул. Победы, д. 59, оф. 222</t>
  </si>
  <si>
    <t xml:space="preserve">Новиков Т. Н.</t>
  </si>
  <si>
    <t xml:space="preserve">info@liniya-med.example</t>
  </si>
  <si>
    <t xml:space="preserve">8 391 5200468</t>
  </si>
  <si>
    <t xml:space="preserve">АО «Импульс Строй»</t>
  </si>
  <si>
    <t xml:space="preserve">2416575080</t>
  </si>
  <si>
    <t xml:space="preserve">5102448601613</t>
  </si>
  <si>
    <t xml:space="preserve">241601002</t>
  </si>
  <si>
    <t xml:space="preserve">г. Красноярск, ул. Центральная, д. 37, оф. 253</t>
  </si>
  <si>
    <t xml:space="preserve">Алексеева О. В.</t>
  </si>
  <si>
    <t xml:space="preserve">8 391 5663557</t>
  </si>
  <si>
    <t xml:space="preserve">ООО «Феникс Логистик»</t>
  </si>
  <si>
    <t xml:space="preserve">7801400035</t>
  </si>
  <si>
    <t xml:space="preserve">5147807732397</t>
  </si>
  <si>
    <t xml:space="preserve">780101002</t>
  </si>
  <si>
    <t xml:space="preserve">г. Санкт-Петербург, ул. Набережная, д. 105, оф. 121</t>
  </si>
  <si>
    <t xml:space="preserve">Лебедев О. И.</t>
  </si>
  <si>
    <t xml:space="preserve">office@feniks-logistik.example</t>
  </si>
  <si>
    <t xml:space="preserve">+7 (812) 512-70-78</t>
  </si>
  <si>
    <t xml:space="preserve">ООО «Атлант Трейд»</t>
  </si>
  <si>
    <t xml:space="preserve">9212135310</t>
  </si>
  <si>
    <t xml:space="preserve">5239233630818</t>
  </si>
  <si>
    <t xml:space="preserve">921201008</t>
  </si>
  <si>
    <t xml:space="preserve">г. Севастополь, ул. Набережная, д. 91, оф. 148</t>
  </si>
  <si>
    <t xml:space="preserve">Фёдоров С. И.</t>
  </si>
  <si>
    <t xml:space="preserve">mail@atlant-treid.example</t>
  </si>
  <si>
    <t xml:space="preserve">+78695676968</t>
  </si>
  <si>
    <t xml:space="preserve">ООО «Атлант Принт»</t>
  </si>
  <si>
    <t xml:space="preserve">7712650795</t>
  </si>
  <si>
    <t xml:space="preserve">1137723824347</t>
  </si>
  <si>
    <t xml:space="preserve">771201007</t>
  </si>
  <si>
    <t xml:space="preserve">г. Москва, ул. Центральная, д. 15, оф. 226</t>
  </si>
  <si>
    <t xml:space="preserve">Лебедев С. Д.</t>
  </si>
  <si>
    <t xml:space="preserve">mail@atlant-print.example</t>
  </si>
  <si>
    <t xml:space="preserve">+7 (495) 596-73-26</t>
  </si>
  <si>
    <t xml:space="preserve">ООО «Заря Трейд»</t>
  </si>
  <si>
    <t xml:space="preserve">7725243324</t>
  </si>
  <si>
    <t xml:space="preserve">772543008</t>
  </si>
  <si>
    <t xml:space="preserve">г. Москва, ул. Кирова, д. 55, оф. 201</t>
  </si>
  <si>
    <t xml:space="preserve">Попова Е. О.</t>
  </si>
  <si>
    <t xml:space="preserve">zakaz@zarya-treid.example</t>
  </si>
  <si>
    <t xml:space="preserve">+74955396101</t>
  </si>
  <si>
    <t xml:space="preserve">ООО «Горизонт Пласт»</t>
  </si>
  <si>
    <t xml:space="preserve">6607743390</t>
  </si>
  <si>
    <t xml:space="preserve">5026640782614</t>
  </si>
  <si>
    <t xml:space="preserve">660701008</t>
  </si>
  <si>
    <t xml:space="preserve">г. Екатеринбург, ул. Гагарина, д. 89, оф. 240</t>
  </si>
  <si>
    <t xml:space="preserve">Смирнова В. Т.</t>
  </si>
  <si>
    <t xml:space="preserve">mail@gorizont-plast.example</t>
  </si>
  <si>
    <t xml:space="preserve">8 343 5142763</t>
  </si>
  <si>
    <t xml:space="preserve">ООО «Импульс Торг»</t>
  </si>
  <si>
    <t xml:space="preserve">5420845137</t>
  </si>
  <si>
    <t xml:space="preserve">1175436210421</t>
  </si>
  <si>
    <t xml:space="preserve">542043006</t>
  </si>
  <si>
    <t xml:space="preserve">г. Новосибирск, ул. Центральная, д. 5, оф. 156</t>
  </si>
  <si>
    <t xml:space="preserve">Петрова Д. В.</t>
  </si>
  <si>
    <t xml:space="preserve">office@impuls-torg.example</t>
  </si>
  <si>
    <t xml:space="preserve">+7 (383) 576-73-42</t>
  </si>
  <si>
    <t xml:space="preserve">ООО «Атлант Пласт»</t>
  </si>
  <si>
    <t xml:space="preserve">9216701140</t>
  </si>
  <si>
    <t xml:space="preserve">5129214456388</t>
  </si>
  <si>
    <t xml:space="preserve">921601001</t>
  </si>
  <si>
    <t xml:space="preserve">г. Севастополь, ул. Школьная, д. 61, оф. 25</t>
  </si>
  <si>
    <t xml:space="preserve">Степанова Н. О.</t>
  </si>
  <si>
    <t xml:space="preserve">sales@atlant-plast.example</t>
  </si>
  <si>
    <t xml:space="preserve">8 869 5759858</t>
  </si>
  <si>
    <t xml:space="preserve">ООО «Юпитер Фуд»</t>
  </si>
  <si>
    <t xml:space="preserve">9207520429</t>
  </si>
  <si>
    <t xml:space="preserve">1239209510440</t>
  </si>
  <si>
    <t xml:space="preserve">г. Севастополь, ул. Гагарина, д. 24, оф. 59</t>
  </si>
  <si>
    <t xml:space="preserve">Николаев Н. Т.</t>
  </si>
  <si>
    <t xml:space="preserve">zakaz@yupiter-fud.example</t>
  </si>
  <si>
    <t xml:space="preserve">+78695933533</t>
  </si>
  <si>
    <t xml:space="preserve">ООО «Вектор Монтаж»</t>
  </si>
  <si>
    <t xml:space="preserve">5439627291</t>
  </si>
  <si>
    <t xml:space="preserve">5245421167294</t>
  </si>
  <si>
    <t xml:space="preserve">543601003</t>
  </si>
  <si>
    <t xml:space="preserve">г. Новосибирск, ул. Кирова, д. 44, оф. 13</t>
  </si>
  <si>
    <t xml:space="preserve">Морозов Т. Е.</t>
  </si>
  <si>
    <t xml:space="preserve">mail@vektor-montazh.example</t>
  </si>
  <si>
    <t xml:space="preserve">+73835928026</t>
  </si>
  <si>
    <t xml:space="preserve">ООО «Орбита Трейд»</t>
  </si>
  <si>
    <t xml:space="preserve">5006580626</t>
  </si>
  <si>
    <t xml:space="preserve">104502671367</t>
  </si>
  <si>
    <t xml:space="preserve">500601006</t>
  </si>
  <si>
    <t xml:space="preserve">г. Красногорск, ул. Садовая, д. 66, оф. 52</t>
  </si>
  <si>
    <t xml:space="preserve">Новикова И. В.</t>
  </si>
  <si>
    <t xml:space="preserve">zakaz@orbita-treid.example</t>
  </si>
  <si>
    <t xml:space="preserve">+7 (498) 522-19-12</t>
  </si>
  <si>
    <t xml:space="preserve">ООО «Юпитер Мед»</t>
  </si>
  <si>
    <t xml:space="preserve">7724264917</t>
  </si>
  <si>
    <t xml:space="preserve">1037723057525</t>
  </si>
  <si>
    <t xml:space="preserve">772401008</t>
  </si>
  <si>
    <t xml:space="preserve">г. Москва, ул. Кирова, д. 105, оф. 233</t>
  </si>
  <si>
    <t xml:space="preserve">Васильева В. Н.</t>
  </si>
  <si>
    <t xml:space="preserve">mail@yupiter-med.example</t>
  </si>
  <si>
    <t xml:space="preserve">+74955507840</t>
  </si>
  <si>
    <t xml:space="preserve">ООО «Меридиан Логистик»</t>
  </si>
  <si>
    <t xml:space="preserve">7713174997</t>
  </si>
  <si>
    <t xml:space="preserve">1217747269079</t>
  </si>
  <si>
    <t xml:space="preserve">771301007</t>
  </si>
  <si>
    <t xml:space="preserve">г. Москва, ул. Центральная, д. 102, оф. 138</t>
  </si>
  <si>
    <t xml:space="preserve">Иванов А. Е.</t>
  </si>
  <si>
    <t xml:space="preserve">zakaz@meridian-logistik.example</t>
  </si>
  <si>
    <t xml:space="preserve">8 495 5934763</t>
  </si>
  <si>
    <t xml:space="preserve">ООО «Импульс Групп»</t>
  </si>
  <si>
    <t xml:space="preserve">5245350523</t>
  </si>
  <si>
    <t xml:space="preserve">5095213088416</t>
  </si>
  <si>
    <t xml:space="preserve">524543002</t>
  </si>
  <si>
    <t xml:space="preserve">г. Нижний Новгород, ул. Набережная, д. 71, оф. 49</t>
  </si>
  <si>
    <t xml:space="preserve">Козлов Е. А.</t>
  </si>
  <si>
    <t xml:space="preserve">mail@impuls-grupp.example</t>
  </si>
  <si>
    <t xml:space="preserve">8 831 5198040</t>
  </si>
  <si>
    <t xml:space="preserve">ООО «Дельта Энерго»</t>
  </si>
  <si>
    <t xml:space="preserve">6112821334</t>
  </si>
  <si>
    <t xml:space="preserve">1246125502688</t>
  </si>
  <si>
    <t xml:space="preserve">611243002</t>
  </si>
  <si>
    <t xml:space="preserve">г. Ростов-на-Дону, ул. Советская, д. 108, оф. 6</t>
  </si>
  <si>
    <t xml:space="preserve">Петров Е. Д.</t>
  </si>
  <si>
    <t xml:space="preserve">mail@delta-energo.example</t>
  </si>
  <si>
    <t xml:space="preserve">+7 (863) 542-82-91</t>
  </si>
  <si>
    <t xml:space="preserve">ООО «Атлант Энерго»</t>
  </si>
  <si>
    <t xml:space="preserve">1045417536340</t>
  </si>
  <si>
    <t xml:space="preserve">544401008</t>
  </si>
  <si>
    <t xml:space="preserve">г. Новосибирск, ул. Садовая, д. 9, оф. 66</t>
  </si>
  <si>
    <t xml:space="preserve">Морозов А. Н.</t>
  </si>
  <si>
    <t xml:space="preserve">zakaz@atlant-energo.example</t>
  </si>
  <si>
    <t xml:space="preserve">+7 (383) 545-99-27</t>
  </si>
  <si>
    <t xml:space="preserve">ООО «Импульс Консалт»</t>
  </si>
  <si>
    <t xml:space="preserve">7803271473</t>
  </si>
  <si>
    <t xml:space="preserve">1127842664201</t>
  </si>
  <si>
    <t xml:space="preserve">780345004</t>
  </si>
  <si>
    <t xml:space="preserve">г. Санкт-Петербург, ул. Кирова, д. 18, оф. 244</t>
  </si>
  <si>
    <t xml:space="preserve">Кузнецова О. Е.</t>
  </si>
  <si>
    <t xml:space="preserve">info@impuls-konsalt.example</t>
  </si>
  <si>
    <t xml:space="preserve">+7 (812) 548-34-36</t>
  </si>
  <si>
    <t xml:space="preserve">ООО «Берег Групп»</t>
  </si>
  <si>
    <t xml:space="preserve">2319979070</t>
  </si>
  <si>
    <t xml:space="preserve">1112320209693</t>
  </si>
  <si>
    <t xml:space="preserve">231901005</t>
  </si>
  <si>
    <t xml:space="preserve">г. Краснодар, ул. Парковая, д. 16, оф. 118</t>
  </si>
  <si>
    <t xml:space="preserve">Петров Е. Т.</t>
  </si>
  <si>
    <t xml:space="preserve">mail@bereg-grupp.example</t>
  </si>
  <si>
    <t xml:space="preserve">+78615014777</t>
  </si>
  <si>
    <t xml:space="preserve">ООО «Навигатор Транс»</t>
  </si>
  <si>
    <t xml:space="preserve">7438521112</t>
  </si>
  <si>
    <t xml:space="preserve">1217445424987</t>
  </si>
  <si>
    <t xml:space="preserve">743801001</t>
  </si>
  <si>
    <t xml:space="preserve">г. Челябинск, ул. Гагарина, д. 110, оф. 174</t>
  </si>
  <si>
    <t xml:space="preserve">Морозова Т. Т.</t>
  </si>
  <si>
    <t xml:space="preserve">mail@navigator-trans.example</t>
  </si>
  <si>
    <t xml:space="preserve">+7 (351) 518-25-93</t>
  </si>
  <si>
    <t xml:space="preserve">АО «Гранит Пласт»</t>
  </si>
  <si>
    <t xml:space="preserve">5241428779</t>
  </si>
  <si>
    <t xml:space="preserve">5035207925253</t>
  </si>
  <si>
    <t xml:space="preserve">524101007</t>
  </si>
  <si>
    <t xml:space="preserve">г. Нижний Новгород, ул. Заводская, д. 24, оф. 55</t>
  </si>
  <si>
    <t xml:space="preserve">Павлова Е. В.</t>
  </si>
  <si>
    <t xml:space="preserve">zakaz@granit-plast.example</t>
  </si>
  <si>
    <t xml:space="preserve">+78315105721</t>
  </si>
  <si>
    <t xml:space="preserve">АО «Эталон Агро»</t>
  </si>
  <si>
    <t xml:space="preserve">7736820044</t>
  </si>
  <si>
    <t xml:space="preserve">5227705817565</t>
  </si>
  <si>
    <t xml:space="preserve">773601008</t>
  </si>
  <si>
    <t xml:space="preserve">г. Москва, ул. Ленина, д. 67, оф. 97</t>
  </si>
  <si>
    <t xml:space="preserve">Козлова С. С.</t>
  </si>
  <si>
    <t xml:space="preserve">mail@etalon-agro.example</t>
  </si>
  <si>
    <t xml:space="preserve">+74955783737</t>
  </si>
  <si>
    <t xml:space="preserve">ООО «Дельта Консалт»</t>
  </si>
  <si>
    <t xml:space="preserve">0240084117</t>
  </si>
  <si>
    <t xml:space="preserve">1200201641067</t>
  </si>
  <si>
    <t xml:space="preserve">024001002</t>
  </si>
  <si>
    <t xml:space="preserve">г. Уфа, ул. Школьная, д. 62, оф. 280</t>
  </si>
  <si>
    <t xml:space="preserve">Михайлов Т. М.</t>
  </si>
  <si>
    <t xml:space="preserve">mail@delta-konsalt.example</t>
  </si>
  <si>
    <t xml:space="preserve">8 347 513xx58</t>
  </si>
  <si>
    <t xml:space="preserve">ООО «Линия Технологии»</t>
  </si>
  <si>
    <t xml:space="preserve">6123885690</t>
  </si>
  <si>
    <t xml:space="preserve">1126148042019</t>
  </si>
  <si>
    <t xml:space="preserve">612301002</t>
  </si>
  <si>
    <t xml:space="preserve">г. Ростов-на-Дону, ул. Гагарина, д. 101, оф. 200</t>
  </si>
  <si>
    <t xml:space="preserve">Степанова В. А.</t>
  </si>
  <si>
    <t xml:space="preserve">mail@liniya-tekhnologii.example</t>
  </si>
  <si>
    <t xml:space="preserve">8 863 5259196</t>
  </si>
  <si>
    <t xml:space="preserve">ООО «Навигатор Технологии»</t>
  </si>
  <si>
    <t xml:space="preserve">9103983060</t>
  </si>
  <si>
    <t xml:space="preserve">5149119130243</t>
  </si>
  <si>
    <t xml:space="preserve">910301003</t>
  </si>
  <si>
    <t xml:space="preserve">г. Симферополь, ул. Школьная, д. 75, оф. 243</t>
  </si>
  <si>
    <t xml:space="preserve">Попова И. М.</t>
  </si>
  <si>
    <t xml:space="preserve">8 365 5242279</t>
  </si>
  <si>
    <t xml:space="preserve">ООО «Импульс Пласт»</t>
  </si>
  <si>
    <t xml:space="preserve">9136579656</t>
  </si>
  <si>
    <t xml:space="preserve">5099103653611</t>
  </si>
  <si>
    <t xml:space="preserve">913601001</t>
  </si>
  <si>
    <t xml:space="preserve">г. Симферополь, ул. Победы, д. 83, оф. 59</t>
  </si>
  <si>
    <t xml:space="preserve">Петрова Д. А.</t>
  </si>
  <si>
    <t xml:space="preserve">mail@impuls-plast.example</t>
  </si>
  <si>
    <t xml:space="preserve">+7 (365) 588-37-73</t>
  </si>
  <si>
    <t xml:space="preserve">АО «Дельта Транс»</t>
  </si>
  <si>
    <t xml:space="preserve">7711172480</t>
  </si>
  <si>
    <t xml:space="preserve">5127738754336</t>
  </si>
  <si>
    <t xml:space="preserve">771101001</t>
  </si>
  <si>
    <t xml:space="preserve">г. Москва, ул. Школьная, д. 48, оф. 73</t>
  </si>
  <si>
    <t xml:space="preserve">Попов Д. Н.</t>
  </si>
  <si>
    <t xml:space="preserve">sales@delta-trans.example</t>
  </si>
  <si>
    <t xml:space="preserve">+7 (495) 591-41-93</t>
  </si>
  <si>
    <t xml:space="preserve">ООО «Меридиан Групп»</t>
  </si>
  <si>
    <t xml:space="preserve">7718962014</t>
  </si>
  <si>
    <t xml:space="preserve">5037741736049</t>
  </si>
  <si>
    <t xml:space="preserve">771801009</t>
  </si>
  <si>
    <t xml:space="preserve">г. Москва, ул. Садовая, д. 78, оф. 169</t>
  </si>
  <si>
    <t xml:space="preserve">Иванов Е. О.</t>
  </si>
  <si>
    <t xml:space="preserve">office@meridian-grupp.example</t>
  </si>
  <si>
    <t xml:space="preserve">+7 (495) 550-14-58</t>
  </si>
  <si>
    <t xml:space="preserve">ООО «Навигатор Пласт»</t>
  </si>
  <si>
    <t xml:space="preserve">7845545937</t>
  </si>
  <si>
    <t xml:space="preserve">5207838471220</t>
  </si>
  <si>
    <t xml:space="preserve">784501008</t>
  </si>
  <si>
    <t xml:space="preserve">г. Санкт-Петербург, ул. Гагарина, д. 36, оф. 217</t>
  </si>
  <si>
    <t xml:space="preserve">Николаев О. С.</t>
  </si>
  <si>
    <t xml:space="preserve">mail@navigator-plast.example</t>
  </si>
  <si>
    <t xml:space="preserve">8 812 5758184</t>
  </si>
  <si>
    <t xml:space="preserve">ООО «Орбита Софт»</t>
  </si>
  <si>
    <t xml:space="preserve">6144060308</t>
  </si>
  <si>
    <t xml:space="preserve">1036149720474</t>
  </si>
  <si>
    <t xml:space="preserve">614401001</t>
  </si>
  <si>
    <t xml:space="preserve">г. Ростов-на-Дону, ул. Парковая, д. 38, оф. 189</t>
  </si>
  <si>
    <t xml:space="preserve">Морозов С. С.</t>
  </si>
  <si>
    <t xml:space="preserve">mail@orbita-soft.example</t>
  </si>
  <si>
    <t xml:space="preserve">8 863 5158224</t>
  </si>
  <si>
    <t xml:space="preserve">ООО «Орбита Консалт»</t>
  </si>
  <si>
    <t xml:space="preserve">2418360490</t>
  </si>
  <si>
    <t xml:space="preserve">1132408390388</t>
  </si>
  <si>
    <t xml:space="preserve">241801009</t>
  </si>
  <si>
    <t xml:space="preserve">г. Красноярск, ул. Мира, д. 44, оф. 296</t>
  </si>
  <si>
    <t xml:space="preserve">Егорова И. Т.</t>
  </si>
  <si>
    <t xml:space="preserve">zakaz@orbita-konsalt.example</t>
  </si>
  <si>
    <t xml:space="preserve">+73915197230</t>
  </si>
  <si>
    <t xml:space="preserve">ООО «Заря Пласт»</t>
  </si>
  <si>
    <t xml:space="preserve">7836849223</t>
  </si>
  <si>
    <t xml:space="preserve">1187847445818</t>
  </si>
  <si>
    <t xml:space="preserve">783643001</t>
  </si>
  <si>
    <t xml:space="preserve">г. Санкт-Петербург, ул. Парковая, д. 111, оф. 194</t>
  </si>
  <si>
    <t xml:space="preserve">Егорова Е. Е.</t>
  </si>
  <si>
    <t xml:space="preserve">office@zarya-plast.example</t>
  </si>
  <si>
    <t xml:space="preserve">+7 (812) 536-57-47</t>
  </si>
  <si>
    <t xml:space="preserve">ООО «Вектор Строй»</t>
  </si>
  <si>
    <t xml:space="preserve">6624139357</t>
  </si>
  <si>
    <t xml:space="preserve">5226649148281</t>
  </si>
  <si>
    <t xml:space="preserve">662443008</t>
  </si>
  <si>
    <t xml:space="preserve">г. Екатеринбург, ул. Садовая, д. 105, оф. 174</t>
  </si>
  <si>
    <t xml:space="preserve">Семёнова И. А.</t>
  </si>
  <si>
    <t xml:space="preserve">info@vektor-stroy.example</t>
  </si>
  <si>
    <t xml:space="preserve">+7 (343) 543-28-62</t>
  </si>
  <si>
    <t xml:space="preserve">ООО «Гранит Технологии»</t>
  </si>
  <si>
    <t xml:space="preserve">5443786745</t>
  </si>
  <si>
    <t xml:space="preserve">5135413679836</t>
  </si>
  <si>
    <t xml:space="preserve">544343005</t>
  </si>
  <si>
    <t xml:space="preserve">г. Новосибирск, ул. Набережная, д. 18, оф. 98</t>
  </si>
  <si>
    <t xml:space="preserve">Михайлова О. Т.</t>
  </si>
  <si>
    <t xml:space="preserve">zakaz@granit-tekhnologii.example</t>
  </si>
  <si>
    <t xml:space="preserve">+73835570707</t>
  </si>
  <si>
    <t xml:space="preserve">ООО «Тандем Монтаж»</t>
  </si>
  <si>
    <t xml:space="preserve">0226055040</t>
  </si>
  <si>
    <t xml:space="preserve">1100238544966</t>
  </si>
  <si>
    <t xml:space="preserve">022601003</t>
  </si>
  <si>
    <t xml:space="preserve">г. Уфа, ул. Парковая, д. 63, оф. 78</t>
  </si>
  <si>
    <t xml:space="preserve">Попов С. С.</t>
  </si>
  <si>
    <t xml:space="preserve">sales@tandem-montazh.example</t>
  </si>
  <si>
    <t xml:space="preserve">8 347 5247089</t>
  </si>
  <si>
    <t xml:space="preserve">АО «Импульс Проект»</t>
  </si>
  <si>
    <t xml:space="preserve">2317816360</t>
  </si>
  <si>
    <t xml:space="preserve">1192333351253</t>
  </si>
  <si>
    <t xml:space="preserve">231743009</t>
  </si>
  <si>
    <t xml:space="preserve">г. Краснодар, ул. Центральная, д. 44, оф. 88</t>
  </si>
  <si>
    <t xml:space="preserve">Смирнов М. Е.</t>
  </si>
  <si>
    <t xml:space="preserve">office@impuls-proekt.example</t>
  </si>
  <si>
    <t xml:space="preserve">+78615197042</t>
  </si>
  <si>
    <t xml:space="preserve">ООО «Дельта Монтаж»</t>
  </si>
  <si>
    <t xml:space="preserve">9249281331</t>
  </si>
  <si>
    <t xml:space="preserve">1039240446409</t>
  </si>
  <si>
    <t xml:space="preserve">92490100</t>
  </si>
  <si>
    <t xml:space="preserve">г. Севастополь, ул. Заводская, д. 75, оф. 6</t>
  </si>
  <si>
    <t xml:space="preserve">Васильева О. Т.</t>
  </si>
  <si>
    <t xml:space="preserve">office@delta-montazh.example</t>
  </si>
  <si>
    <t xml:space="preserve">+7 (869) 558-72-54</t>
  </si>
  <si>
    <t xml:space="preserve">АО «Орбита Логистик»</t>
  </si>
  <si>
    <t xml:space="preserve">7707307141</t>
  </si>
  <si>
    <t xml:space="preserve">5087745915868</t>
  </si>
  <si>
    <t xml:space="preserve">770745006</t>
  </si>
  <si>
    <t xml:space="preserve">г. Москва, ул. Победы, д. 74, оф. 196</t>
  </si>
  <si>
    <t xml:space="preserve">Васильева М. О.</t>
  </si>
  <si>
    <t xml:space="preserve">mail@orbita-logistik.example</t>
  </si>
  <si>
    <t xml:space="preserve">+7 (495) 532-92-63</t>
  </si>
  <si>
    <t xml:space="preserve">ООО «Тандем Строй»</t>
  </si>
  <si>
    <t xml:space="preserve">9118836565</t>
  </si>
  <si>
    <t xml:space="preserve">1069115831465</t>
  </si>
  <si>
    <t xml:space="preserve">911845007</t>
  </si>
  <si>
    <t xml:space="preserve">г. Симферополь, ул. Мира, д. 53, оф. 94</t>
  </si>
  <si>
    <t xml:space="preserve">Козлов В. О.</t>
  </si>
  <si>
    <t xml:space="preserve">mail@tandem-stroy</t>
  </si>
  <si>
    <t xml:space="preserve">8 365 5759661</t>
  </si>
  <si>
    <t xml:space="preserve">ООО «Берег Пласт»</t>
  </si>
  <si>
    <t xml:space="preserve">5424315719</t>
  </si>
  <si>
    <t xml:space="preserve">5205416508798</t>
  </si>
  <si>
    <t xml:space="preserve">542445007</t>
  </si>
  <si>
    <t xml:space="preserve">г. Новосибирск, ул. Парковая, д. 52, оф. 234</t>
  </si>
  <si>
    <t xml:space="preserve">Иванов Д. И.</t>
  </si>
  <si>
    <t xml:space="preserve">sales@bereg-plast.example</t>
  </si>
  <si>
    <t xml:space="preserve">8 383 5326084</t>
  </si>
  <si>
    <t xml:space="preserve">ООО «Вектор Мед»</t>
  </si>
  <si>
    <t xml:space="preserve">7810511616</t>
  </si>
  <si>
    <t xml:space="preserve">1237833721993</t>
  </si>
  <si>
    <t xml:space="preserve">781001003</t>
  </si>
  <si>
    <t xml:space="preserve">Степанова В. С.</t>
  </si>
  <si>
    <t xml:space="preserve">mail@vektor-med.example</t>
  </si>
  <si>
    <t xml:space="preserve">+7 (812) 509-88-71</t>
  </si>
  <si>
    <t xml:space="preserve">ООО «Гранит Фуд»</t>
  </si>
  <si>
    <t xml:space="preserve">7702056416</t>
  </si>
  <si>
    <t xml:space="preserve">5127708342735</t>
  </si>
  <si>
    <t xml:space="preserve">770201004</t>
  </si>
  <si>
    <t xml:space="preserve">г. Москва, ул. Ленина, д. 84, оф. 290</t>
  </si>
  <si>
    <t xml:space="preserve">Попов М. Т.</t>
  </si>
  <si>
    <t xml:space="preserve">office@granit-fud.example</t>
  </si>
  <si>
    <t xml:space="preserve">8 495 5589505</t>
  </si>
  <si>
    <t xml:space="preserve">АО «Горизонт Мед»</t>
  </si>
  <si>
    <t xml:space="preserve">7702636600</t>
  </si>
  <si>
    <t xml:space="preserve">1207725353428</t>
  </si>
  <si>
    <t xml:space="preserve">770243008</t>
  </si>
  <si>
    <t xml:space="preserve">г. Москва, ул. Набережная, д. 99, оф. 116</t>
  </si>
  <si>
    <t xml:space="preserve">Фёдорова В. О.</t>
  </si>
  <si>
    <t xml:space="preserve">info@gorizont-med.example</t>
  </si>
  <si>
    <t xml:space="preserve">+74955770543</t>
  </si>
  <si>
    <t xml:space="preserve">ООО «Квант Мед»</t>
  </si>
  <si>
    <t xml:space="preserve">5422397498</t>
  </si>
  <si>
    <t xml:space="preserve">5045441244844</t>
  </si>
  <si>
    <t xml:space="preserve">542201002</t>
  </si>
  <si>
    <t xml:space="preserve">г. Новосибирск, ул. Заводская, д. 82, оф. 145</t>
  </si>
  <si>
    <t xml:space="preserve">Новикова А. Е.</t>
  </si>
  <si>
    <t xml:space="preserve">info@kvant-med.example</t>
  </si>
  <si>
    <t xml:space="preserve">+73835557291</t>
  </si>
  <si>
    <t xml:space="preserve">ООО «Прогресс Транс»</t>
  </si>
  <si>
    <t xml:space="preserve">7727698944</t>
  </si>
  <si>
    <t xml:space="preserve">5217741019161</t>
  </si>
  <si>
    <t xml:space="preserve">772701002</t>
  </si>
  <si>
    <t xml:space="preserve">г. Москва, ул. Советская, д. 41, оф. 56</t>
  </si>
  <si>
    <t xml:space="preserve">Фёдорова А. М.</t>
  </si>
  <si>
    <t xml:space="preserve">mail@progress-trans.example</t>
  </si>
  <si>
    <t xml:space="preserve">+74955671381</t>
  </si>
  <si>
    <t xml:space="preserve">ООО «Берег Консалт»</t>
  </si>
  <si>
    <t xml:space="preserve">02125241332</t>
  </si>
  <si>
    <t xml:space="preserve">5050236983099</t>
  </si>
  <si>
    <t xml:space="preserve">021243009</t>
  </si>
  <si>
    <t xml:space="preserve">г. Уфа, ул. Школьная, д. 12, оф. 218</t>
  </si>
  <si>
    <t xml:space="preserve">Павлова М. А.</t>
  </si>
  <si>
    <t xml:space="preserve">sales@bereg-konsalt.example</t>
  </si>
  <si>
    <t xml:space="preserve">+73475776604</t>
  </si>
  <si>
    <t xml:space="preserve">ООО «Квант Сервис»</t>
  </si>
  <si>
    <t xml:space="preserve">7701433580</t>
  </si>
  <si>
    <t xml:space="preserve">5207722120722</t>
  </si>
  <si>
    <t xml:space="preserve">770601001</t>
  </si>
  <si>
    <t xml:space="preserve">г. Москва, ул. Победы, д. 46, оф. 144</t>
  </si>
  <si>
    <t xml:space="preserve">Семёнова Т. Т.</t>
  </si>
  <si>
    <t xml:space="preserve">zakaz@kvant-servis.example</t>
  </si>
  <si>
    <t xml:space="preserve">8 495 5846578</t>
  </si>
  <si>
    <t xml:space="preserve">ООО «Горизонт Проект»</t>
  </si>
  <si>
    <t xml:space="preserve">2413327837</t>
  </si>
  <si>
    <t xml:space="preserve">1082410605221</t>
  </si>
  <si>
    <t xml:space="preserve">241345006</t>
  </si>
  <si>
    <t xml:space="preserve">г. Красноярск, ул. Парковая, д. 71, оф. 59</t>
  </si>
  <si>
    <t xml:space="preserve">Алексеева С. Н.</t>
  </si>
  <si>
    <t xml:space="preserve">office@gorizont-proekt.example</t>
  </si>
  <si>
    <t xml:space="preserve">8 391 5283353</t>
  </si>
  <si>
    <t xml:space="preserve">АО «Берег Энерго»</t>
  </si>
  <si>
    <t xml:space="preserve">6633538654</t>
  </si>
  <si>
    <t xml:space="preserve">1236612358333</t>
  </si>
  <si>
    <t xml:space="preserve">663301006</t>
  </si>
  <si>
    <t xml:space="preserve">г. Екатеринбург, ул. Заводская, д. 35, оф. 125</t>
  </si>
  <si>
    <t xml:space="preserve">Иванова Д. М.</t>
  </si>
  <si>
    <t xml:space="preserve">sales@bereg-energo.example</t>
  </si>
  <si>
    <t xml:space="preserve">+7 (343) 590-96-85</t>
  </si>
  <si>
    <t xml:space="preserve">АО «Юпитер Технологии»</t>
  </si>
  <si>
    <t xml:space="preserve">6118О49084</t>
  </si>
  <si>
    <t xml:space="preserve">1096148227625</t>
  </si>
  <si>
    <t xml:space="preserve">611843002</t>
  </si>
  <si>
    <t xml:space="preserve">г. Ростов-на-Дону, ул. Гагарина, д. 19, оф. 244</t>
  </si>
  <si>
    <t xml:space="preserve">Петрова В. И.</t>
  </si>
  <si>
    <t xml:space="preserve">office@yupiter-tekhnologii.example</t>
  </si>
  <si>
    <t xml:space="preserve">+78635975859</t>
  </si>
  <si>
    <t xml:space="preserve">АО «Радуга Пласт»</t>
  </si>
  <si>
    <t xml:space="preserve">6142507848</t>
  </si>
  <si>
    <t xml:space="preserve">5066147627739</t>
  </si>
  <si>
    <t xml:space="preserve">61420100</t>
  </si>
  <si>
    <t xml:space="preserve">г. Ростов-на-Дону, ул. Заводская, д. 110, оф. 162</t>
  </si>
  <si>
    <t xml:space="preserve">mail@raduga-plast.example</t>
  </si>
  <si>
    <t xml:space="preserve">+78635960312</t>
  </si>
  <si>
    <t xml:space="preserve">ООО «Радуга Торг»</t>
  </si>
  <si>
    <t xml:space="preserve">6637188841</t>
  </si>
  <si>
    <t xml:space="preserve">1206608151815</t>
  </si>
  <si>
    <t xml:space="preserve">663701002</t>
  </si>
  <si>
    <t xml:space="preserve">г. Екатеринбург, ул. Заводская, д. 108, оф. 21</t>
  </si>
  <si>
    <t xml:space="preserve">Иванова Т. Е.</t>
  </si>
  <si>
    <t xml:space="preserve">sales@raduga-torg.example</t>
  </si>
  <si>
    <t xml:space="preserve">+73435276162</t>
  </si>
  <si>
    <t xml:space="preserve">ООО «Горизонт Групп»</t>
  </si>
  <si>
    <t xml:space="preserve">5013155226</t>
  </si>
  <si>
    <t xml:space="preserve">5205041921552</t>
  </si>
  <si>
    <t xml:space="preserve">501345006</t>
  </si>
  <si>
    <t xml:space="preserve">г. Красногорск, ул. Ленина, д. 79, оф. 108</t>
  </si>
  <si>
    <t xml:space="preserve">Степанова О. В.</t>
  </si>
  <si>
    <t xml:space="preserve">mail@gorizont-grupp.example</t>
  </si>
  <si>
    <t xml:space="preserve">+7 (498) 586-32-37</t>
  </si>
  <si>
    <t xml:space="preserve">ООО «Навигатор Принт»</t>
  </si>
  <si>
    <t xml:space="preserve">0240221331</t>
  </si>
  <si>
    <t xml:space="preserve">5150214105366</t>
  </si>
  <si>
    <t xml:space="preserve">г. Уфа, ул. Советская, д. 58, оф. 247</t>
  </si>
  <si>
    <t xml:space="preserve">Смирнов И. С.</t>
  </si>
  <si>
    <t xml:space="preserve">sales@navigator-print.example</t>
  </si>
  <si>
    <t xml:space="preserve">+7 (347) 522-64-32</t>
  </si>
  <si>
    <t xml:space="preserve">АО «Эталон Логистик»</t>
  </si>
  <si>
    <t xml:space="preserve">7711919002</t>
  </si>
  <si>
    <t xml:space="preserve">1217711491194</t>
  </si>
  <si>
    <t xml:space="preserve">741143001</t>
  </si>
  <si>
    <t xml:space="preserve">г. Москва, ул. Набережная, д. 11, оф. 237</t>
  </si>
  <si>
    <t xml:space="preserve">Новикова С. Д.</t>
  </si>
  <si>
    <t xml:space="preserve">office@etalon-logistik.example</t>
  </si>
  <si>
    <t xml:space="preserve">+7 (495) 549-32-21</t>
  </si>
  <si>
    <t xml:space="preserve">ООО «Альфа Проект»</t>
  </si>
  <si>
    <t xml:space="preserve">6347701966</t>
  </si>
  <si>
    <t xml:space="preserve">634701003</t>
  </si>
  <si>
    <t xml:space="preserve">г. Самара, ул. Парковая, д. 24, оф. 139</t>
  </si>
  <si>
    <t xml:space="preserve">Морозова О. А.</t>
  </si>
  <si>
    <t xml:space="preserve">mail@alfa-proekt.example</t>
  </si>
  <si>
    <t xml:space="preserve">+7 (846) 553-51-10</t>
  </si>
  <si>
    <t xml:space="preserve">ООО «Феникс Монтаж»</t>
  </si>
  <si>
    <t xml:space="preserve">5401149920</t>
  </si>
  <si>
    <t xml:space="preserve">5225407184910</t>
  </si>
  <si>
    <t xml:space="preserve">540145005</t>
  </si>
  <si>
    <t xml:space="preserve">г. Новосибирск, ул. Парковая, д. 21, оф. 48</t>
  </si>
  <si>
    <t xml:space="preserve">Попова Д. Е.</t>
  </si>
  <si>
    <t xml:space="preserve">mail@feniks-montazh.example</t>
  </si>
  <si>
    <t xml:space="preserve">+73835202377</t>
  </si>
  <si>
    <t xml:space="preserve">ООО «Линия Строй»</t>
  </si>
  <si>
    <t xml:space="preserve">7815640171</t>
  </si>
  <si>
    <t xml:space="preserve">5117833491420</t>
  </si>
  <si>
    <t xml:space="preserve">781501002</t>
  </si>
  <si>
    <t xml:space="preserve">г. Санкт-Петербург, ул. Советская, д. 23, оф. 258</t>
  </si>
  <si>
    <t xml:space="preserve">Соколов Е. В.</t>
  </si>
  <si>
    <t xml:space="preserve">office@liniya-stroy.example</t>
  </si>
  <si>
    <t xml:space="preserve">+78125615958</t>
  </si>
  <si>
    <t xml:space="preserve">ООО «Феникс Трейд»</t>
  </si>
  <si>
    <t xml:space="preserve">771129760</t>
  </si>
  <si>
    <t xml:space="preserve">1087722750257</t>
  </si>
  <si>
    <t xml:space="preserve">771101009</t>
  </si>
  <si>
    <t xml:space="preserve">г. Москва, ул. Центральная, д. 42, оф. 140</t>
  </si>
  <si>
    <t xml:space="preserve">Иванова О. С.</t>
  </si>
  <si>
    <t xml:space="preserve">zakaz@feniks-treid.example</t>
  </si>
  <si>
    <t xml:space="preserve">8 495 5320599</t>
  </si>
  <si>
    <t xml:space="preserve">ООО «Юпитер Пласт»</t>
  </si>
  <si>
    <t xml:space="preserve">7820130183</t>
  </si>
  <si>
    <t xml:space="preserve">5117820092209</t>
  </si>
  <si>
    <t xml:space="preserve">782001003</t>
  </si>
  <si>
    <t xml:space="preserve">г. Санкт-Петербург, ул. Ленина, д. 57, оф. 220</t>
  </si>
  <si>
    <t xml:space="preserve">Николаев А. В.</t>
  </si>
  <si>
    <t xml:space="preserve">mail@yupiter-plast.example</t>
  </si>
  <si>
    <t xml:space="preserve">+7 (812) 581-41</t>
  </si>
  <si>
    <t xml:space="preserve">АО «Прогресс Снаб»</t>
  </si>
  <si>
    <t xml:space="preserve">9203348336</t>
  </si>
  <si>
    <t xml:space="preserve">1219219497881</t>
  </si>
  <si>
    <t xml:space="preserve">920301007</t>
  </si>
  <si>
    <t xml:space="preserve">г. Севастополь, ул. Центральная, д. 36, оф. 72</t>
  </si>
  <si>
    <t xml:space="preserve">Смирнова В. М.</t>
  </si>
  <si>
    <t xml:space="preserve">zakaz@progress-snab.example</t>
  </si>
  <si>
    <t xml:space="preserve">+7 (869) 564-2xx73</t>
  </si>
  <si>
    <t xml:space="preserve">АО «Эталон Консалт»</t>
  </si>
  <si>
    <t xml:space="preserve">7708157643</t>
  </si>
  <si>
    <t xml:space="preserve">5037742564206</t>
  </si>
  <si>
    <t xml:space="preserve">770801003</t>
  </si>
  <si>
    <t xml:space="preserve">г. Москва, ул. Мира, д. 114, оф. 113</t>
  </si>
  <si>
    <t xml:space="preserve">Кузнецов С. Т.</t>
  </si>
  <si>
    <t xml:space="preserve">office@etalon-konsalt.example</t>
  </si>
  <si>
    <t xml:space="preserve">8 495 5274392</t>
  </si>
  <si>
    <t xml:space="preserve">ООО «Заря Снаб»</t>
  </si>
  <si>
    <t xml:space="preserve">1607706342</t>
  </si>
  <si>
    <t xml:space="preserve">1151619583983</t>
  </si>
  <si>
    <t xml:space="preserve">160701004</t>
  </si>
  <si>
    <t xml:space="preserve">г. Казань, ул. Ленина, д. 103, оф. 283</t>
  </si>
  <si>
    <t xml:space="preserve">Морозов Т. Н.</t>
  </si>
  <si>
    <t xml:space="preserve">zakaz@zarya-snab.example</t>
  </si>
  <si>
    <t xml:space="preserve">+78435622349</t>
  </si>
  <si>
    <t xml:space="preserve">ООО «Линия Стандарт»</t>
  </si>
  <si>
    <t xml:space="preserve">2301434703</t>
  </si>
  <si>
    <t xml:space="preserve">1022325201249</t>
  </si>
  <si>
    <t xml:space="preserve">230101002</t>
  </si>
  <si>
    <t xml:space="preserve">г. Краснодар, ул. Парковая, д. 73, оф. 56</t>
  </si>
  <si>
    <t xml:space="preserve">Новикова И. Н.</t>
  </si>
  <si>
    <t xml:space="preserve">mail@liniya-standart.example</t>
  </si>
  <si>
    <t xml:space="preserve">8 861 5162980</t>
  </si>
  <si>
    <t xml:space="preserve">ООО «Импульс Агро»</t>
  </si>
  <si>
    <t xml:space="preserve">6125844410</t>
  </si>
  <si>
    <t xml:space="preserve">1086146947017</t>
  </si>
  <si>
    <t xml:space="preserve">612543009</t>
  </si>
  <si>
    <t xml:space="preserve">г. Ростов-на-Дону, ул. Заводская, д. 119, оф. 202</t>
  </si>
  <si>
    <t xml:space="preserve">Егоров И. Е.</t>
  </si>
  <si>
    <t xml:space="preserve">mail@impuls-agro.example</t>
  </si>
  <si>
    <t xml:space="preserve">+78635418921</t>
  </si>
  <si>
    <t xml:space="preserve">ООО «Эталон Стандарт»</t>
  </si>
  <si>
    <t xml:space="preserve">6332573711</t>
  </si>
  <si>
    <t xml:space="preserve">5056343493861</t>
  </si>
  <si>
    <t xml:space="preserve">633201006</t>
  </si>
  <si>
    <t xml:space="preserve">г. Самара, ул. Заводская, д. 17, оф. 260</t>
  </si>
  <si>
    <t xml:space="preserve">Михайлов Е. А.</t>
  </si>
  <si>
    <t xml:space="preserve">mail@etalon-standart.example</t>
  </si>
  <si>
    <t xml:space="preserve">8 846 5935153</t>
  </si>
  <si>
    <t xml:space="preserve">АО «Орбита Транс»</t>
  </si>
  <si>
    <t xml:space="preserve">6633733486</t>
  </si>
  <si>
    <t xml:space="preserve">1026611977920</t>
  </si>
  <si>
    <t xml:space="preserve">663301004</t>
  </si>
  <si>
    <t xml:space="preserve">г. Екатеринбург, ул. Центральная, д. 99, оф. 39</t>
  </si>
  <si>
    <t xml:space="preserve">Алексеев М. М.</t>
  </si>
  <si>
    <t xml:space="preserve">sales@orbita-trans.example</t>
  </si>
  <si>
    <t xml:space="preserve">8 343 5837815</t>
  </si>
  <si>
    <t xml:space="preserve">ООО «Линия Агро»</t>
  </si>
  <si>
    <t xml:space="preserve">9212758233</t>
  </si>
  <si>
    <t xml:space="preserve">5099247036062</t>
  </si>
  <si>
    <t xml:space="preserve">921201001</t>
  </si>
  <si>
    <t xml:space="preserve">г. Севастополь, ул. Школьная, д. 76, оф. 157</t>
  </si>
  <si>
    <t xml:space="preserve">Новиков И. И.</t>
  </si>
  <si>
    <t xml:space="preserve">info@liniya-agro.example</t>
  </si>
  <si>
    <t xml:space="preserve">8 869 5869686</t>
  </si>
  <si>
    <t xml:space="preserve">ООО «Радуга Сервис»</t>
  </si>
  <si>
    <t xml:space="preserve">6105854040</t>
  </si>
  <si>
    <t xml:space="preserve">1146111640510</t>
  </si>
  <si>
    <t xml:space="preserve">610501004</t>
  </si>
  <si>
    <t xml:space="preserve">г. Ростов-на-Дону, ул. Ленина, д. 90, оф. 159</t>
  </si>
  <si>
    <t xml:space="preserve">Иванов Д. А.</t>
  </si>
  <si>
    <t xml:space="preserve">zakaz@raduga-servis.example</t>
  </si>
  <si>
    <t xml:space="preserve">8 863 5553049</t>
  </si>
  <si>
    <t xml:space="preserve">ООО «Горизонт Сервис»</t>
  </si>
  <si>
    <t xml:space="preserve">1648262199</t>
  </si>
  <si>
    <t xml:space="preserve">5111638241919</t>
  </si>
  <si>
    <t xml:space="preserve">164843005</t>
  </si>
  <si>
    <t xml:space="preserve">г. Казань, ул. Ленина, д. 67, оф. 273</t>
  </si>
  <si>
    <t xml:space="preserve">Морозова И. О.</t>
  </si>
  <si>
    <t xml:space="preserve">zakaz@gorizont-servis.example</t>
  </si>
  <si>
    <t xml:space="preserve">8 843 5961064</t>
  </si>
  <si>
    <t xml:space="preserve">АО «Радуга Консалт»</t>
  </si>
  <si>
    <t xml:space="preserve">5044965319</t>
  </si>
  <si>
    <t xml:space="preserve">5145010187757</t>
  </si>
  <si>
    <t xml:space="preserve">504401001</t>
  </si>
  <si>
    <t xml:space="preserve">г. Красногорск, ул. Советская, д. 115, оф. 66</t>
  </si>
  <si>
    <t xml:space="preserve">Кузнецов Е. Н.</t>
  </si>
  <si>
    <t xml:space="preserve">sales@raduga-konsalt.example</t>
  </si>
  <si>
    <t xml:space="preserve">+74985832089</t>
  </si>
  <si>
    <t xml:space="preserve">ООО «Линия Снаб»</t>
  </si>
  <si>
    <t xml:space="preserve">7436321069</t>
  </si>
  <si>
    <t xml:space="preserve">1127437329766</t>
  </si>
  <si>
    <t xml:space="preserve">743645004</t>
  </si>
  <si>
    <t xml:space="preserve">г. Челябинск, ул. Кирова, д. 120, оф. 161</t>
  </si>
  <si>
    <t xml:space="preserve">Смирнова В. Е.</t>
  </si>
  <si>
    <t xml:space="preserve">mail@liniya-snab.example</t>
  </si>
  <si>
    <t xml:space="preserve">8 351 5432310</t>
  </si>
  <si>
    <t xml:space="preserve">ООО «Импульс Стандарт»</t>
  </si>
  <si>
    <t xml:space="preserve">7715092034</t>
  </si>
  <si>
    <t xml:space="preserve">5247731501122</t>
  </si>
  <si>
    <t xml:space="preserve">771545005</t>
  </si>
  <si>
    <t xml:space="preserve">г. Москва, ул. Советская, д. 36, оф. 34</t>
  </si>
  <si>
    <t xml:space="preserve">Васильева И. О.</t>
  </si>
  <si>
    <t xml:space="preserve">mail@impuls-standart.example</t>
  </si>
  <si>
    <t xml:space="preserve">+74955084799</t>
  </si>
  <si>
    <t xml:space="preserve">ООО «Квант Транс»</t>
  </si>
  <si>
    <t xml:space="preserve">2308119669</t>
  </si>
  <si>
    <t xml:space="preserve">506234092762</t>
  </si>
  <si>
    <t xml:space="preserve">23080100</t>
  </si>
  <si>
    <t xml:space="preserve">г. Краснодар, ул. Центральная, д. 50, оф. 130</t>
  </si>
  <si>
    <t xml:space="preserve">Алексеева Н. Н.</t>
  </si>
  <si>
    <t xml:space="preserve">sales@kvant-trans.example</t>
  </si>
  <si>
    <t xml:space="preserve">8 861 5271081</t>
  </si>
  <si>
    <t xml:space="preserve">АО «Вектор Агро»</t>
  </si>
  <si>
    <t xml:space="preserve">6613579300</t>
  </si>
  <si>
    <t xml:space="preserve">5126640178352</t>
  </si>
  <si>
    <t xml:space="preserve">661343001</t>
  </si>
  <si>
    <t xml:space="preserve">г. Екатеринбург, ул. Советская, д. 79, оф. 115</t>
  </si>
  <si>
    <t xml:space="preserve">Васильева Н. И.</t>
  </si>
  <si>
    <t xml:space="preserve">office@vektor-agro.example</t>
  </si>
  <si>
    <t xml:space="preserve">8 343 5571979</t>
  </si>
  <si>
    <t xml:space="preserve">ООО «Навигатор Агро»</t>
  </si>
  <si>
    <t xml:space="preserve">7733557885</t>
  </si>
  <si>
    <t xml:space="preserve">5237725405220</t>
  </si>
  <si>
    <t xml:space="preserve">г. Москва, ул. Гагарина, д. 120, оф. 159</t>
  </si>
  <si>
    <t xml:space="preserve">Соколова В. Е.</t>
  </si>
  <si>
    <t xml:space="preserve">office@navigator-agro.example</t>
  </si>
  <si>
    <t xml:space="preserve">+7 (495) 574-78-97</t>
  </si>
  <si>
    <t xml:space="preserve">ООО «Импульс Мед»</t>
  </si>
  <si>
    <t xml:space="preserve">0210801367</t>
  </si>
  <si>
    <t xml:space="preserve">1030203897525</t>
  </si>
  <si>
    <t xml:space="preserve">021001008</t>
  </si>
  <si>
    <t xml:space="preserve">г. Уфа, ул. Набережная, д. 120, оф. 42</t>
  </si>
  <si>
    <t xml:space="preserve">Лебедева А. Е.</t>
  </si>
  <si>
    <t xml:space="preserve">mail@impuls-med.example</t>
  </si>
  <si>
    <t xml:space="preserve">+73475057121</t>
  </si>
  <si>
    <t xml:space="preserve">ООО «Дельта Принт»</t>
  </si>
  <si>
    <t xml:space="preserve">9230655791</t>
  </si>
  <si>
    <t xml:space="preserve">5209231325067</t>
  </si>
  <si>
    <t xml:space="preserve">г. Севастополь, ул. Победы, д. 112, оф. 238</t>
  </si>
  <si>
    <t xml:space="preserve">Иванов И. Н.</t>
  </si>
  <si>
    <t xml:space="preserve">info@delta-print.example</t>
  </si>
  <si>
    <t xml:space="preserve">8 869 5115602</t>
  </si>
  <si>
    <t xml:space="preserve">ООО «Гранит Стандарт»</t>
  </si>
  <si>
    <t xml:space="preserve">7746254687</t>
  </si>
  <si>
    <t xml:space="preserve">5237703408069</t>
  </si>
  <si>
    <t xml:space="preserve">774601007</t>
  </si>
  <si>
    <t xml:space="preserve">г. Москва, ул. Мира, д. 68, оф. 236</t>
  </si>
  <si>
    <t xml:space="preserve">Козлова О. В.</t>
  </si>
  <si>
    <t xml:space="preserve">office@granit-standart.example</t>
  </si>
  <si>
    <t xml:space="preserve">+74955438536</t>
  </si>
  <si>
    <t xml:space="preserve">ООО «Заря Сервис»</t>
  </si>
  <si>
    <t xml:space="preserve">2317437107</t>
  </si>
  <si>
    <t xml:space="preserve">1192306016407</t>
  </si>
  <si>
    <t xml:space="preserve">231701009</t>
  </si>
  <si>
    <t xml:space="preserve">г. Краснодар, ул. Мира, д. 25, оф. 147</t>
  </si>
  <si>
    <t xml:space="preserve">Иванова М. В.</t>
  </si>
  <si>
    <t xml:space="preserve">info@zarya-servis.example</t>
  </si>
  <si>
    <t xml:space="preserve">+7 (861) 562-15-41</t>
  </si>
  <si>
    <t xml:space="preserve">ООО «Прогресс Монтаж»</t>
  </si>
  <si>
    <t xml:space="preserve">9132818110</t>
  </si>
  <si>
    <t xml:space="preserve">5029113071191</t>
  </si>
  <si>
    <t xml:space="preserve">913245006</t>
  </si>
  <si>
    <t xml:space="preserve">г. Симферополь, ул. Заводская, д. 51, оф. 114</t>
  </si>
  <si>
    <t xml:space="preserve">Фёдоров И. Е.</t>
  </si>
  <si>
    <t xml:space="preserve">office@progress-montazh.example</t>
  </si>
  <si>
    <t xml:space="preserve">+73655522303</t>
  </si>
  <si>
    <t xml:space="preserve">АО «Квант Энерго»</t>
  </si>
  <si>
    <t xml:space="preserve">0218970102</t>
  </si>
  <si>
    <t xml:space="preserve">1080210994588</t>
  </si>
  <si>
    <t xml:space="preserve">021801009</t>
  </si>
  <si>
    <t xml:space="preserve">г. Уфа, ул. Парковая, д. 106, оф. 154</t>
  </si>
  <si>
    <t xml:space="preserve">Иванова С. Е.</t>
  </si>
  <si>
    <t xml:space="preserve">info@kvant-energo.example</t>
  </si>
  <si>
    <t xml:space="preserve">8 347 5946260</t>
  </si>
  <si>
    <t xml:space="preserve">ООО «Навигатор Мед»</t>
  </si>
  <si>
    <t xml:space="preserve">7433241633</t>
  </si>
  <si>
    <t xml:space="preserve">5187444234489</t>
  </si>
  <si>
    <t xml:space="preserve">743301006</t>
  </si>
  <si>
    <t xml:space="preserve">г. Челябинск, ул. Школьная, д. 5, оф. 192</t>
  </si>
  <si>
    <t xml:space="preserve">Фёдорова М. О.</t>
  </si>
  <si>
    <t xml:space="preserve">office@navigator-med.example</t>
  </si>
  <si>
    <t xml:space="preserve">8 351 5892462</t>
  </si>
  <si>
    <t xml:space="preserve">ООО «Альфа Снаб»</t>
  </si>
  <si>
    <t xml:space="preserve">7741377406</t>
  </si>
  <si>
    <t xml:space="preserve">1247741651453</t>
  </si>
  <si>
    <t xml:space="preserve">774101002</t>
  </si>
  <si>
    <t xml:space="preserve">г. Москва, ул. Мира, д. 26, оф. 297</t>
  </si>
  <si>
    <t xml:space="preserve">Попова Т. М.</t>
  </si>
  <si>
    <t xml:space="preserve">zakaz@alfa-snab.example</t>
  </si>
  <si>
    <t xml:space="preserve">+74955024838</t>
  </si>
  <si>
    <t xml:space="preserve">ООО «Заря Энерго»</t>
  </si>
  <si>
    <t xml:space="preserve">9207948912</t>
  </si>
  <si>
    <t xml:space="preserve">5159222922227</t>
  </si>
  <si>
    <t xml:space="preserve">920745001</t>
  </si>
  <si>
    <t xml:space="preserve">г. Севастополь, ул. Мира, д. 34, оф. 133</t>
  </si>
  <si>
    <t xml:space="preserve">Кузнецова Д. М.</t>
  </si>
  <si>
    <t xml:space="preserve">sales@zarya-energo.example</t>
  </si>
  <si>
    <t xml:space="preserve">+78695152363</t>
  </si>
  <si>
    <t xml:space="preserve">АО «Меридиан Технологии»</t>
  </si>
  <si>
    <t xml:space="preserve">6335281820</t>
  </si>
  <si>
    <t xml:space="preserve">5036348701516</t>
  </si>
  <si>
    <t xml:space="preserve">633501007</t>
  </si>
  <si>
    <t xml:space="preserve">г. Самара, ул. Школьная, д. 71, оф. 279</t>
  </si>
  <si>
    <t xml:space="preserve">Николаев Д. О.</t>
  </si>
  <si>
    <t xml:space="preserve">office@meridian-tekhnologii.example</t>
  </si>
  <si>
    <t xml:space="preserve">8 846 5972814</t>
  </si>
  <si>
    <t xml:space="preserve">ООО «Заря Проект»</t>
  </si>
  <si>
    <t xml:space="preserve">5112416966019</t>
  </si>
  <si>
    <t xml:space="preserve">241101005</t>
  </si>
  <si>
    <t xml:space="preserve">г. Красноярск, ул. Центральная, д. 84, оф. 52</t>
  </si>
  <si>
    <t xml:space="preserve">mail@zarya-proekt.example</t>
  </si>
  <si>
    <t xml:space="preserve">+73915292919</t>
  </si>
  <si>
    <t xml:space="preserve">ООО «Альфа Консалт»</t>
  </si>
  <si>
    <t xml:space="preserve">1646454995</t>
  </si>
  <si>
    <t xml:space="preserve">1131605748955</t>
  </si>
  <si>
    <t xml:space="preserve">164643005</t>
  </si>
  <si>
    <t xml:space="preserve">г. Казань, ул. Заводская, д. 23, оф. 242</t>
  </si>
  <si>
    <t xml:space="preserve">Васильев Н. Н.</t>
  </si>
  <si>
    <t xml:space="preserve">zakaz@alfa-konsalt.example</t>
  </si>
  <si>
    <t xml:space="preserve">+78435863163</t>
  </si>
  <si>
    <t xml:space="preserve">ООО «Альфа Пласт»</t>
  </si>
  <si>
    <t xml:space="preserve">7423153473</t>
  </si>
  <si>
    <t xml:space="preserve">1137402687432</t>
  </si>
  <si>
    <t xml:space="preserve">742301008</t>
  </si>
  <si>
    <t xml:space="preserve">г. Челябинск, ул. Советская, д. 118, оф. 113</t>
  </si>
  <si>
    <t xml:space="preserve">Попова О. Т.</t>
  </si>
  <si>
    <t xml:space="preserve">sales@alfa-plast.example</t>
  </si>
  <si>
    <t xml:space="preserve">+7 (351) 558-40-94</t>
  </si>
  <si>
    <t xml:space="preserve">ООО «Тандем Групп»</t>
  </si>
  <si>
    <t xml:space="preserve">6108167126</t>
  </si>
  <si>
    <t xml:space="preserve">5126144816452</t>
  </si>
  <si>
    <t xml:space="preserve">610801003</t>
  </si>
  <si>
    <t xml:space="preserve">г. Ростов-на-Дону, ул. Советская, д. 17, оф. 293</t>
  </si>
  <si>
    <t xml:space="preserve">Волков М. И.</t>
  </si>
  <si>
    <t xml:space="preserve">zakaz@tandem-grupp.example</t>
  </si>
  <si>
    <t xml:space="preserve">8 863 5608917</t>
  </si>
  <si>
    <t xml:space="preserve">ООО «Вектор Транс»</t>
  </si>
  <si>
    <t xml:space="preserve">5249230175123</t>
  </si>
  <si>
    <t xml:space="preserve">924401009</t>
  </si>
  <si>
    <t xml:space="preserve">г. Севастополь, ул. Заводская, д. 67, оф. 256</t>
  </si>
  <si>
    <t xml:space="preserve">Волкова Е. Е.</t>
  </si>
  <si>
    <t xml:space="preserve">info@vektor-trans.example</t>
  </si>
  <si>
    <t xml:space="preserve">+7 (869) 508-26-57</t>
  </si>
  <si>
    <t xml:space="preserve">ООО «Альфа Сервис»</t>
  </si>
  <si>
    <t xml:space="preserve">6129631099</t>
  </si>
  <si>
    <t xml:space="preserve">5196129373688</t>
  </si>
  <si>
    <t xml:space="preserve">612901007</t>
  </si>
  <si>
    <t xml:space="preserve">г. Ростов-на-Дону, ул. Центральная, д. 106, оф. 14</t>
  </si>
  <si>
    <t xml:space="preserve">Соколов С. Д.</t>
  </si>
  <si>
    <t xml:space="preserve">info@alfa-servis.example</t>
  </si>
  <si>
    <t xml:space="preserve">8 863 5203761</t>
  </si>
  <si>
    <t xml:space="preserve">ООО «Заря Фуд»</t>
  </si>
  <si>
    <t xml:space="preserve">9130778870</t>
  </si>
  <si>
    <t xml:space="preserve">1049141445650</t>
  </si>
  <si>
    <t xml:space="preserve">913001002</t>
  </si>
  <si>
    <t xml:space="preserve">г. Симферополь, ул. Мира, д. 28, оф. 21</t>
  </si>
  <si>
    <t xml:space="preserve">Кузнецов Д. Е.</t>
  </si>
  <si>
    <t xml:space="preserve">mail@zarya-fud.example</t>
  </si>
  <si>
    <t xml:space="preserve">8 365 5559707</t>
  </si>
  <si>
    <t xml:space="preserve">АО «Тандем Пласт»</t>
  </si>
  <si>
    <t xml:space="preserve">6612961636</t>
  </si>
  <si>
    <t xml:space="preserve">1096619411745</t>
  </si>
  <si>
    <t xml:space="preserve">661201002</t>
  </si>
  <si>
    <t xml:space="preserve">г. Екатеринбург, ул. Советская, д. 88, оф. 232</t>
  </si>
  <si>
    <t xml:space="preserve">Кузнецова О. О.</t>
  </si>
  <si>
    <t xml:space="preserve">office@tandem-plast.example</t>
  </si>
  <si>
    <t xml:space="preserve">+7 (343) 505-34-13</t>
  </si>
  <si>
    <t xml:space="preserve">АО «Орбита Монтаж»</t>
  </si>
  <si>
    <t xml:space="preserve">7702617936</t>
  </si>
  <si>
    <t xml:space="preserve">5027729723698</t>
  </si>
  <si>
    <t xml:space="preserve">77024300</t>
  </si>
  <si>
    <t xml:space="preserve">г. Москва, ул. Набережная, д. 17, оф. 288</t>
  </si>
  <si>
    <t xml:space="preserve">Петров Н. М.</t>
  </si>
  <si>
    <t xml:space="preserve">mail@orbita-montazh.example</t>
  </si>
  <si>
    <t xml:space="preserve">+7 (495) 557-28-36</t>
  </si>
  <si>
    <t xml:space="preserve">ООО «Юпитер Монтаж»</t>
  </si>
  <si>
    <t xml:space="preserve">7813355475</t>
  </si>
  <si>
    <t xml:space="preserve">1117823641583</t>
  </si>
  <si>
    <t xml:space="preserve">781343006</t>
  </si>
  <si>
    <t xml:space="preserve">г. Санкт-Петербург, ул. Садовая, д. 67, оф. 261</t>
  </si>
  <si>
    <t xml:space="preserve">Смирнов А. Д.</t>
  </si>
  <si>
    <t xml:space="preserve">mail@yupiter-montazh.example</t>
  </si>
  <si>
    <t xml:space="preserve">8 812 5668087</t>
  </si>
  <si>
    <t xml:space="preserve">ООО «Вектор Пласт»</t>
  </si>
  <si>
    <t xml:space="preserve">5035059251</t>
  </si>
  <si>
    <t xml:space="preserve">1085020785574</t>
  </si>
  <si>
    <t xml:space="preserve">503545008</t>
  </si>
  <si>
    <t xml:space="preserve">г. Красногорск, ул. Садовая, д. 97, оф. 67</t>
  </si>
  <si>
    <t xml:space="preserve">Волкова М. Д.</t>
  </si>
  <si>
    <t xml:space="preserve">mail@vektor-plast.example</t>
  </si>
  <si>
    <t xml:space="preserve">8 498 5994227</t>
  </si>
  <si>
    <t xml:space="preserve">ООО «Орбита Снаб»</t>
  </si>
  <si>
    <t xml:space="preserve">7712160896</t>
  </si>
  <si>
    <t xml:space="preserve">5067719266016</t>
  </si>
  <si>
    <t xml:space="preserve">771243007</t>
  </si>
  <si>
    <t xml:space="preserve">г. Москва, ул. Заводская, д. 33, оф. 169</t>
  </si>
  <si>
    <t xml:space="preserve">Иванов С. Н.</t>
  </si>
  <si>
    <t xml:space="preserve">office@orbita-snab.example</t>
  </si>
  <si>
    <t xml:space="preserve">8 495 5580632</t>
  </si>
  <si>
    <t xml:space="preserve">ООО «Берег Логистик»</t>
  </si>
  <si>
    <t xml:space="preserve">7805578414</t>
  </si>
  <si>
    <t xml:space="preserve">5157845016214</t>
  </si>
  <si>
    <t xml:space="preserve">780501008</t>
  </si>
  <si>
    <t xml:space="preserve">г. Санкт-Петербург, ул. Советская, д. 33, оф. 196</t>
  </si>
  <si>
    <t xml:space="preserve">Петрова Е. В.</t>
  </si>
  <si>
    <t xml:space="preserve">office@bereg-logistik.example</t>
  </si>
  <si>
    <t xml:space="preserve">+78125465006</t>
  </si>
  <si>
    <t xml:space="preserve">ООО «Импульс Технологии»</t>
  </si>
  <si>
    <t xml:space="preserve">7431186514</t>
  </si>
  <si>
    <t xml:space="preserve">1207441238751</t>
  </si>
  <si>
    <t xml:space="preserve">743101007</t>
  </si>
  <si>
    <t xml:space="preserve">г. Челябинск, ул. Победы, д. 35, оф. 51</t>
  </si>
  <si>
    <t xml:space="preserve">Соколова Е. Н.</t>
  </si>
  <si>
    <t xml:space="preserve">info@impuls-tekhnologii.example</t>
  </si>
  <si>
    <t xml:space="preserve">ООО «Прогресс Сервис»</t>
  </si>
  <si>
    <t xml:space="preserve">7733992430</t>
  </si>
  <si>
    <t xml:space="preserve">1027735017276</t>
  </si>
  <si>
    <t xml:space="preserve">773301002</t>
  </si>
  <si>
    <t xml:space="preserve">г. Москва, ул. Победы, д. 120, оф. 74</t>
  </si>
  <si>
    <t xml:space="preserve">Волкова В. И.</t>
  </si>
  <si>
    <t xml:space="preserve">mail@progress-servis.example</t>
  </si>
  <si>
    <t xml:space="preserve">+7 (495) 505-10-65</t>
  </si>
  <si>
    <t xml:space="preserve">ООО «Дельта Пласт»</t>
  </si>
  <si>
    <t xml:space="preserve">6619177068</t>
  </si>
  <si>
    <t xml:space="preserve">1056624194153</t>
  </si>
  <si>
    <t xml:space="preserve">661943004</t>
  </si>
  <si>
    <t xml:space="preserve">г. Екатеринбург, ул. Победы, д. 93, оф. 161</t>
  </si>
  <si>
    <t xml:space="preserve">Козлова В. О.</t>
  </si>
  <si>
    <t xml:space="preserve">office@delta-plast.example</t>
  </si>
  <si>
    <t xml:space="preserve">+7 (343) 594-40-23</t>
  </si>
  <si>
    <t xml:space="preserve">ООО «Прогресс Проект»</t>
  </si>
  <si>
    <t xml:space="preserve">9109048342</t>
  </si>
  <si>
    <t xml:space="preserve">5059129551091</t>
  </si>
  <si>
    <t xml:space="preserve">910943008</t>
  </si>
  <si>
    <t xml:space="preserve">г. Симферополь, ул. Кирова, д. 48, оф. 94</t>
  </si>
  <si>
    <t xml:space="preserve">Петрова Н. М.</t>
  </si>
  <si>
    <t xml:space="preserve">mail@progress-proekt.example</t>
  </si>
  <si>
    <t xml:space="preserve">+73655520602</t>
  </si>
  <si>
    <t xml:space="preserve">ООО «Гранит Групп»</t>
  </si>
  <si>
    <t xml:space="preserve">9125300207</t>
  </si>
  <si>
    <t xml:space="preserve">1059124461582</t>
  </si>
  <si>
    <t xml:space="preserve">912501003</t>
  </si>
  <si>
    <t xml:space="preserve">г. Симферополь, ул. Победы, д. 49, оф. 80</t>
  </si>
  <si>
    <t xml:space="preserve">Смирнов Н. Н.</t>
  </si>
  <si>
    <t xml:space="preserve">sales@granit-grupp.example</t>
  </si>
  <si>
    <t xml:space="preserve">+7 (365) 533-62-52</t>
  </si>
  <si>
    <t xml:space="preserve">АО «Орбита Строй»</t>
  </si>
  <si>
    <t xml:space="preserve">2337015520</t>
  </si>
  <si>
    <t xml:space="preserve">5162331964108</t>
  </si>
  <si>
    <t xml:space="preserve">023743003</t>
  </si>
  <si>
    <t xml:space="preserve">г. Краснодар, ул. Набережная, д. 66, оф. 132</t>
  </si>
  <si>
    <t xml:space="preserve">Николаев Е. Е.</t>
  </si>
  <si>
    <t xml:space="preserve">office@orbita-stroy.example</t>
  </si>
  <si>
    <t xml:space="preserve">+7 (861) 507-60-31</t>
  </si>
  <si>
    <t xml:space="preserve">ООО «Прогресс Торг»</t>
  </si>
  <si>
    <t xml:space="preserve">7841096286</t>
  </si>
  <si>
    <t xml:space="preserve">1137847581541</t>
  </si>
  <si>
    <t xml:space="preserve">ХХ4101007</t>
  </si>
  <si>
    <t xml:space="preserve">г. Санкт-Петербург, ул. Ленина, д. 57, оф. 103</t>
  </si>
  <si>
    <t xml:space="preserve">mail@progress-torg.example</t>
  </si>
  <si>
    <t xml:space="preserve">+78125008629</t>
  </si>
  <si>
    <t xml:space="preserve">ООО «Горизонт Строй»</t>
  </si>
  <si>
    <t xml:space="preserve">7705818510</t>
  </si>
  <si>
    <t xml:space="preserve">5177703615678</t>
  </si>
  <si>
    <t xml:space="preserve">770501005</t>
  </si>
  <si>
    <t xml:space="preserve">г. Москва, ул. Ленина, д. 13, оф. 277</t>
  </si>
  <si>
    <t xml:space="preserve">Соколов Е. И.</t>
  </si>
  <si>
    <t xml:space="preserve">zakaz@gorizont-stroy.example</t>
  </si>
  <si>
    <t xml:space="preserve">+7 (495) 569-50-85</t>
  </si>
  <si>
    <t xml:space="preserve">ООО «Радуга Транс»</t>
  </si>
  <si>
    <t xml:space="preserve">6149764098</t>
  </si>
  <si>
    <t xml:space="preserve">1246115962510</t>
  </si>
  <si>
    <t xml:space="preserve">614945009</t>
  </si>
  <si>
    <t xml:space="preserve">г. Ростов-на-Дону, ул. Победы, д. 60, оф. 223</t>
  </si>
  <si>
    <t xml:space="preserve">Петрова Т. М.</t>
  </si>
  <si>
    <t xml:space="preserve">zakaz@raduga-trans.example</t>
  </si>
  <si>
    <t xml:space="preserve">+7 (863) 555-39-46</t>
  </si>
  <si>
    <t xml:space="preserve">ООО «Импульс Снаб»</t>
  </si>
  <si>
    <t xml:space="preserve">2434616935</t>
  </si>
  <si>
    <t xml:space="preserve">1032423795227</t>
  </si>
  <si>
    <t xml:space="preserve">243401006</t>
  </si>
  <si>
    <t xml:space="preserve">г. Красноярск, ул. Садовая, д. 44, оф. 231</t>
  </si>
  <si>
    <t xml:space="preserve">Алексеева Н. Е.</t>
  </si>
  <si>
    <t xml:space="preserve">+73915346047</t>
  </si>
  <si>
    <t xml:space="preserve">ООО «Вектор Логистик»</t>
  </si>
  <si>
    <t xml:space="preserve">9205718800</t>
  </si>
  <si>
    <t xml:space="preserve">1179206045920</t>
  </si>
  <si>
    <t xml:space="preserve">920501004</t>
  </si>
  <si>
    <t xml:space="preserve">г. Севастополь, ул. Победы, д. 79, оф. 121</t>
  </si>
  <si>
    <t xml:space="preserve">Морозова Н. М.</t>
  </si>
  <si>
    <t xml:space="preserve">office@vektor-logistik.example</t>
  </si>
  <si>
    <t xml:space="preserve">8 869 5860157</t>
  </si>
  <si>
    <t xml:space="preserve">ООО «Тандем Фуд»</t>
  </si>
  <si>
    <t xml:space="preserve">9113786920</t>
  </si>
  <si>
    <t xml:space="preserve">502912502164</t>
  </si>
  <si>
    <t xml:space="preserve">911345001</t>
  </si>
  <si>
    <t xml:space="preserve">г. Симферополь, ул. Школьная, д. 82, оф. 33</t>
  </si>
  <si>
    <t xml:space="preserve">Семёнова О. А.</t>
  </si>
  <si>
    <t xml:space="preserve">sales@tandem-fud.example</t>
  </si>
  <si>
    <t xml:space="preserve">+73655800858</t>
  </si>
  <si>
    <t xml:space="preserve">ООО «Квант Монтаж»</t>
  </si>
  <si>
    <t xml:space="preserve">7747676402</t>
  </si>
  <si>
    <t xml:space="preserve">1217719186750</t>
  </si>
  <si>
    <t xml:space="preserve">774701007</t>
  </si>
  <si>
    <t xml:space="preserve">г. Москва, ул. Заводская, д. 111, оф. 225</t>
  </si>
  <si>
    <t xml:space="preserve">Павлова М. Н.</t>
  </si>
  <si>
    <t xml:space="preserve">zakaz@kvant-montazh.example</t>
  </si>
  <si>
    <t xml:space="preserve">+74955838428</t>
  </si>
  <si>
    <t xml:space="preserve">ООО «Меридиан Принт»</t>
  </si>
  <si>
    <t xml:space="preserve">7443893821</t>
  </si>
  <si>
    <t xml:space="preserve">1027447827417</t>
  </si>
  <si>
    <t xml:space="preserve">744345006</t>
  </si>
  <si>
    <t xml:space="preserve">г. Челябинск, ул. Кирова, д. 65, оф. 254</t>
  </si>
  <si>
    <t xml:space="preserve">Соколова Д. О.</t>
  </si>
  <si>
    <t xml:space="preserve">sales@meridian-print.example</t>
  </si>
  <si>
    <t xml:space="preserve">+73515382483</t>
  </si>
  <si>
    <t xml:space="preserve">ООО «Тандем Принт»</t>
  </si>
  <si>
    <t xml:space="preserve">9130829998</t>
  </si>
  <si>
    <t xml:space="preserve">1109149046016</t>
  </si>
  <si>
    <t xml:space="preserve">913001007</t>
  </si>
  <si>
    <t xml:space="preserve">г. Симферополь, ул. Кирова, д. 91, оф. 134</t>
  </si>
  <si>
    <t xml:space="preserve">Васильев С. Е.</t>
  </si>
  <si>
    <t xml:space="preserve">mail@tandem-print.example</t>
  </si>
  <si>
    <t xml:space="preserve">+7 (365) 577-52-48</t>
  </si>
  <si>
    <t xml:space="preserve">ООО «Линия Консалт»</t>
  </si>
  <si>
    <t xml:space="preserve">9214071326</t>
  </si>
  <si>
    <t xml:space="preserve">1089202948988</t>
  </si>
  <si>
    <t xml:space="preserve">921401003</t>
  </si>
  <si>
    <t xml:space="preserve">г. Севастополь, ул. Набережная, д. 27, оф. 91</t>
  </si>
  <si>
    <t xml:space="preserve">Иванов М. Т.</t>
  </si>
  <si>
    <t xml:space="preserve">zakaz@liniya-konsalt.example</t>
  </si>
  <si>
    <t xml:space="preserve">8 869 5736782</t>
  </si>
  <si>
    <t xml:space="preserve">АО «Вектор Консалт»</t>
  </si>
  <si>
    <t xml:space="preserve">7439915871</t>
  </si>
  <si>
    <t xml:space="preserve">1057409279707</t>
  </si>
  <si>
    <t xml:space="preserve">743901003</t>
  </si>
  <si>
    <t xml:space="preserve">г. Челябинск, ул. Мира, д. 63, оф. 20</t>
  </si>
  <si>
    <t xml:space="preserve">Николаева И. Н.</t>
  </si>
  <si>
    <t xml:space="preserve">zakaz@vektor-konsalt.example</t>
  </si>
  <si>
    <t xml:space="preserve">+73515319897</t>
  </si>
  <si>
    <t xml:space="preserve">1605416415</t>
  </si>
  <si>
    <t xml:space="preserve">1171622572956</t>
  </si>
  <si>
    <t xml:space="preserve">160543009</t>
  </si>
  <si>
    <t xml:space="preserve">г. Казань, ул. Советская, д. 92, оф. 65</t>
  </si>
  <si>
    <t xml:space="preserve">Морозов О. Т.</t>
  </si>
  <si>
    <t xml:space="preserve">mail@feniks-plast.example</t>
  </si>
  <si>
    <t xml:space="preserve">+7 (843) 588-71-45</t>
  </si>
  <si>
    <t xml:space="preserve">ООО «Квант Логистик»</t>
  </si>
  <si>
    <t xml:space="preserve">2308144746</t>
  </si>
  <si>
    <t xml:space="preserve">5232342047560</t>
  </si>
  <si>
    <t xml:space="preserve">230801003</t>
  </si>
  <si>
    <t xml:space="preserve">г. Краснодар, ул. Парковая, д. 87, оф. 218</t>
  </si>
  <si>
    <t xml:space="preserve">Кузнецова В. И.</t>
  </si>
  <si>
    <t xml:space="preserve">info@kvant-logistik.example</t>
  </si>
  <si>
    <t xml:space="preserve">8 861 5320404</t>
  </si>
  <si>
    <t xml:space="preserve">ООО «Горизонт Принт»</t>
  </si>
  <si>
    <t xml:space="preserve">6630752829</t>
  </si>
  <si>
    <t xml:space="preserve">5176618397093</t>
  </si>
  <si>
    <t xml:space="preserve">663001008</t>
  </si>
  <si>
    <t xml:space="preserve">г. Екатеринбург, ул. Набережная, д. 115, оф. 221</t>
  </si>
  <si>
    <t xml:space="preserve">Морозова И. Е.</t>
  </si>
  <si>
    <t xml:space="preserve">info@gorizont-print.example</t>
  </si>
  <si>
    <t xml:space="preserve">+7 (343) 582-84-42</t>
  </si>
  <si>
    <t xml:space="preserve">АО «Феникс Агро»</t>
  </si>
  <si>
    <t xml:space="preserve">1641666080</t>
  </si>
  <si>
    <t xml:space="preserve">5041624059109</t>
  </si>
  <si>
    <t xml:space="preserve">164145007</t>
  </si>
  <si>
    <t xml:space="preserve">г. Казань, ул. Мира, д. 57, оф. 70</t>
  </si>
  <si>
    <t xml:space="preserve">Васильева М. И.</t>
  </si>
  <si>
    <t xml:space="preserve">info@feniks-agro.example</t>
  </si>
  <si>
    <t xml:space="preserve">+78435847591</t>
  </si>
  <si>
    <t xml:space="preserve">ООО «Вектор Софт»</t>
  </si>
  <si>
    <t xml:space="preserve">9107848209</t>
  </si>
  <si>
    <t xml:space="preserve">1079148468805</t>
  </si>
  <si>
    <t xml:space="preserve">910745002</t>
  </si>
  <si>
    <t xml:space="preserve">г. Симферополь, ул. Кирова, д. 30, оф. 282</t>
  </si>
  <si>
    <t xml:space="preserve">Семёнов Т. Е.</t>
  </si>
  <si>
    <t xml:space="preserve">sales@vektor-soft.example</t>
  </si>
  <si>
    <t xml:space="preserve">+73655355465</t>
  </si>
  <si>
    <t xml:space="preserve">ООО «Феникс Энерго»</t>
  </si>
  <si>
    <t xml:space="preserve">0244875198</t>
  </si>
  <si>
    <t xml:space="preserve">1180222514218</t>
  </si>
  <si>
    <t xml:space="preserve">024401006</t>
  </si>
  <si>
    <t xml:space="preserve">г. Уфа, ул. Кирова, д. 64, оф. 16</t>
  </si>
  <si>
    <t xml:space="preserve">Фёдоров С. Д.</t>
  </si>
  <si>
    <t xml:space="preserve">office@feniks-energo.example</t>
  </si>
  <si>
    <t xml:space="preserve">+73475677564</t>
  </si>
  <si>
    <t xml:space="preserve">АО «Меридиан Фуд»</t>
  </si>
  <si>
    <t xml:space="preserve">5424502941</t>
  </si>
  <si>
    <t xml:space="preserve">5195419503065</t>
  </si>
  <si>
    <t xml:space="preserve">542401001</t>
  </si>
  <si>
    <t xml:space="preserve">г. Новосибирск, ул. Советская, д. 104, оф. 169</t>
  </si>
  <si>
    <t xml:space="preserve">Михайлов С. С.</t>
  </si>
  <si>
    <t xml:space="preserve">mail@meridian-fud.example</t>
  </si>
  <si>
    <t xml:space="preserve">+73835138019</t>
  </si>
  <si>
    <t xml:space="preserve">ООО «Квант Технологии»</t>
  </si>
  <si>
    <t xml:space="preserve">9117654114</t>
  </si>
  <si>
    <t xml:space="preserve">5139116130600</t>
  </si>
  <si>
    <t xml:space="preserve">911701001</t>
  </si>
  <si>
    <t xml:space="preserve">г. Симферополь, ул. Набережная, д. 115, оф. 297</t>
  </si>
  <si>
    <t xml:space="preserve">Волкова Е. Д.</t>
  </si>
  <si>
    <t xml:space="preserve">sales@kvant-tekhnologii.example</t>
  </si>
  <si>
    <t xml:space="preserve">+7 (365) 555-20-29</t>
  </si>
  <si>
    <t xml:space="preserve">ООО «Прогресс Строй»</t>
  </si>
  <si>
    <t xml:space="preserve">1642742135</t>
  </si>
  <si>
    <t xml:space="preserve">1081635538984</t>
  </si>
  <si>
    <t xml:space="preserve">164245005</t>
  </si>
  <si>
    <t xml:space="preserve">г. Казань, ул. Мира, д. 25, оф. 148</t>
  </si>
  <si>
    <t xml:space="preserve">info@progress-stroy.example</t>
  </si>
  <si>
    <t xml:space="preserve">+7 (843) 598-21-63</t>
  </si>
  <si>
    <t xml:space="preserve">ООО «Навигатор Фуд»</t>
  </si>
  <si>
    <t xml:space="preserve">9136316030</t>
  </si>
  <si>
    <t xml:space="preserve">5109101813882</t>
  </si>
  <si>
    <t xml:space="preserve">г. Симферополь, ул. Советская, д. 42, оф. 294</t>
  </si>
  <si>
    <t xml:space="preserve">Смирнова С. Т.</t>
  </si>
  <si>
    <t xml:space="preserve">office@navigator-fud.example</t>
  </si>
  <si>
    <t xml:space="preserve">8 365 5982203</t>
  </si>
  <si>
    <t xml:space="preserve">ООО «Гранит Софт»</t>
  </si>
  <si>
    <t xml:space="preserve">2416467550</t>
  </si>
  <si>
    <t xml:space="preserve">5192436906184</t>
  </si>
  <si>
    <t xml:space="preserve">241601006</t>
  </si>
  <si>
    <t xml:space="preserve">г. Красноярск, ул. Мира, д. 83, оф. 18</t>
  </si>
  <si>
    <t xml:space="preserve">Морозова О. И.</t>
  </si>
  <si>
    <t xml:space="preserve">mail@granit-soft.example</t>
  </si>
  <si>
    <t xml:space="preserve">+73915179859</t>
  </si>
  <si>
    <t xml:space="preserve">ООО «Гранит Мед»</t>
  </si>
  <si>
    <t xml:space="preserve">1047839032779</t>
  </si>
  <si>
    <t xml:space="preserve">780401003</t>
  </si>
  <si>
    <t xml:space="preserve">г. Санкт-Петербург, ул. Заводская, д. 15, оф. 238</t>
  </si>
  <si>
    <t xml:space="preserve">Попова Н. Д.</t>
  </si>
  <si>
    <t xml:space="preserve">mail@granit-med.example</t>
  </si>
  <si>
    <t xml:space="preserve">+7 (812) 526-76-43</t>
  </si>
  <si>
    <t xml:space="preserve">ООО «Меридиан Энерго»</t>
  </si>
  <si>
    <t xml:space="preserve">1235446046329</t>
  </si>
  <si>
    <t xml:space="preserve">543901002</t>
  </si>
  <si>
    <t xml:space="preserve">г. Новосибирск, ул. Садовая, д. 45, оф. 66</t>
  </si>
  <si>
    <t xml:space="preserve">Волкова О. А.</t>
  </si>
  <si>
    <t xml:space="preserve">zakaz@meridian-energo.example</t>
  </si>
  <si>
    <t xml:space="preserve">+73835147006</t>
  </si>
  <si>
    <t xml:space="preserve">ООО «Заря Строй»</t>
  </si>
  <si>
    <t xml:space="preserve">7720868234</t>
  </si>
  <si>
    <t xml:space="preserve">5047741285422</t>
  </si>
  <si>
    <t xml:space="preserve">772001006</t>
  </si>
  <si>
    <t xml:space="preserve">г. Москва, ул. Школьная, д. 5, оф. 240</t>
  </si>
  <si>
    <t xml:space="preserve">Фёдоров Н. Д.</t>
  </si>
  <si>
    <t xml:space="preserve">mail@zarya-stroy.example</t>
  </si>
  <si>
    <t xml:space="preserve">8 495 5222618</t>
  </si>
  <si>
    <t xml:space="preserve">ООО «Атлант Строй»</t>
  </si>
  <si>
    <t xml:space="preserve">2305222523</t>
  </si>
  <si>
    <t xml:space="preserve">1072344137909</t>
  </si>
  <si>
    <t xml:space="preserve">230501005</t>
  </si>
  <si>
    <t xml:space="preserve">г. Краснодар, ул. Кирова, д. 81, оф. 292</t>
  </si>
  <si>
    <t xml:space="preserve">Егоров Т. С.</t>
  </si>
  <si>
    <t xml:space="preserve">zakaz@atlant-stroy.example</t>
  </si>
  <si>
    <t xml:space="preserve">+7 (861) 589-89-84</t>
  </si>
  <si>
    <t xml:space="preserve">ООО «Берег Строй»</t>
  </si>
  <si>
    <t xml:space="preserve">9202000458</t>
  </si>
  <si>
    <t xml:space="preserve">1109245957842</t>
  </si>
  <si>
    <t xml:space="preserve">920243002</t>
  </si>
  <si>
    <t xml:space="preserve">Алексеев С. Н.</t>
  </si>
  <si>
    <t xml:space="preserve">office@bereg-stroy.example</t>
  </si>
  <si>
    <t xml:space="preserve">+78695798281</t>
  </si>
  <si>
    <t xml:space="preserve">ООО «Заря Агро»</t>
  </si>
  <si>
    <t xml:space="preserve">5240578482</t>
  </si>
  <si>
    <t xml:space="preserve">1075207267134</t>
  </si>
  <si>
    <t xml:space="preserve">524045005</t>
  </si>
  <si>
    <t xml:space="preserve">г. Нижний Новгород, ул. Школьная, д. 119, оф. 86</t>
  </si>
  <si>
    <t xml:space="preserve">Иванов И. Д.</t>
  </si>
  <si>
    <t xml:space="preserve">office@zarya-agro.example</t>
  </si>
  <si>
    <t xml:space="preserve">+7 (831) 560-53-44</t>
  </si>
  <si>
    <t xml:space="preserve">АО «Эталон Групп»</t>
  </si>
  <si>
    <t xml:space="preserve">5045071730</t>
  </si>
  <si>
    <t xml:space="preserve">5215041581255</t>
  </si>
  <si>
    <t xml:space="preserve">ХХ4501006</t>
  </si>
  <si>
    <t xml:space="preserve">г. Красногорск, ул. Гагарина, д. 109, оф. 164</t>
  </si>
  <si>
    <t xml:space="preserve">Кузнецов Н. А.</t>
  </si>
  <si>
    <t xml:space="preserve">info@etalon-grupp.example</t>
  </si>
  <si>
    <t xml:space="preserve">+74985083984</t>
  </si>
  <si>
    <t xml:space="preserve">ООО «Навигатор Консалт»</t>
  </si>
  <si>
    <t xml:space="preserve">5115213875409</t>
  </si>
  <si>
    <t xml:space="preserve">521001002</t>
  </si>
  <si>
    <t xml:space="preserve">г. Нижний Новгород, ул. Победы, д. 31, оф. 291</t>
  </si>
  <si>
    <t xml:space="preserve">Козлов Е. Е.</t>
  </si>
  <si>
    <t xml:space="preserve">office@navigator-konsalt.example</t>
  </si>
  <si>
    <t xml:space="preserve">8 831 5442887</t>
  </si>
  <si>
    <t xml:space="preserve">АО «Меридиан Агро»</t>
  </si>
  <si>
    <t xml:space="preserve">6317287353</t>
  </si>
  <si>
    <t xml:space="preserve">5146307889052</t>
  </si>
  <si>
    <t xml:space="preserve">631701001</t>
  </si>
  <si>
    <t xml:space="preserve">г. Самара, ул. Гагарина, д. 109, оф. 197</t>
  </si>
  <si>
    <t xml:space="preserve">Волков Т. Д.</t>
  </si>
  <si>
    <t xml:space="preserve">office@meridian-agro.example</t>
  </si>
  <si>
    <t xml:space="preserve">+7 (846) 552-30-71</t>
  </si>
  <si>
    <t xml:space="preserve">ООО «Дельта Проект»</t>
  </si>
  <si>
    <t xml:space="preserve">7732727220</t>
  </si>
  <si>
    <t xml:space="preserve">1167724770223</t>
  </si>
  <si>
    <t xml:space="preserve">773201009</t>
  </si>
  <si>
    <t xml:space="preserve">г. Москва, ул. Садовая, д. 7, оф. 228</t>
  </si>
  <si>
    <t xml:space="preserve">Семёнова О. Д.</t>
  </si>
  <si>
    <t xml:space="preserve">info@delta-proekt.example</t>
  </si>
  <si>
    <t xml:space="preserve">+74955786553</t>
  </si>
  <si>
    <t xml:space="preserve">ООО «Радуга Групп»</t>
  </si>
  <si>
    <t xml:space="preserve">9224236552</t>
  </si>
  <si>
    <t xml:space="preserve">5139214557147</t>
  </si>
  <si>
    <t xml:space="preserve">г. Севастополь, ул. Победы, д. 33, оф. 26</t>
  </si>
  <si>
    <t xml:space="preserve">Козлова Е. Е.</t>
  </si>
  <si>
    <t xml:space="preserve">info@raduga-grupp.example</t>
  </si>
  <si>
    <t xml:space="preserve">+78695592136</t>
  </si>
  <si>
    <t xml:space="preserve">ООО «Квант Стандарт»</t>
  </si>
  <si>
    <t xml:space="preserve">9242189471</t>
  </si>
  <si>
    <t xml:space="preserve">5049242079190</t>
  </si>
  <si>
    <t xml:space="preserve">924201008</t>
  </si>
  <si>
    <t xml:space="preserve">г. Севастополь, ул. Гагарина, д. 70, оф. 32</t>
  </si>
  <si>
    <t xml:space="preserve">Степанова Д. М.</t>
  </si>
  <si>
    <t xml:space="preserve">mail@kvant-standart.example</t>
  </si>
  <si>
    <t xml:space="preserve">8 869 5488412</t>
  </si>
  <si>
    <t xml:space="preserve">ООО «Берег Сервис»</t>
  </si>
  <si>
    <t xml:space="preserve">5420626745</t>
  </si>
  <si>
    <t xml:space="preserve">1075401842361</t>
  </si>
  <si>
    <t xml:space="preserve">542001007</t>
  </si>
  <si>
    <t xml:space="preserve">г. Новосибирск, ул. Советская, д. 101, оф. 256</t>
  </si>
  <si>
    <t xml:space="preserve">Николаев В. И.</t>
  </si>
  <si>
    <t xml:space="preserve">mail@bereg-servis.example</t>
  </si>
  <si>
    <t xml:space="preserve">8 383 5821962</t>
  </si>
  <si>
    <t xml:space="preserve">АО «Альфа Агро»</t>
  </si>
  <si>
    <t xml:space="preserve">5411381457</t>
  </si>
  <si>
    <t xml:space="preserve">1055434680883</t>
  </si>
  <si>
    <t xml:space="preserve">541143008</t>
  </si>
  <si>
    <t xml:space="preserve">г. Новосибирск, ул. Мира, д. 73, оф. 8</t>
  </si>
  <si>
    <t xml:space="preserve">Алексеев М. О.</t>
  </si>
  <si>
    <t xml:space="preserve">info@alfa-agro.example</t>
  </si>
  <si>
    <t xml:space="preserve">+73835673949</t>
  </si>
  <si>
    <t xml:space="preserve">ООО «Гранит Монтаж»</t>
  </si>
  <si>
    <t xml:space="preserve">6112153856</t>
  </si>
  <si>
    <t xml:space="preserve">1146132966583</t>
  </si>
  <si>
    <t xml:space="preserve">611243006</t>
  </si>
  <si>
    <t xml:space="preserve">г. Ростов-на-Дону, ул. Мира, д. 16, оф. 273</t>
  </si>
  <si>
    <t xml:space="preserve">Смирнов С. Е.</t>
  </si>
  <si>
    <t xml:space="preserve">mail@granit-montazh.example</t>
  </si>
  <si>
    <t xml:space="preserve">8 863 5787604</t>
  </si>
  <si>
    <t xml:space="preserve">ООО «Вектор Энерго»</t>
  </si>
  <si>
    <t xml:space="preserve">784008648</t>
  </si>
  <si>
    <t xml:space="preserve">5107819857130</t>
  </si>
  <si>
    <t xml:space="preserve">784001009</t>
  </si>
  <si>
    <t xml:space="preserve">г. Санкт-Петербург, ул. Ленина, д. 104, оф. 83</t>
  </si>
  <si>
    <t xml:space="preserve">Новиков С. А.</t>
  </si>
  <si>
    <t xml:space="preserve">info@vektor-energo.example</t>
  </si>
  <si>
    <t xml:space="preserve">+7 (812) 588-12</t>
  </si>
  <si>
    <t xml:space="preserve">ООО «Квант Снаб»</t>
  </si>
  <si>
    <t xml:space="preserve">7727744510</t>
  </si>
  <si>
    <t xml:space="preserve">1037745102900</t>
  </si>
  <si>
    <t xml:space="preserve">772701003</t>
  </si>
  <si>
    <t xml:space="preserve">г. Москва, ул. Центральная, д. 58, оф. 175</t>
  </si>
  <si>
    <t xml:space="preserve">Фёдоров М. Е.</t>
  </si>
  <si>
    <t xml:space="preserve">sales@kvant-snab.example</t>
  </si>
  <si>
    <t xml:space="preserve">+74955740869</t>
  </si>
  <si>
    <t xml:space="preserve">ООО «Импульс Логистик»</t>
  </si>
  <si>
    <t xml:space="preserve">9232582066</t>
  </si>
  <si>
    <t xml:space="preserve">1049205005244</t>
  </si>
  <si>
    <t xml:space="preserve">923201004</t>
  </si>
  <si>
    <t xml:space="preserve">г. Севастополь, ул. Гагарина, д. 1, оф. 118</t>
  </si>
  <si>
    <t xml:space="preserve">Павлов Н. Д.</t>
  </si>
  <si>
    <t xml:space="preserve">info@impuls-logistik.example</t>
  </si>
  <si>
    <t xml:space="preserve">+7 (869) 511-85-93</t>
  </si>
  <si>
    <t xml:space="preserve">АО «Горизонт Трейд»</t>
  </si>
  <si>
    <t xml:space="preserve">9246282295</t>
  </si>
  <si>
    <t xml:space="preserve">1139215976382</t>
  </si>
  <si>
    <t xml:space="preserve">924645006</t>
  </si>
  <si>
    <t xml:space="preserve">г. Севастополь, ул. Гагарина, д. 104, оф. 244</t>
  </si>
  <si>
    <t xml:space="preserve">Михайлова А. Д.</t>
  </si>
  <si>
    <t xml:space="preserve">zakaz@gorizont-treid.example</t>
  </si>
  <si>
    <t xml:space="preserve">8 869 5949924</t>
  </si>
  <si>
    <t xml:space="preserve">АО «Тандем Софт»</t>
  </si>
  <si>
    <t xml:space="preserve">9147485О93</t>
  </si>
  <si>
    <t xml:space="preserve">1109135504873</t>
  </si>
  <si>
    <t xml:space="preserve">914701003</t>
  </si>
  <si>
    <t xml:space="preserve">г. Симферополь, ул. Мира, д. 17, оф. 193</t>
  </si>
  <si>
    <t xml:space="preserve">Павлов О. Н.</t>
  </si>
  <si>
    <t xml:space="preserve">mail@tandem-soft.example</t>
  </si>
  <si>
    <t xml:space="preserve">+73655134501</t>
  </si>
  <si>
    <t xml:space="preserve">ООО «Альфа Строй»</t>
  </si>
  <si>
    <t xml:space="preserve">5405359990</t>
  </si>
  <si>
    <t xml:space="preserve">5195409161726</t>
  </si>
  <si>
    <t xml:space="preserve">540501007</t>
  </si>
  <si>
    <t xml:space="preserve">г. Новосибирск, ул. Гагарина, д. 18, оф. 263</t>
  </si>
  <si>
    <t xml:space="preserve">Фёдоров Н. С.</t>
  </si>
  <si>
    <t xml:space="preserve">zakaz@alfa-stroy.example</t>
  </si>
  <si>
    <t xml:space="preserve">+73835081380</t>
  </si>
  <si>
    <t xml:space="preserve">АО «Горизонт Транс»</t>
  </si>
  <si>
    <t xml:space="preserve">1615208990</t>
  </si>
  <si>
    <t xml:space="preserve">1121604326546</t>
  </si>
  <si>
    <t xml:space="preserve">161501008</t>
  </si>
  <si>
    <t xml:space="preserve">г. Казань, ул. Ленина, д. 70, оф. 238</t>
  </si>
  <si>
    <t xml:space="preserve">Иванова Т. И.</t>
  </si>
  <si>
    <t xml:space="preserve">office@gorizont-trans.example</t>
  </si>
  <si>
    <t xml:space="preserve">+78435349836</t>
  </si>
  <si>
    <t xml:space="preserve">ООО «Альфа Транс»</t>
  </si>
  <si>
    <t xml:space="preserve">5423228076</t>
  </si>
  <si>
    <t xml:space="preserve">1225441068753</t>
  </si>
  <si>
    <t xml:space="preserve">542301008</t>
  </si>
  <si>
    <t xml:space="preserve">г. Новосибирск, ул. Ленина, д. 9, оф. 142</t>
  </si>
  <si>
    <t xml:space="preserve">Семёнова О. Е.</t>
  </si>
  <si>
    <t xml:space="preserve">sales@alfa-trans.example</t>
  </si>
  <si>
    <t xml:space="preserve">+73835026000</t>
  </si>
  <si>
    <t xml:space="preserve">ООО «Атлант Снаб»</t>
  </si>
  <si>
    <t xml:space="preserve">7825556673</t>
  </si>
  <si>
    <t xml:space="preserve">5217833587120</t>
  </si>
  <si>
    <t xml:space="preserve">782501001</t>
  </si>
  <si>
    <t xml:space="preserve">г. Санкт-Петербург, ул. Заводская, д. 52, оф. 32</t>
  </si>
  <si>
    <t xml:space="preserve">Николаева С. С.</t>
  </si>
  <si>
    <t xml:space="preserve">mail@atlant-snab.example</t>
  </si>
  <si>
    <t xml:space="preserve">+7 (812) 507-16-77</t>
  </si>
  <si>
    <t xml:space="preserve">АО «Дельта Софт»</t>
  </si>
  <si>
    <t xml:space="preserve">7835607334</t>
  </si>
  <si>
    <t xml:space="preserve">5037811023410</t>
  </si>
  <si>
    <t xml:space="preserve">783545005</t>
  </si>
  <si>
    <t xml:space="preserve">г. Санкт-Петербург, ул. Парковая, д. 67, оф. 177</t>
  </si>
  <si>
    <t xml:space="preserve">Михайлова О. М.</t>
  </si>
  <si>
    <t xml:space="preserve">office@delta-soft.example</t>
  </si>
  <si>
    <t xml:space="preserve">+78125111129</t>
  </si>
  <si>
    <t xml:space="preserve">ООО «Орбита Энерго»</t>
  </si>
  <si>
    <t xml:space="preserve">7414387210</t>
  </si>
  <si>
    <t xml:space="preserve">5047410168834</t>
  </si>
  <si>
    <t xml:space="preserve">741445001</t>
  </si>
  <si>
    <t xml:space="preserve">г. Челябинск, ул. Заводская, д. 86, оф. 14</t>
  </si>
  <si>
    <t xml:space="preserve">Павлова Д. А.</t>
  </si>
  <si>
    <t xml:space="preserve">zakaz@orbita-energo.example</t>
  </si>
  <si>
    <t xml:space="preserve">+7 (351) 534-59-99</t>
  </si>
  <si>
    <t xml:space="preserve">ООО «Заря Стандарт»</t>
  </si>
  <si>
    <t xml:space="preserve">2317558782</t>
  </si>
  <si>
    <t xml:space="preserve">1232321910215</t>
  </si>
  <si>
    <t xml:space="preserve">231701007</t>
  </si>
  <si>
    <t xml:space="preserve">г. Краснодар, ул. Кирова, д. 85, оф. 8</t>
  </si>
  <si>
    <t xml:space="preserve">Козлова М. А.</t>
  </si>
  <si>
    <t xml:space="preserve">office@zarya-standart.example</t>
  </si>
  <si>
    <t xml:space="preserve">+78615026028</t>
  </si>
  <si>
    <t xml:space="preserve">ООО «Горизонт Монтаж»</t>
  </si>
  <si>
    <t xml:space="preserve">5203561882</t>
  </si>
  <si>
    <t xml:space="preserve">1175239912561</t>
  </si>
  <si>
    <t xml:space="preserve">520301006</t>
  </si>
  <si>
    <t xml:space="preserve">г. Нижний Новгород, ул. Парковая, д. 24, оф. 26</t>
  </si>
  <si>
    <t xml:space="preserve">Егорова М. Т.</t>
  </si>
  <si>
    <t xml:space="preserve">mail@gorizont-montazh.example</t>
  </si>
  <si>
    <t xml:space="preserve">+7 (831) 528-83-24</t>
  </si>
  <si>
    <t xml:space="preserve">АО «Навигатор Монтаж»</t>
  </si>
  <si>
    <t xml:space="preserve">7839466613</t>
  </si>
  <si>
    <t xml:space="preserve">5057833237336</t>
  </si>
  <si>
    <t xml:space="preserve">783901002</t>
  </si>
  <si>
    <t xml:space="preserve">г. Санкт-Петербург, ул. Советская, д. 57, оф. 151</t>
  </si>
  <si>
    <t xml:space="preserve">Морозова А. Н.</t>
  </si>
  <si>
    <t xml:space="preserve">office@navigator-montazh.example</t>
  </si>
  <si>
    <t xml:space="preserve">8 812 5128082</t>
  </si>
  <si>
    <t xml:space="preserve">ООО «Юпитер Стандарт»</t>
  </si>
  <si>
    <t xml:space="preserve">7812416598</t>
  </si>
  <si>
    <t xml:space="preserve">1047831894241</t>
  </si>
  <si>
    <t xml:space="preserve">781201004</t>
  </si>
  <si>
    <t xml:space="preserve">г. Санкт-Петербург, ул. Центральная, д. 11, оф. 197</t>
  </si>
  <si>
    <t xml:space="preserve">Николаев Т. Д.</t>
  </si>
  <si>
    <t xml:space="preserve">zakaz@yupiter-standart.example</t>
  </si>
  <si>
    <t xml:space="preserve">+78125765202</t>
  </si>
  <si>
    <t xml:space="preserve">АО «Квант Фуд»</t>
  </si>
  <si>
    <t xml:space="preserve">7815238140</t>
  </si>
  <si>
    <t xml:space="preserve">1167828377199</t>
  </si>
  <si>
    <t xml:space="preserve">781501008</t>
  </si>
  <si>
    <t xml:space="preserve">г. Санкт-Петербург, ул. Парковая, д. 81, оф. 271</t>
  </si>
  <si>
    <t xml:space="preserve">Морозов О. Д.</t>
  </si>
  <si>
    <t xml:space="preserve">office@kvant-fud.example</t>
  </si>
  <si>
    <t xml:space="preserve">8 812 5275006</t>
  </si>
  <si>
    <t xml:space="preserve">ООО «Вектор Торг»</t>
  </si>
  <si>
    <t xml:space="preserve">2426486168</t>
  </si>
  <si>
    <t xml:space="preserve">1232439402800</t>
  </si>
  <si>
    <t xml:space="preserve">242601004</t>
  </si>
  <si>
    <t xml:space="preserve">г. Красноярск, ул. Заводская, д. 25, оф. 19</t>
  </si>
  <si>
    <t xml:space="preserve">Семёнова О. Н.</t>
  </si>
  <si>
    <t xml:space="preserve">mail@vektor-torg.example</t>
  </si>
  <si>
    <t xml:space="preserve">+73915808099</t>
  </si>
  <si>
    <t xml:space="preserve">АО «Эталон Трейд»</t>
  </si>
  <si>
    <t xml:space="preserve">5228823522</t>
  </si>
  <si>
    <t xml:space="preserve">5145238954405</t>
  </si>
  <si>
    <t xml:space="preserve">522801008</t>
  </si>
  <si>
    <t xml:space="preserve">Степанова О. И.</t>
  </si>
  <si>
    <t xml:space="preserve">zakaz@etalon-treid.example</t>
  </si>
  <si>
    <t xml:space="preserve">+7 (831) 537-24-77</t>
  </si>
  <si>
    <t xml:space="preserve">АО «Юпитер Принт»</t>
  </si>
  <si>
    <t xml:space="preserve">1162320955708</t>
  </si>
  <si>
    <t xml:space="preserve">234101001</t>
  </si>
  <si>
    <t xml:space="preserve">г. Краснодар, ул. Школьная, д. 83, оф. 261</t>
  </si>
  <si>
    <t xml:space="preserve">Петров О. Е.</t>
  </si>
  <si>
    <t xml:space="preserve">8 861 5634569</t>
  </si>
  <si>
    <t xml:space="preserve">ООО «Заря Консалт»</t>
  </si>
  <si>
    <t xml:space="preserve">9222687895</t>
  </si>
  <si>
    <t xml:space="preserve">5209222398952</t>
  </si>
  <si>
    <t xml:space="preserve">922201004</t>
  </si>
  <si>
    <t xml:space="preserve">г. Севастополь, ул. Мира, д. 100, оф. 169</t>
  </si>
  <si>
    <t xml:space="preserve">Соколов С. Е.</t>
  </si>
  <si>
    <t xml:space="preserve">office@zarya-konsalt.example</t>
  </si>
  <si>
    <t xml:space="preserve">+7 (869) 523-64-77</t>
  </si>
  <si>
    <t xml:space="preserve">ООО «Прогресс Агро»</t>
  </si>
  <si>
    <t xml:space="preserve">6112914821</t>
  </si>
  <si>
    <t xml:space="preserve">1076102388163</t>
  </si>
  <si>
    <t xml:space="preserve">611201004</t>
  </si>
  <si>
    <t xml:space="preserve">г. Ростов-на-Дону, ул. Победы, д. 118, оф. 201</t>
  </si>
  <si>
    <t xml:space="preserve">Кузнецов С. С.</t>
  </si>
  <si>
    <t xml:space="preserve">office@progress-agro.example</t>
  </si>
  <si>
    <t xml:space="preserve">8 863 5032129</t>
  </si>
  <si>
    <t xml:space="preserve">ООО «Атлант Мед»</t>
  </si>
  <si>
    <t xml:space="preserve">6113430051</t>
  </si>
  <si>
    <t xml:space="preserve">5176108988171</t>
  </si>
  <si>
    <t xml:space="preserve">611301007</t>
  </si>
  <si>
    <t xml:space="preserve">г. Ростов-на-Дону, ул. Садовая, д. 22, оф. 129</t>
  </si>
  <si>
    <t xml:space="preserve">Егорова А. Н.</t>
  </si>
  <si>
    <t xml:space="preserve">sales@atlant-med.example</t>
  </si>
  <si>
    <t xml:space="preserve">+78635705623</t>
  </si>
  <si>
    <t xml:space="preserve">ООО «Тандем Сервис»</t>
  </si>
  <si>
    <t xml:space="preserve">6342340723</t>
  </si>
  <si>
    <t xml:space="preserve">5036306810788</t>
  </si>
  <si>
    <t xml:space="preserve">634243004</t>
  </si>
  <si>
    <t xml:space="preserve">г. Самара, ул. Мира, д. 106, оф. 297</t>
  </si>
  <si>
    <t xml:space="preserve">sales@tandem-servis.example</t>
  </si>
  <si>
    <t xml:space="preserve">+7 (846) 548-13-72</t>
  </si>
  <si>
    <t xml:space="preserve">ООО «Прогресс Групп»</t>
  </si>
  <si>
    <t xml:space="preserve">5026949547</t>
  </si>
  <si>
    <t xml:space="preserve">5045041140513</t>
  </si>
  <si>
    <t xml:space="preserve">502601006</t>
  </si>
  <si>
    <t xml:space="preserve">г. Красногорск, ул. Советская, д. 100, оф. 281</t>
  </si>
  <si>
    <t xml:space="preserve">sales@progress-grupp.example</t>
  </si>
  <si>
    <t xml:space="preserve">+74985826466</t>
  </si>
  <si>
    <t xml:space="preserve">ООО «Берег Мед»</t>
  </si>
  <si>
    <t xml:space="preserve">2323552443</t>
  </si>
  <si>
    <t xml:space="preserve">1192315413058</t>
  </si>
  <si>
    <t xml:space="preserve">232301003</t>
  </si>
  <si>
    <t xml:space="preserve">г. Краснодар, ул. Центральная, д. 5, оф. 45</t>
  </si>
  <si>
    <t xml:space="preserve">Лебедева Н. И.</t>
  </si>
  <si>
    <t xml:space="preserve">zakaz@bereg-med.example</t>
  </si>
  <si>
    <t xml:space="preserve">+78615890219</t>
  </si>
  <si>
    <t xml:space="preserve">ООО «Атлант Проект»</t>
  </si>
  <si>
    <t xml:space="preserve">7423175501</t>
  </si>
  <si>
    <t xml:space="preserve">5057442718009</t>
  </si>
  <si>
    <t xml:space="preserve">742345006</t>
  </si>
  <si>
    <t xml:space="preserve">г. Челябинск, ул. Гагарина, д. 74, оф. 176</t>
  </si>
  <si>
    <t xml:space="preserve">mail@atlant-proekt.example</t>
  </si>
  <si>
    <t xml:space="preserve">+7 (351) 569-68-47</t>
  </si>
  <si>
    <t xml:space="preserve">ООО «Меридиан Трейд»</t>
  </si>
  <si>
    <t xml:space="preserve">5211349093</t>
  </si>
  <si>
    <t xml:space="preserve">1125223920876</t>
  </si>
  <si>
    <t xml:space="preserve">521145006</t>
  </si>
  <si>
    <t xml:space="preserve">г. Нижний Новгород, ул. Парковая, д. 83, оф. 234</t>
  </si>
  <si>
    <t xml:space="preserve">Смирнов Н. М.</t>
  </si>
  <si>
    <t xml:space="preserve">sales@meridian-treid.example</t>
  </si>
  <si>
    <t xml:space="preserve">+78315546796</t>
  </si>
  <si>
    <t xml:space="preserve">ООО «Линия Проект»</t>
  </si>
  <si>
    <t xml:space="preserve">7716337343</t>
  </si>
  <si>
    <t xml:space="preserve">5097736924247</t>
  </si>
  <si>
    <t xml:space="preserve">771601007</t>
  </si>
  <si>
    <t xml:space="preserve">г. Москва, ул. Парковая, д. 112, оф. 157</t>
  </si>
  <si>
    <t xml:space="preserve">Лебедева С. С.</t>
  </si>
  <si>
    <t xml:space="preserve">sales@liniya-proekt.example</t>
  </si>
  <si>
    <t xml:space="preserve">+7 (495) 529-74-79</t>
  </si>
  <si>
    <t xml:space="preserve">ООО «Альфа Принт»</t>
  </si>
  <si>
    <t xml:space="preserve">9143710566</t>
  </si>
  <si>
    <t xml:space="preserve">5249118859468</t>
  </si>
  <si>
    <t xml:space="preserve">914301007</t>
  </si>
  <si>
    <t xml:space="preserve">г. Симферополь, ул. Парковая, д. 105, оф. 113</t>
  </si>
  <si>
    <t xml:space="preserve">Михайлова Д. А.</t>
  </si>
  <si>
    <t xml:space="preserve">sales@alfa-print.example</t>
  </si>
  <si>
    <t xml:space="preserve">+7 (365) 555-45-83</t>
  </si>
  <si>
    <t xml:space="preserve">АО «Прогресс Трейд»</t>
  </si>
  <si>
    <t xml:space="preserve">1649438409</t>
  </si>
  <si>
    <t xml:space="preserve">1021632406938</t>
  </si>
  <si>
    <t xml:space="preserve">164943007</t>
  </si>
  <si>
    <t xml:space="preserve">г. Казань, ул. Гагарина, д. 98, оф. 66</t>
  </si>
  <si>
    <t xml:space="preserve">Михайлов Д. С.</t>
  </si>
  <si>
    <t xml:space="preserve">sales@progress-treid.example</t>
  </si>
  <si>
    <t xml:space="preserve">8 843 5351428</t>
  </si>
  <si>
    <t xml:space="preserve">ООО «Радуга Софт»</t>
  </si>
  <si>
    <t xml:space="preserve">5404936404</t>
  </si>
  <si>
    <t xml:space="preserve">5095414843937</t>
  </si>
  <si>
    <t xml:space="preserve">540401008</t>
  </si>
  <si>
    <t xml:space="preserve">г. Новосибирск, ул. Школьная, д. 10, оф. 34</t>
  </si>
  <si>
    <t xml:space="preserve">Козлов М. О.</t>
  </si>
  <si>
    <t xml:space="preserve">sales@raduga-soft.example</t>
  </si>
  <si>
    <t xml:space="preserve">8 383 5209139</t>
  </si>
  <si>
    <t xml:space="preserve">ООО «Тандем Логистик»</t>
  </si>
  <si>
    <t xml:space="preserve">1057744658861</t>
  </si>
  <si>
    <t xml:space="preserve">773243002</t>
  </si>
  <si>
    <t xml:space="preserve">г. Москва, ул. Кирова, д. 36, оф. 258</t>
  </si>
  <si>
    <t xml:space="preserve">office@tandem-logistik.example</t>
  </si>
  <si>
    <t xml:space="preserve">+7 (495) 558-80-63</t>
  </si>
  <si>
    <t xml:space="preserve">ООО «Прогресс Пласт»</t>
  </si>
  <si>
    <t xml:space="preserve">2315626250</t>
  </si>
  <si>
    <t xml:space="preserve">5162344383999</t>
  </si>
  <si>
    <t xml:space="preserve">231501008</t>
  </si>
  <si>
    <t xml:space="preserve">г. Краснодар, ул. Набережная, д. 24, оф. 89</t>
  </si>
  <si>
    <t xml:space="preserve">Соколов С. С.</t>
  </si>
  <si>
    <t xml:space="preserve">office@progress-plast.example</t>
  </si>
  <si>
    <t xml:space="preserve">+78615996266</t>
  </si>
  <si>
    <t xml:space="preserve">ООО «Радуга Проект»</t>
  </si>
  <si>
    <t xml:space="preserve">7809733131</t>
  </si>
  <si>
    <t xml:space="preserve">1157805609466</t>
  </si>
  <si>
    <t xml:space="preserve">780901003</t>
  </si>
  <si>
    <t xml:space="preserve">г. Санкт-Петербург, ул. Советская, д. 55, оф. 122</t>
  </si>
  <si>
    <t xml:space="preserve">Васильев Т. А.</t>
  </si>
  <si>
    <t xml:space="preserve">sales@raduga-proekt.example</t>
  </si>
  <si>
    <t xml:space="preserve">8 812 5148031</t>
  </si>
  <si>
    <t xml:space="preserve">ООО «Квант Консалт»</t>
  </si>
  <si>
    <t xml:space="preserve">6134245412</t>
  </si>
  <si>
    <t xml:space="preserve">1056123761253</t>
  </si>
  <si>
    <t xml:space="preserve">613401008</t>
  </si>
  <si>
    <t xml:space="preserve">г. Ростов-на-Дону, ул. Советская, д. 40, оф. 31</t>
  </si>
  <si>
    <t xml:space="preserve">Михайлова М. И.</t>
  </si>
  <si>
    <t xml:space="preserve">mail@kvant-konsalt.example</t>
  </si>
  <si>
    <t xml:space="preserve">+78635477956</t>
  </si>
  <si>
    <t xml:space="preserve">АО «Импульс Трейд»</t>
  </si>
  <si>
    <t xml:space="preserve">5217728647395</t>
  </si>
  <si>
    <t xml:space="preserve">770145005</t>
  </si>
  <si>
    <t xml:space="preserve">г. Москва, ул. Парковая, д. 94, оф. 16</t>
  </si>
  <si>
    <t xml:space="preserve">Лебедев А. М.</t>
  </si>
  <si>
    <t xml:space="preserve">zakaz@impuls-treid.example</t>
  </si>
  <si>
    <t xml:space="preserve">+74955709400</t>
  </si>
  <si>
    <t xml:space="preserve">АО «Навигатор Групп»</t>
  </si>
  <si>
    <t xml:space="preserve">7703758908</t>
  </si>
  <si>
    <t xml:space="preserve">5117731685869</t>
  </si>
  <si>
    <t xml:space="preserve">770345005</t>
  </si>
  <si>
    <t xml:space="preserve">г. Москва, ул. Ленина, д. 108, оф. 48</t>
  </si>
  <si>
    <t xml:space="preserve">Степанов С. Д.</t>
  </si>
  <si>
    <t xml:space="preserve">sales@navigator-grupp.example</t>
  </si>
  <si>
    <t xml:space="preserve">+74955470928</t>
  </si>
  <si>
    <t xml:space="preserve">ООО «Радуга Энерго»</t>
  </si>
  <si>
    <t xml:space="preserve">7821871184</t>
  </si>
  <si>
    <t xml:space="preserve">1147808030028</t>
  </si>
  <si>
    <t xml:space="preserve">782101009</t>
  </si>
  <si>
    <t xml:space="preserve">г. Санкт-Петербург, ул. Победы, д. 97, оф. 177</t>
  </si>
  <si>
    <t xml:space="preserve">Семёнов Т. С.</t>
  </si>
  <si>
    <t xml:space="preserve">info@raduga-energo.example</t>
  </si>
  <si>
    <t xml:space="preserve">8 812 5213614</t>
  </si>
  <si>
    <t xml:space="preserve">ООО «Юпитер Строй»</t>
  </si>
  <si>
    <t xml:space="preserve">5423394940</t>
  </si>
  <si>
    <t xml:space="preserve">517544219918</t>
  </si>
  <si>
    <t xml:space="preserve">542343004</t>
  </si>
  <si>
    <t xml:space="preserve">г. Новосибирск, ул. Центральная, д. 96, оф. 228</t>
  </si>
  <si>
    <t xml:space="preserve">Морозов В. М.</t>
  </si>
  <si>
    <t xml:space="preserve">sales@yupiter-stroy.example</t>
  </si>
  <si>
    <t xml:space="preserve">+73835323437</t>
  </si>
  <si>
    <t xml:space="preserve">ООО «Гранит Консалт»</t>
  </si>
  <si>
    <t xml:space="preserve">1637504248</t>
  </si>
  <si>
    <t xml:space="preserve">1111611990643</t>
  </si>
  <si>
    <t xml:space="preserve">163701005</t>
  </si>
  <si>
    <t xml:space="preserve">г. Казань, ул. Садовая, д. 18, оф. 236</t>
  </si>
  <si>
    <t xml:space="preserve">Кузнецов В. Н.</t>
  </si>
  <si>
    <t xml:space="preserve">info@granit-konsalt.example</t>
  </si>
  <si>
    <t xml:space="preserve">+7 (843) 586-32-43</t>
  </si>
  <si>
    <t xml:space="preserve">ООО «Дельта Фуд»</t>
  </si>
  <si>
    <t xml:space="preserve">5230783309</t>
  </si>
  <si>
    <t xml:space="preserve">5055213524845</t>
  </si>
  <si>
    <t xml:space="preserve">523001001</t>
  </si>
  <si>
    <t xml:space="preserve">г. Нижний Новгород, ул. Советская, д. 49, оф. 140</t>
  </si>
  <si>
    <t xml:space="preserve">Васильев Д. Е.</t>
  </si>
  <si>
    <t xml:space="preserve">sales@delta-fud.example</t>
  </si>
  <si>
    <t xml:space="preserve">8 831 5012802</t>
  </si>
  <si>
    <t xml:space="preserve">АО «Альфа Фуд»</t>
  </si>
  <si>
    <t xml:space="preserve">5014724274</t>
  </si>
  <si>
    <t xml:space="preserve">1135020712991</t>
  </si>
  <si>
    <t xml:space="preserve">501401002</t>
  </si>
  <si>
    <t xml:space="preserve">г. Красногорск, ул. Парковая, д. 28, оф. 186</t>
  </si>
  <si>
    <t xml:space="preserve">Лебедев С. А.</t>
  </si>
  <si>
    <t xml:space="preserve">zakaz@alfa-fud.example</t>
  </si>
  <si>
    <t xml:space="preserve">8 498 5777910</t>
  </si>
  <si>
    <t xml:space="preserve">ООО «Альфа Групп»</t>
  </si>
  <si>
    <t xml:space="preserve">5008142510</t>
  </si>
  <si>
    <t xml:space="preserve">1205040226456</t>
  </si>
  <si>
    <t xml:space="preserve">500845001</t>
  </si>
  <si>
    <t xml:space="preserve">г. Красногорск, ул. Садовая, д. 97, оф. 13</t>
  </si>
  <si>
    <t xml:space="preserve">Смирнов Е. Д.</t>
  </si>
  <si>
    <t xml:space="preserve">zakaz@alfa-grupp.example</t>
  </si>
  <si>
    <t xml:space="preserve">8 498 5613764</t>
  </si>
  <si>
    <t xml:space="preserve">ООО «Квант Принт»</t>
  </si>
  <si>
    <t xml:space="preserve">7833580824</t>
  </si>
  <si>
    <t xml:space="preserve">5197811760823</t>
  </si>
  <si>
    <t xml:space="preserve">783345002</t>
  </si>
  <si>
    <t xml:space="preserve">г. Санкт-Петербург, ул. Школьная, д. 73, оф. 241</t>
  </si>
  <si>
    <t xml:space="preserve">Михайлова О. И.</t>
  </si>
  <si>
    <t xml:space="preserve">zakaz@kvant-print.example</t>
  </si>
  <si>
    <t xml:space="preserve">+78125504144</t>
  </si>
  <si>
    <t xml:space="preserve">ООО «Линия Энерго»</t>
  </si>
  <si>
    <t xml:space="preserve">7744914120</t>
  </si>
  <si>
    <t xml:space="preserve">5157711185572</t>
  </si>
  <si>
    <t xml:space="preserve">774401003</t>
  </si>
  <si>
    <t xml:space="preserve">г. Москва, ул. Центральная, д. 53, оф. 81</t>
  </si>
  <si>
    <t xml:space="preserve">Петрова И. Е.</t>
  </si>
  <si>
    <t xml:space="preserve">sales@liniya-energo.example</t>
  </si>
  <si>
    <t xml:space="preserve">+7 (495) 543-36-61</t>
  </si>
  <si>
    <t xml:space="preserve">ООО «Импульс Сервис»</t>
  </si>
  <si>
    <t xml:space="preserve">6117538715</t>
  </si>
  <si>
    <t xml:space="preserve">1056143360184</t>
  </si>
  <si>
    <t xml:space="preserve">611743002</t>
  </si>
  <si>
    <t xml:space="preserve">г. Ростов-на-Дону, ул. Мира, д. 13, оф. 213</t>
  </si>
  <si>
    <t xml:space="preserve">sales@impuls-servis.example</t>
  </si>
  <si>
    <t xml:space="preserve">+7 (863) 590-36-21</t>
  </si>
  <si>
    <t xml:space="preserve">ООО «Прогресс Логистик»</t>
  </si>
  <si>
    <t xml:space="preserve">6141132360</t>
  </si>
  <si>
    <t xml:space="preserve">5186107143063</t>
  </si>
  <si>
    <t xml:space="preserve">614101007</t>
  </si>
  <si>
    <t xml:space="preserve">г. Ростов-на-Дону, ул. Советская, д. 25, оф. 172</t>
  </si>
  <si>
    <t xml:space="preserve">Павлов Д. М.</t>
  </si>
  <si>
    <t xml:space="preserve">sales@progress-logistik.example</t>
  </si>
  <si>
    <t xml:space="preserve">+7 (863) 589-61-84</t>
  </si>
  <si>
    <t xml:space="preserve">ООО «Эталон Снаб»</t>
  </si>
  <si>
    <t xml:space="preserve">9212585301</t>
  </si>
  <si>
    <t xml:space="preserve">1159207831122</t>
  </si>
  <si>
    <t xml:space="preserve">921243007</t>
  </si>
  <si>
    <t xml:space="preserve">г. Севастополь, ул. Мира, д. 91, оф. 31</t>
  </si>
  <si>
    <t xml:space="preserve">Кузнецов Д. Т.</t>
  </si>
  <si>
    <t xml:space="preserve">info@etalon-snab.example</t>
  </si>
  <si>
    <t xml:space="preserve">+78695304699</t>
  </si>
  <si>
    <t xml:space="preserve">ООО «Юпитер Проект»</t>
  </si>
  <si>
    <t xml:space="preserve">5041123610</t>
  </si>
  <si>
    <t xml:space="preserve">1235047398046</t>
  </si>
  <si>
    <t xml:space="preserve">504143007</t>
  </si>
  <si>
    <t xml:space="preserve">г. Красногорск, ул. Парковая, д. 88, оф. 195</t>
  </si>
  <si>
    <t xml:space="preserve">Иванов М. С.</t>
  </si>
  <si>
    <t xml:space="preserve">zakaz@yupiter-proekt.example</t>
  </si>
  <si>
    <t xml:space="preserve">+7 (498) 568-41-21</t>
  </si>
  <si>
    <t xml:space="preserve">ООО «Радуга Фуд»</t>
  </si>
  <si>
    <t xml:space="preserve">2420150179</t>
  </si>
  <si>
    <t xml:space="preserve">1022447362948</t>
  </si>
  <si>
    <t xml:space="preserve">242001004</t>
  </si>
  <si>
    <t xml:space="preserve">г. Красноярск, ул. Мира, д. 17, оф. 187</t>
  </si>
  <si>
    <t xml:space="preserve">Николаева М. О.</t>
  </si>
  <si>
    <t xml:space="preserve">sales@raduga-fud.example</t>
  </si>
  <si>
    <t xml:space="preserve">8 391 5634126</t>
  </si>
  <si>
    <t xml:space="preserve">ООО «Атлант Транс»</t>
  </si>
  <si>
    <t xml:space="preserve">2301158108</t>
  </si>
  <si>
    <t xml:space="preserve">1142341086788</t>
  </si>
  <si>
    <t xml:space="preserve">230101009</t>
  </si>
  <si>
    <t xml:space="preserve">г. Краснодар, ул. Советская, д. 105, оф. 201</t>
  </si>
  <si>
    <t xml:space="preserve">mail@atlant-trans.example</t>
  </si>
  <si>
    <t xml:space="preserve">+7 (861) 564-59-64</t>
  </si>
  <si>
    <t xml:space="preserve">ООО «Линия Принт»</t>
  </si>
  <si>
    <t xml:space="preserve">0237762210</t>
  </si>
  <si>
    <t xml:space="preserve">1030247895260</t>
  </si>
  <si>
    <t xml:space="preserve">023743005</t>
  </si>
  <si>
    <t xml:space="preserve">г. Уфа, ул. Центральная, д. 64, оф. 35</t>
  </si>
  <si>
    <t xml:space="preserve">Кузнецова Е. М.</t>
  </si>
  <si>
    <t xml:space="preserve">info@liniya-print.example</t>
  </si>
  <si>
    <t xml:space="preserve">+73475516616</t>
  </si>
  <si>
    <t xml:space="preserve">АО «Орбита Технологии»</t>
  </si>
  <si>
    <t xml:space="preserve">6608894610</t>
  </si>
  <si>
    <t xml:space="preserve">5076610863951</t>
  </si>
  <si>
    <t xml:space="preserve">660801001</t>
  </si>
  <si>
    <t xml:space="preserve">г. Екатеринбург, ул. Садовая, д. 88, оф. 119</t>
  </si>
  <si>
    <t xml:space="preserve">Васильева И. Е.</t>
  </si>
  <si>
    <t xml:space="preserve">sales@orbita-tekhnologii.example</t>
  </si>
  <si>
    <t xml:space="preserve">8 343 5147027</t>
  </si>
  <si>
    <t xml:space="preserve">ООО «Феникс Снаб»</t>
  </si>
  <si>
    <t xml:space="preserve">9249112252</t>
  </si>
  <si>
    <t xml:space="preserve">1099209793407</t>
  </si>
  <si>
    <t xml:space="preserve">924943006</t>
  </si>
  <si>
    <t xml:space="preserve">г. Севастополь, ул. Парковая, д. 25, оф. 299</t>
  </si>
  <si>
    <t xml:space="preserve">Иванов Т. О.</t>
  </si>
  <si>
    <t xml:space="preserve">sales@feniks-snab.example</t>
  </si>
  <si>
    <t xml:space="preserve">+7 (869) 537-57-95</t>
  </si>
  <si>
    <t xml:space="preserve">ООО «Берег Снаб»</t>
  </si>
  <si>
    <t xml:space="preserve">2301498496</t>
  </si>
  <si>
    <t xml:space="preserve">1022315257106</t>
  </si>
  <si>
    <t xml:space="preserve">г. Краснодар, ул. Победы, д. 100, оф. 271</t>
  </si>
  <si>
    <t xml:space="preserve">Степанова Е. В.</t>
  </si>
  <si>
    <t xml:space="preserve">zakaz@bereg-snab.example</t>
  </si>
  <si>
    <t xml:space="preserve">8 861 5038482</t>
  </si>
  <si>
    <t xml:space="preserve">ООО «Тандем Стандарт»</t>
  </si>
  <si>
    <t xml:space="preserve">7731379933</t>
  </si>
  <si>
    <t xml:space="preserve">5177748321328</t>
  </si>
  <si>
    <t xml:space="preserve">773143008</t>
  </si>
  <si>
    <t xml:space="preserve">г. Москва, ул. Центральная, д. 97, оф. 211</t>
  </si>
  <si>
    <t xml:space="preserve">Петрова С. Д.</t>
  </si>
  <si>
    <t xml:space="preserve">mail@tandem-standart.example</t>
  </si>
  <si>
    <t xml:space="preserve">+7 (495) 533-18-67</t>
  </si>
  <si>
    <t xml:space="preserve">ООО «Эталон Фуд»</t>
  </si>
  <si>
    <t xml:space="preserve">2347239494</t>
  </si>
  <si>
    <t xml:space="preserve">5212317272140</t>
  </si>
  <si>
    <t xml:space="preserve">234701001</t>
  </si>
  <si>
    <t xml:space="preserve">г. Краснодар, ул. Парковая, д. 106, оф. 86</t>
  </si>
  <si>
    <t xml:space="preserve">Петрова С. И.</t>
  </si>
  <si>
    <t xml:space="preserve">zakaz@etalon-fud.example</t>
  </si>
  <si>
    <t xml:space="preserve">8 861 5074600</t>
  </si>
  <si>
    <t xml:space="preserve">ООО «Прогресс Консалт»</t>
  </si>
  <si>
    <t xml:space="preserve">6105070567</t>
  </si>
  <si>
    <t xml:space="preserve">5236117496324</t>
  </si>
  <si>
    <t xml:space="preserve">610501001</t>
  </si>
  <si>
    <t xml:space="preserve">г. Ростов-на-Дону, ул. Заводская, д. 54, оф. 197</t>
  </si>
  <si>
    <t xml:space="preserve">Козлов Н. О.</t>
  </si>
  <si>
    <t xml:space="preserve">sales@progress-konsalt.example</t>
  </si>
  <si>
    <t xml:space="preserve">+7 (863) 597-71-91</t>
  </si>
  <si>
    <t xml:space="preserve">ООО «Дельта Трейд»</t>
  </si>
  <si>
    <t xml:space="preserve">9123289406</t>
  </si>
  <si>
    <t xml:space="preserve">5089117580976</t>
  </si>
  <si>
    <t xml:space="preserve">912343003</t>
  </si>
  <si>
    <t xml:space="preserve">г. Симферополь, ул. Кирова, д. 2, оф. 208</t>
  </si>
  <si>
    <t xml:space="preserve">Морозова С. Т.</t>
  </si>
  <si>
    <t xml:space="preserve">mail@delta-treid.example</t>
  </si>
  <si>
    <t xml:space="preserve">+7 (365) 518-98-79</t>
  </si>
  <si>
    <t xml:space="preserve">ООО «Импульс Принт»</t>
  </si>
  <si>
    <t xml:space="preserve">6124187377</t>
  </si>
  <si>
    <t xml:space="preserve">5056120555805</t>
  </si>
  <si>
    <t xml:space="preserve">612445001</t>
  </si>
  <si>
    <t xml:space="preserve">г. Ростов-на-Дону, ул. Победы, д. 90, оф. 158</t>
  </si>
  <si>
    <t xml:space="preserve">Иванова Д. Д.</t>
  </si>
  <si>
    <t xml:space="preserve">office@impuls-print.example</t>
  </si>
  <si>
    <t xml:space="preserve">8 863 5675564</t>
  </si>
  <si>
    <t xml:space="preserve">ООО «Радуга Снаб»</t>
  </si>
  <si>
    <t xml:space="preserve">9121308967</t>
  </si>
  <si>
    <t xml:space="preserve">5209133868895</t>
  </si>
  <si>
    <t xml:space="preserve">912143003</t>
  </si>
  <si>
    <t xml:space="preserve">г. Симферополь, ул. Садовая, д. 41, оф. 180</t>
  </si>
  <si>
    <t xml:space="preserve">Иванов Н. М.</t>
  </si>
  <si>
    <t xml:space="preserve">office@raduga-snab.example</t>
  </si>
  <si>
    <t xml:space="preserve">+7 (365) 534-14-18</t>
  </si>
  <si>
    <t xml:space="preserve">ООО «Гранит Торг»</t>
  </si>
  <si>
    <t xml:space="preserve">6147193391</t>
  </si>
  <si>
    <t xml:space="preserve">5066145106979</t>
  </si>
  <si>
    <t xml:space="preserve">614701005</t>
  </si>
  <si>
    <t xml:space="preserve">г. Ростов-на-Дону, ул. Центральная, д. 47, оф. 85</t>
  </si>
  <si>
    <t xml:space="preserve">Петрова Д. О.</t>
  </si>
  <si>
    <t xml:space="preserve">sales@granit-torg.example</t>
  </si>
  <si>
    <t xml:space="preserve">8 863 5669300</t>
  </si>
  <si>
    <t xml:space="preserve">ООО «Радуга Строй»</t>
  </si>
  <si>
    <t xml:space="preserve">6619289357</t>
  </si>
  <si>
    <t xml:space="preserve">1106602410661</t>
  </si>
  <si>
    <t xml:space="preserve">661901001</t>
  </si>
  <si>
    <t xml:space="preserve">г. Екатеринбург, ул. Набережная, д. 60, оф. 72</t>
  </si>
  <si>
    <t xml:space="preserve">Смирнова С. М.</t>
  </si>
  <si>
    <t xml:space="preserve">zakaz@raduga-stroy.example</t>
  </si>
  <si>
    <t xml:space="preserve">+7 (343) 553-94-90</t>
  </si>
  <si>
    <t xml:space="preserve">ООО «Орбита Стандарт»</t>
  </si>
  <si>
    <t xml:space="preserve">784551787</t>
  </si>
  <si>
    <t xml:space="preserve">1197837396624</t>
  </si>
  <si>
    <t xml:space="preserve">784501003</t>
  </si>
  <si>
    <t xml:space="preserve">г. Санкт-Петербург, ул. Центральная, д. 18, оф. 238</t>
  </si>
  <si>
    <t xml:space="preserve">Козлова Е. Д.</t>
  </si>
  <si>
    <t xml:space="preserve">office@orbita-standart.example</t>
  </si>
  <si>
    <t xml:space="preserve">+7 (812) 545-91-27</t>
  </si>
  <si>
    <t xml:space="preserve">АО «Атлант Агро»</t>
  </si>
  <si>
    <t xml:space="preserve">6338991024</t>
  </si>
  <si>
    <t xml:space="preserve">1246306543823</t>
  </si>
  <si>
    <t xml:space="preserve">633845007</t>
  </si>
  <si>
    <t xml:space="preserve">г. Самара, ул. Гагарина, д. 14, оф. 107</t>
  </si>
  <si>
    <t xml:space="preserve">Николаев Н. Н.</t>
  </si>
  <si>
    <t xml:space="preserve">mailatlant-agro.example</t>
  </si>
  <si>
    <t xml:space="preserve">+78465865784</t>
  </si>
  <si>
    <t xml:space="preserve">ООО «Атлант Софт»</t>
  </si>
  <si>
    <t xml:space="preserve">1624601332</t>
  </si>
  <si>
    <t xml:space="preserve">1021611261682</t>
  </si>
  <si>
    <t xml:space="preserve">162445003</t>
  </si>
  <si>
    <t xml:space="preserve">г. Казань, ул. Ленина, д. 60, оф. 51</t>
  </si>
  <si>
    <t xml:space="preserve">Смирнов Н. А.</t>
  </si>
  <si>
    <t xml:space="preserve">zakaz@atlant-soft.example</t>
  </si>
  <si>
    <t xml:space="preserve">+78435948405</t>
  </si>
  <si>
    <t xml:space="preserve">ООО «Тандем Транс»</t>
  </si>
  <si>
    <t xml:space="preserve">7726429650</t>
  </si>
  <si>
    <t xml:space="preserve">1237737861350</t>
  </si>
  <si>
    <t xml:space="preserve">772601004</t>
  </si>
  <si>
    <t xml:space="preserve">г. Москва, ул. Мира, д. 54, оф. 206</t>
  </si>
  <si>
    <t xml:space="preserve">Петрова А. Е.</t>
  </si>
  <si>
    <t xml:space="preserve">sales@tandem-trans.example</t>
  </si>
  <si>
    <t xml:space="preserve">+74955772369</t>
  </si>
  <si>
    <t xml:space="preserve">ООО «Вектор Технологии»</t>
  </si>
  <si>
    <t xml:space="preserve">6619557052</t>
  </si>
  <si>
    <t xml:space="preserve">5026631486426</t>
  </si>
  <si>
    <t xml:space="preserve">661943005</t>
  </si>
  <si>
    <t xml:space="preserve">г. Екатеринбург, ул. Советская, д. 20, оф. 177</t>
  </si>
  <si>
    <t xml:space="preserve">Васильева Е. Т.</t>
  </si>
  <si>
    <t xml:space="preserve">zakaz@vektor-tekhnologii.example</t>
  </si>
  <si>
    <t xml:space="preserve">+7 (343) 566-31-25</t>
  </si>
  <si>
    <t xml:space="preserve">ООО «Дельта Снаб»</t>
  </si>
  <si>
    <t xml:space="preserve">7748307180</t>
  </si>
  <si>
    <t xml:space="preserve">1227726087665</t>
  </si>
  <si>
    <t xml:space="preserve">774801009</t>
  </si>
  <si>
    <t xml:space="preserve">г. Москва, ул. Набережная, д. 92, оф. 149</t>
  </si>
  <si>
    <t xml:space="preserve">info@delta-snab.example</t>
  </si>
  <si>
    <t xml:space="preserve">+74955633872</t>
  </si>
  <si>
    <t xml:space="preserve">ООО «Атлант Консалт»</t>
  </si>
  <si>
    <t xml:space="preserve">7729232926</t>
  </si>
  <si>
    <t xml:space="preserve">1107705557849</t>
  </si>
  <si>
    <t xml:space="preserve">772945006</t>
  </si>
  <si>
    <t xml:space="preserve">г. Москва, ул. Советская, д. 34, оф. 294</t>
  </si>
  <si>
    <t xml:space="preserve">Соколова С. Н.</t>
  </si>
  <si>
    <t xml:space="preserve">sales@atlant-konsalt.example</t>
  </si>
  <si>
    <t xml:space="preserve">+7 (495) 549-73-62</t>
  </si>
  <si>
    <t xml:space="preserve">АО «Феникс Софт»</t>
  </si>
  <si>
    <t xml:space="preserve">7829701191</t>
  </si>
  <si>
    <t xml:space="preserve">5087839017910</t>
  </si>
  <si>
    <t xml:space="preserve">782901008</t>
  </si>
  <si>
    <t xml:space="preserve">г. Санкт-Петербург, ул. Победы, д. 66, оф. 277</t>
  </si>
  <si>
    <t xml:space="preserve">Михайлова Е. С.</t>
  </si>
  <si>
    <t xml:space="preserve">mail@feniks-soft.example</t>
  </si>
  <si>
    <t xml:space="preserve">+7 (812) 512-23-77</t>
  </si>
  <si>
    <t xml:space="preserve">ООО «Гранит Проект»</t>
  </si>
  <si>
    <t xml:space="preserve">7725197822</t>
  </si>
  <si>
    <t xml:space="preserve">5187744334839</t>
  </si>
  <si>
    <t xml:space="preserve">772545005</t>
  </si>
  <si>
    <t xml:space="preserve">г. Москва, ул. Набережная, д. 57, оф. 182</t>
  </si>
  <si>
    <t xml:space="preserve">Егорова И. Е.</t>
  </si>
  <si>
    <t xml:space="preserve">info@granit-proekt.example</t>
  </si>
  <si>
    <t xml:space="preserve">+7 (495) 561-18-27</t>
  </si>
  <si>
    <t xml:space="preserve">АО «Тандем Технологии»</t>
  </si>
  <si>
    <t xml:space="preserve">7817830259</t>
  </si>
  <si>
    <t xml:space="preserve">5127848044891</t>
  </si>
  <si>
    <t xml:space="preserve">781701009</t>
  </si>
  <si>
    <t xml:space="preserve">г. Санкт-Петербург, ул. Советская, д. 40, оф. 278</t>
  </si>
  <si>
    <t xml:space="preserve">Михайлов О. В.</t>
  </si>
  <si>
    <t xml:space="preserve">mail@tandem-tekhnologii.example</t>
  </si>
  <si>
    <t xml:space="preserve">8 812 5962350</t>
  </si>
  <si>
    <t xml:space="preserve">АО «Берег Трейд»</t>
  </si>
  <si>
    <t xml:space="preserve">9210808337</t>
  </si>
  <si>
    <t xml:space="preserve">1249243628402</t>
  </si>
  <si>
    <t xml:space="preserve">921001006</t>
  </si>
  <si>
    <t xml:space="preserve">г. Севастополь, ул. Заводская, д. 63, оф. 172</t>
  </si>
  <si>
    <t xml:space="preserve">sales@bereg-treid.example</t>
  </si>
  <si>
    <t xml:space="preserve">+78695201684</t>
  </si>
  <si>
    <t xml:space="preserve">ООО «Радуга Технологии»</t>
  </si>
  <si>
    <t xml:space="preserve">7840767051</t>
  </si>
  <si>
    <t xml:space="preserve">1247825385158</t>
  </si>
  <si>
    <t xml:space="preserve">784043001</t>
  </si>
  <si>
    <t xml:space="preserve">г. Санкт-Петербург, ул. Парковая, д. 26, оф. 191</t>
  </si>
  <si>
    <t xml:space="preserve">Фёдоров И. Д.</t>
  </si>
  <si>
    <t xml:space="preserve">info@raduga-tekhnologii.example</t>
  </si>
  <si>
    <t xml:space="preserve">8 812 5867124</t>
  </si>
  <si>
    <t xml:space="preserve">ООО «Феникс Проект»</t>
  </si>
  <si>
    <t xml:space="preserve">2315609015</t>
  </si>
  <si>
    <t xml:space="preserve">5152337659392</t>
  </si>
  <si>
    <t xml:space="preserve">771543002</t>
  </si>
  <si>
    <t xml:space="preserve">г. Краснодар, ул. Кирова, д. 28, оф. 147</t>
  </si>
  <si>
    <t xml:space="preserve">Соколова Д. Т.</t>
  </si>
  <si>
    <t xml:space="preserve">sales@feniks-proekt.example</t>
  </si>
  <si>
    <t xml:space="preserve">+7 (861) 527-30-70</t>
  </si>
  <si>
    <t xml:space="preserve">ООО «Атлант Монтаж»</t>
  </si>
  <si>
    <t xml:space="preserve">5408401417</t>
  </si>
  <si>
    <t xml:space="preserve">1165447285937</t>
  </si>
  <si>
    <t xml:space="preserve">540801002</t>
  </si>
  <si>
    <t xml:space="preserve">г. Новосибирск, ул. Центральная, д. 37, оф. 199</t>
  </si>
  <si>
    <t xml:space="preserve">mail@atlant-montazh.example</t>
  </si>
  <si>
    <t xml:space="preserve">+7 (383) 505-52</t>
  </si>
  <si>
    <t xml:space="preserve">ООО «Квант Торг»</t>
  </si>
  <si>
    <t xml:space="preserve">7445558353</t>
  </si>
  <si>
    <t xml:space="preserve">5077422499138</t>
  </si>
  <si>
    <t xml:space="preserve">744545006</t>
  </si>
  <si>
    <t xml:space="preserve">г. Челябинск, ул. Советская, д. 115, оф. 231</t>
  </si>
  <si>
    <t xml:space="preserve">Степанова В. Е.</t>
  </si>
  <si>
    <t xml:space="preserve">sales@kvant-torg.example</t>
  </si>
  <si>
    <t xml:space="preserve">+73515991905</t>
  </si>
  <si>
    <t xml:space="preserve">ООО «Тандем Проект»</t>
  </si>
  <si>
    <t xml:space="preserve">7719455521</t>
  </si>
  <si>
    <t xml:space="preserve">1047728867812</t>
  </si>
  <si>
    <t xml:space="preserve">771945004</t>
  </si>
  <si>
    <t xml:space="preserve">г. Москва, ул. Гагарина, д. 113, оф. 13</t>
  </si>
  <si>
    <t xml:space="preserve">Новикова Д. М.</t>
  </si>
  <si>
    <t xml:space="preserve">sales@tandem-proekt.example</t>
  </si>
  <si>
    <t xml:space="preserve">+7 (495) 536-78-63</t>
  </si>
  <si>
    <t xml:space="preserve">АО «Берег Транс»</t>
  </si>
  <si>
    <t xml:space="preserve">1625769306</t>
  </si>
  <si>
    <t xml:space="preserve">5111640598768</t>
  </si>
  <si>
    <t xml:space="preserve">162543006</t>
  </si>
  <si>
    <t xml:space="preserve">г. Казань, ул. Парковая, д. 110, оф. 14</t>
  </si>
  <si>
    <t xml:space="preserve">mail@bereg-trans.example</t>
  </si>
  <si>
    <t xml:space="preserve">+7 (843) 533-74-35</t>
  </si>
  <si>
    <t xml:space="preserve">ООО «Берег Агро»</t>
  </si>
  <si>
    <t xml:space="preserve">6619409865</t>
  </si>
  <si>
    <t xml:space="preserve">5166612059202</t>
  </si>
  <si>
    <t xml:space="preserve">661945008</t>
  </si>
  <si>
    <t xml:space="preserve">г. Екатеринбург, ул. Садовая, д. 46, оф. 208</t>
  </si>
  <si>
    <t xml:space="preserve">mail@bereg-agro.example</t>
  </si>
  <si>
    <t xml:space="preserve">+7 (343) 559-62-92</t>
  </si>
  <si>
    <t xml:space="preserve">ООО «Атлант Торг»</t>
  </si>
  <si>
    <t xml:space="preserve">9244232845</t>
  </si>
  <si>
    <t xml:space="preserve">1109218646096</t>
  </si>
  <si>
    <t xml:space="preserve">924401003</t>
  </si>
  <si>
    <t xml:space="preserve">г. Севастополь, ул. Мира, д. 58, оф. 227</t>
  </si>
  <si>
    <t xml:space="preserve">Соколов И. С.</t>
  </si>
  <si>
    <t xml:space="preserve">office@atlant-torg.example</t>
  </si>
  <si>
    <t xml:space="preserve">+7 (869) 502-64-40</t>
  </si>
  <si>
    <t xml:space="preserve">АО «Радуга Стандарт»</t>
  </si>
  <si>
    <t xml:space="preserve">7825550738</t>
  </si>
  <si>
    <t xml:space="preserve">1177826731224</t>
  </si>
  <si>
    <t xml:space="preserve">782501004</t>
  </si>
  <si>
    <t xml:space="preserve">г. Санкт-Петербург, ул. Мира, д. 90, оф. 77</t>
  </si>
  <si>
    <t xml:space="preserve">Фёдорова М. А.</t>
  </si>
  <si>
    <t xml:space="preserve">zakaz@raduga-standart.example</t>
  </si>
  <si>
    <t xml:space="preserve">8 812 5823577</t>
  </si>
  <si>
    <t xml:space="preserve">АО «Орбита Принт»</t>
  </si>
  <si>
    <t xml:space="preserve">5247724823</t>
  </si>
  <si>
    <t xml:space="preserve">5115230213060</t>
  </si>
  <si>
    <t xml:space="preserve">524701001</t>
  </si>
  <si>
    <t xml:space="preserve">г. Нижний Новгород, ул. Мира, д. 27, оф. 223</t>
  </si>
  <si>
    <t xml:space="preserve">Лебедев О. В.</t>
  </si>
  <si>
    <t xml:space="preserve">sales@orbita-print.example</t>
  </si>
  <si>
    <t xml:space="preserve">8 831 5014866</t>
  </si>
  <si>
    <t xml:space="preserve">ООО «Горизонт Стандарт»</t>
  </si>
  <si>
    <t xml:space="preserve">7818237649</t>
  </si>
  <si>
    <t xml:space="preserve">5237834848169</t>
  </si>
  <si>
    <t xml:space="preserve">781801007</t>
  </si>
  <si>
    <t xml:space="preserve">г. Санкт-Петербург, ул. Центральная, д. 98, оф. 180</t>
  </si>
  <si>
    <t xml:space="preserve">Фёдорова Д. Е.</t>
  </si>
  <si>
    <t xml:space="preserve">zakaz@gorizont-standart.example</t>
  </si>
  <si>
    <t xml:space="preserve">+78125302584</t>
  </si>
  <si>
    <t xml:space="preserve">ООО «Радуга Мед»</t>
  </si>
  <si>
    <t xml:space="preserve">7847091679</t>
  </si>
  <si>
    <t xml:space="preserve">1087822664863</t>
  </si>
  <si>
    <t xml:space="preserve">784701007</t>
  </si>
  <si>
    <t xml:space="preserve">г. Санкт-Петербург, ул. Гагарина, д. 21, оф. 19</t>
  </si>
  <si>
    <t xml:space="preserve">Степанова О. Н.</t>
  </si>
  <si>
    <t xml:space="preserve">zakaz @ raduga-med.example</t>
  </si>
  <si>
    <t xml:space="preserve">+78125273410</t>
  </si>
  <si>
    <t xml:space="preserve">ООО «Феникс Сервис»</t>
  </si>
  <si>
    <t xml:space="preserve">7720548072</t>
  </si>
  <si>
    <t xml:space="preserve">1047737686655</t>
  </si>
  <si>
    <t xml:space="preserve">772001003</t>
  </si>
  <si>
    <t xml:space="preserve">г. Москва, ул. Кирова, д. 22, оф. 230</t>
  </si>
  <si>
    <t xml:space="preserve">Алексеева И. М.</t>
  </si>
  <si>
    <t xml:space="preserve">zakaz@feniks-servis.example</t>
  </si>
  <si>
    <t xml:space="preserve">+74955109314</t>
  </si>
  <si>
    <t xml:space="preserve">ООО «Феникс Стандарт»</t>
  </si>
  <si>
    <t xml:space="preserve">2325770380</t>
  </si>
  <si>
    <t xml:space="preserve">1202323312795</t>
  </si>
  <si>
    <t xml:space="preserve">232543004</t>
  </si>
  <si>
    <t xml:space="preserve">г. Краснодар, ул. Парковая, д. 58, оф. 212</t>
  </si>
  <si>
    <t xml:space="preserve">Морозов Н. Д.</t>
  </si>
  <si>
    <t xml:space="preserve">sales@feniks-standart.example</t>
  </si>
  <si>
    <t xml:space="preserve">8 861 5095422</t>
  </si>
  <si>
    <t xml:space="preserve">ООО «Орбита Групп»</t>
  </si>
  <si>
    <t xml:space="preserve">6135374629</t>
  </si>
  <si>
    <t xml:space="preserve">1186126784843</t>
  </si>
  <si>
    <t xml:space="preserve">613545004</t>
  </si>
  <si>
    <t xml:space="preserve">г. Ростов-на-Дону, ул. Садовая, д. 62, оф. 161</t>
  </si>
  <si>
    <t xml:space="preserve">Павлова Т. Н.</t>
  </si>
  <si>
    <t xml:space="preserve">office@orbita-grupp.example</t>
  </si>
  <si>
    <t xml:space="preserve">+78635155978</t>
  </si>
  <si>
    <t xml:space="preserve">ООО «Горизонт Снаб»</t>
  </si>
  <si>
    <t xml:space="preserve">7831410175</t>
  </si>
  <si>
    <t xml:space="preserve">1197843729214</t>
  </si>
  <si>
    <t xml:space="preserve">783101002</t>
  </si>
  <si>
    <t xml:space="preserve">г. Санкт-Петербург, ул. Победы, д. 113, оф. 276</t>
  </si>
  <si>
    <t xml:space="preserve">Николаева С. Т.</t>
  </si>
  <si>
    <t xml:space="preserve">zakaz@gorizont-snab.example</t>
  </si>
  <si>
    <t xml:space="preserve">8 812 5856341</t>
  </si>
  <si>
    <t xml:space="preserve">ООО «Орбита Фуд»</t>
  </si>
  <si>
    <t xml:space="preserve">2303371953</t>
  </si>
  <si>
    <t xml:space="preserve">1022331363108</t>
  </si>
  <si>
    <t xml:space="preserve">г. Краснодар, ул. Победы, д. 61, оф. 11</t>
  </si>
  <si>
    <t xml:space="preserve">Смирнов Т. В.</t>
  </si>
  <si>
    <t xml:space="preserve">sales@orbita-fud.example</t>
  </si>
  <si>
    <t xml:space="preserve">8 861 5384905</t>
  </si>
  <si>
    <t xml:space="preserve">ООО «Прогресс Фуд»</t>
  </si>
  <si>
    <t xml:space="preserve">2301204354</t>
  </si>
  <si>
    <t xml:space="preserve">1072339008433</t>
  </si>
  <si>
    <t xml:space="preserve">230101008</t>
  </si>
  <si>
    <t xml:space="preserve">г. Краснодар, ул. Советская, д. 3, оф. 177</t>
  </si>
  <si>
    <t xml:space="preserve">Иванов В. Е.</t>
  </si>
  <si>
    <t xml:space="preserve">zakaz@progress-fud.example</t>
  </si>
  <si>
    <t xml:space="preserve">+7 (861) 562-74-38</t>
  </si>
  <si>
    <t xml:space="preserve">ООО «Навигатор Снаб»</t>
  </si>
  <si>
    <t xml:space="preserve">7849577231</t>
  </si>
  <si>
    <t xml:space="preserve">5157803883496</t>
  </si>
  <si>
    <t xml:space="preserve">784901008</t>
  </si>
  <si>
    <t xml:space="preserve">г. Санкт-Петербург, ул. Садовая, д. 54, оф. 129</t>
  </si>
  <si>
    <t xml:space="preserve">Егоров С. Е.</t>
  </si>
  <si>
    <t xml:space="preserve">zakaz@navigator-snab.example</t>
  </si>
  <si>
    <t xml:space="preserve">+7 (812) 584-97-97</t>
  </si>
  <si>
    <t xml:space="preserve">ООО «Навигатор Проект»</t>
  </si>
  <si>
    <t xml:space="preserve">7821768910</t>
  </si>
  <si>
    <t xml:space="preserve">1237844648690</t>
  </si>
  <si>
    <t xml:space="preserve">782143001</t>
  </si>
  <si>
    <t xml:space="preserve">г. Санкт-Петербург, ул. Советская, д. 70, оф. 59</t>
  </si>
  <si>
    <t xml:space="preserve">Егоров И. И.</t>
  </si>
  <si>
    <t xml:space="preserve">mail@navigator-proekt.example</t>
  </si>
  <si>
    <t xml:space="preserve">8 812 5815647</t>
  </si>
  <si>
    <t xml:space="preserve">ООО «Альфа Торг»</t>
  </si>
  <si>
    <t xml:space="preserve">2302333472</t>
  </si>
  <si>
    <t xml:space="preserve">1032308777423</t>
  </si>
  <si>
    <t xml:space="preserve">230201004</t>
  </si>
  <si>
    <t xml:space="preserve">г. Краснодар, ул. Садовая, д. 112, оф. 191</t>
  </si>
  <si>
    <t xml:space="preserve">Соколов Н. Е.</t>
  </si>
  <si>
    <t xml:space="preserve">mail@alfa-torg.example</t>
  </si>
  <si>
    <t xml:space="preserve">+7 (861) 597-94-37</t>
  </si>
  <si>
    <t xml:space="preserve">ООО «Линия Пласт»</t>
  </si>
  <si>
    <t xml:space="preserve">2341695772</t>
  </si>
  <si>
    <t xml:space="preserve">5052307683610</t>
  </si>
  <si>
    <t xml:space="preserve">234101006</t>
  </si>
  <si>
    <t xml:space="preserve">г. Краснодар, ул. Победы, д. 103, оф. 36</t>
  </si>
  <si>
    <t xml:space="preserve">Степанов О. С.</t>
  </si>
  <si>
    <t xml:space="preserve">zakaz@liniya-plast.example</t>
  </si>
  <si>
    <t xml:space="preserve">+78615970132</t>
  </si>
  <si>
    <t xml:space="preserve">ООО «Феникс Мед»</t>
  </si>
  <si>
    <t xml:space="preserve">9232801832</t>
  </si>
  <si>
    <t xml:space="preserve">5099215483770</t>
  </si>
  <si>
    <t xml:space="preserve">923245002</t>
  </si>
  <si>
    <t xml:space="preserve">г. Севастополь, ул. Центральная, д. 83, оф. 74</t>
  </si>
  <si>
    <t xml:space="preserve">Алексеев А. С.</t>
  </si>
  <si>
    <t xml:space="preserve">zakaz@feniks-med.example</t>
  </si>
  <si>
    <t xml:space="preserve">8 869 5375955</t>
  </si>
  <si>
    <t xml:space="preserve">АО «Юпитер Энерго»</t>
  </si>
  <si>
    <t xml:space="preserve">7839061920</t>
  </si>
  <si>
    <t xml:space="preserve">1027840480293</t>
  </si>
  <si>
    <t xml:space="preserve">г. Санкт-Петербург, ул. Заводская, д. 23, оф. 229</t>
  </si>
  <si>
    <t xml:space="preserve">Смирнова И. Н.</t>
  </si>
  <si>
    <t xml:space="preserve">info@yupiter-energo.example</t>
  </si>
  <si>
    <t xml:space="preserve">8 812 5884232</t>
  </si>
  <si>
    <t xml:space="preserve">АО «Дельта Торг»</t>
  </si>
  <si>
    <t xml:space="preserve">2443731349</t>
  </si>
  <si>
    <t xml:space="preserve">5052414971440</t>
  </si>
  <si>
    <t xml:space="preserve">244301008</t>
  </si>
  <si>
    <t xml:space="preserve">г. Красноярск, ул. Ленина, д. 109, оф. 293</t>
  </si>
  <si>
    <t xml:space="preserve">Соколова А. И.</t>
  </si>
  <si>
    <t xml:space="preserve">sales@delta-torg.example</t>
  </si>
  <si>
    <t xml:space="preserve">8 391 5912932</t>
  </si>
  <si>
    <t xml:space="preserve">ООО «Прогресс Софт»</t>
  </si>
  <si>
    <t xml:space="preserve">6122430611</t>
  </si>
  <si>
    <t xml:space="preserve">5046117102290</t>
  </si>
  <si>
    <t xml:space="preserve">612245003</t>
  </si>
  <si>
    <t xml:space="preserve">г. Ростов-на-Дону, ул. Школьная, д. 37, оф. 220</t>
  </si>
  <si>
    <t xml:space="preserve">Павлова О. И.</t>
  </si>
  <si>
    <t xml:space="preserve">mail@progress-soft.example</t>
  </si>
  <si>
    <t xml:space="preserve">8 863 5011835</t>
  </si>
  <si>
    <t xml:space="preserve">ООО «Берег Фуд»</t>
  </si>
  <si>
    <t xml:space="preserve">6142318015</t>
  </si>
  <si>
    <t xml:space="preserve">1186147363335</t>
  </si>
  <si>
    <t xml:space="preserve">614201002</t>
  </si>
  <si>
    <t xml:space="preserve">г. Ростов-на-Дону, ул. Гагарина, д. 38, оф. 280</t>
  </si>
  <si>
    <t xml:space="preserve">Семёнова Д. И.</t>
  </si>
  <si>
    <t xml:space="preserve">mail@bereg-fud.example</t>
  </si>
  <si>
    <t xml:space="preserve">+78635882076</t>
  </si>
  <si>
    <t xml:space="preserve">ООО «Линия Монтаж»</t>
  </si>
  <si>
    <t xml:space="preserve">2305155796</t>
  </si>
  <si>
    <t xml:space="preserve">230545005</t>
  </si>
  <si>
    <t xml:space="preserve">г. Краснодар, ул. Центральная, д. 53, оф. 272</t>
  </si>
  <si>
    <t xml:space="preserve">Алексеева В. А.</t>
  </si>
  <si>
    <t xml:space="preserve">zakaz@liniya-montazh.example</t>
  </si>
  <si>
    <t xml:space="preserve">+78615702237</t>
  </si>
  <si>
    <t xml:space="preserve">ООО «Тандем Мед»</t>
  </si>
  <si>
    <t xml:space="preserve">9143466879</t>
  </si>
  <si>
    <t xml:space="preserve">1239148526341</t>
  </si>
  <si>
    <t xml:space="preserve">г. Симферополь, ул. Гагарина, д. 67, оф. 144</t>
  </si>
  <si>
    <t xml:space="preserve">Волкова И. В.</t>
  </si>
  <si>
    <t xml:space="preserve">zakaz@tandem-med.example</t>
  </si>
  <si>
    <t xml:space="preserve">8 365 5112638</t>
  </si>
  <si>
    <t xml:space="preserve">ООО «Феникс Технологии»</t>
  </si>
  <si>
    <t xml:space="preserve">5043110222</t>
  </si>
  <si>
    <t xml:space="preserve">1175024913403</t>
  </si>
  <si>
    <t xml:space="preserve">504301008</t>
  </si>
  <si>
    <t xml:space="preserve">г. Красногорск, ул. Гагарина, д. 89, оф. 17</t>
  </si>
  <si>
    <t xml:space="preserve">Фёдоров Д. Н.</t>
  </si>
  <si>
    <t xml:space="preserve">mail@feniks-tekhnologii.example</t>
  </si>
  <si>
    <t xml:space="preserve">8 498 5669555</t>
  </si>
  <si>
    <t xml:space="preserve">ООО «Горизонт Технологии»</t>
  </si>
  <si>
    <t xml:space="preserve">6307112160</t>
  </si>
  <si>
    <t xml:space="preserve">5076306809882</t>
  </si>
  <si>
    <t xml:space="preserve">630701004</t>
  </si>
  <si>
    <t xml:space="preserve">г. Самара, ул. Набережная, д. 79, оф. 21</t>
  </si>
  <si>
    <t xml:space="preserve">Лебедев А. Д.</t>
  </si>
  <si>
    <t xml:space="preserve">sales@gorizont-tekhnologii.example</t>
  </si>
  <si>
    <t xml:space="preserve">+7 (846) 543-74-91</t>
  </si>
  <si>
    <t xml:space="preserve">ООО «Меридиан Софт»</t>
  </si>
  <si>
    <t xml:space="preserve">9145793864</t>
  </si>
  <si>
    <t xml:space="preserve">5159109577853</t>
  </si>
  <si>
    <t xml:space="preserve">914501009</t>
  </si>
  <si>
    <t xml:space="preserve">г. Симферополь, ул. Победы, д. 48, оф. 69</t>
  </si>
  <si>
    <t xml:space="preserve">Алексеева Н. С.</t>
  </si>
  <si>
    <t xml:space="preserve">zakaz@meridian-soft.example</t>
  </si>
  <si>
    <t xml:space="preserve">8 365 5997567</t>
  </si>
  <si>
    <t xml:space="preserve">ООО «Вектор Стандарт»</t>
  </si>
  <si>
    <t xml:space="preserve">7442504906</t>
  </si>
  <si>
    <t xml:space="preserve">1057408073975</t>
  </si>
  <si>
    <t xml:space="preserve">744245003</t>
  </si>
  <si>
    <t xml:space="preserve">г. Челябинск, ул. Школьная, д. 25, оф. 144</t>
  </si>
  <si>
    <t xml:space="preserve">Семёнов М. С.</t>
  </si>
  <si>
    <t xml:space="preserve">office@vektor-standart.example</t>
  </si>
  <si>
    <t xml:space="preserve">8 351 5281218</t>
  </si>
  <si>
    <t xml:space="preserve">ООО «Юпитер Снаб»</t>
  </si>
  <si>
    <t xml:space="preserve">5431268594</t>
  </si>
  <si>
    <t xml:space="preserve">5245417993145</t>
  </si>
  <si>
    <t xml:space="preserve">543101006</t>
  </si>
  <si>
    <t xml:space="preserve">г. Новосибирск, ул. Мира, д. 86, оф. 271</t>
  </si>
  <si>
    <t xml:space="preserve">Степанова А. Н.</t>
  </si>
  <si>
    <t xml:space="preserve">zakaz@yupiter-snab.example</t>
  </si>
  <si>
    <t xml:space="preserve">+73835743419</t>
  </si>
  <si>
    <t xml:space="preserve">ООО «Атлант Фуд»</t>
  </si>
  <si>
    <t xml:space="preserve">6101420330</t>
  </si>
  <si>
    <t xml:space="preserve">1116114391997</t>
  </si>
  <si>
    <t xml:space="preserve">610101001</t>
  </si>
  <si>
    <t xml:space="preserve">г. Ростов-на-Дону, ул. Советская, д. 71, оф. 193</t>
  </si>
  <si>
    <t xml:space="preserve">Смирнов А. С.</t>
  </si>
  <si>
    <t xml:space="preserve">mail @ atlant-fud.example</t>
  </si>
  <si>
    <t xml:space="preserve">8 863 5775630</t>
  </si>
  <si>
    <t xml:space="preserve">ООО «Навигатор Торг»</t>
  </si>
  <si>
    <t xml:space="preserve">7745738237</t>
  </si>
  <si>
    <t xml:space="preserve">1107703364449</t>
  </si>
  <si>
    <t xml:space="preserve">774501001</t>
  </si>
  <si>
    <t xml:space="preserve">г. Москва, ул. Гагарина, д. 56, оф. 58</t>
  </si>
  <si>
    <t xml:space="preserve">Попов Д. Т.</t>
  </si>
  <si>
    <t xml:space="preserve">sales@navigator-torg.example</t>
  </si>
  <si>
    <t xml:space="preserve">+74955987824</t>
  </si>
  <si>
    <t xml:space="preserve">АО «Навигатор Трейд»</t>
  </si>
  <si>
    <t xml:space="preserve">5009941442</t>
  </si>
  <si>
    <t xml:space="preserve">5245027935500</t>
  </si>
  <si>
    <t xml:space="preserve">500901004</t>
  </si>
  <si>
    <t xml:space="preserve">Семёнов О. А.</t>
  </si>
  <si>
    <t xml:space="preserve">mail@navigator-treid.example</t>
  </si>
  <si>
    <t xml:space="preserve">+74985079865</t>
  </si>
  <si>
    <t xml:space="preserve">АО «Меридиан Пласт»</t>
  </si>
  <si>
    <t xml:space="preserve">7703617826</t>
  </si>
  <si>
    <t xml:space="preserve">5137713266928</t>
  </si>
  <si>
    <t xml:space="preserve">770343003</t>
  </si>
  <si>
    <t xml:space="preserve">г. Москва, ул. Ленина, д. 61, оф. 213</t>
  </si>
  <si>
    <t xml:space="preserve">Новикова А. М.</t>
  </si>
  <si>
    <t xml:space="preserve">mail@meridian-plast.example</t>
  </si>
  <si>
    <t xml:space="preserve">+7 (495) 500-28-55</t>
  </si>
  <si>
    <t xml:space="preserve">ООО «Квант Проект»</t>
  </si>
  <si>
    <t xml:space="preserve">6638577537</t>
  </si>
  <si>
    <t xml:space="preserve">5166617260816</t>
  </si>
  <si>
    <t xml:space="preserve">663845002</t>
  </si>
  <si>
    <t xml:space="preserve">г. Екатеринбург, ул. Садовая, д. 95, оф. 186</t>
  </si>
  <si>
    <t xml:space="preserve">Соколова Е. О.</t>
  </si>
  <si>
    <t xml:space="preserve">sales@kvant-proekt.example</t>
  </si>
  <si>
    <t xml:space="preserve">+7 (343) 570-89-33</t>
  </si>
  <si>
    <t xml:space="preserve">АО «Орбита Сервис»</t>
  </si>
  <si>
    <t xml:space="preserve">5426807057</t>
  </si>
  <si>
    <t xml:space="preserve">5145408577386</t>
  </si>
  <si>
    <t xml:space="preserve">542643009</t>
  </si>
  <si>
    <t xml:space="preserve">г. Новосибирск, ул. Садовая, д. 91, оф. 131</t>
  </si>
  <si>
    <t xml:space="preserve">Попов Н. В.</t>
  </si>
  <si>
    <t xml:space="preserve">mail@orbita-servis.example</t>
  </si>
  <si>
    <t xml:space="preserve">+7 (383) 544-61-93</t>
  </si>
  <si>
    <t xml:space="preserve">АО «Импульс Транс»</t>
  </si>
  <si>
    <t xml:space="preserve">7712957427</t>
  </si>
  <si>
    <t xml:space="preserve">5177712066660</t>
  </si>
  <si>
    <t xml:space="preserve">771201001</t>
  </si>
  <si>
    <t xml:space="preserve">г. Москва, ул. Центральная, д. 63, оф. 56</t>
  </si>
  <si>
    <t xml:space="preserve">Смирнова И. В.</t>
  </si>
  <si>
    <t xml:space="preserve">office@impuls-trans.example</t>
  </si>
  <si>
    <t xml:space="preserve">8 495 5015046</t>
  </si>
  <si>
    <t xml:space="preserve">АО «Меридиан Строй»</t>
  </si>
  <si>
    <t xml:space="preserve">7713992797</t>
  </si>
  <si>
    <t xml:space="preserve">5147723663775</t>
  </si>
  <si>
    <t xml:space="preserve">771343009</t>
  </si>
  <si>
    <t xml:space="preserve">г. Москва, ул. Советская, д. 2, оф. 164</t>
  </si>
  <si>
    <t xml:space="preserve">Михайлов Д. В.</t>
  </si>
  <si>
    <t xml:space="preserve">info@meridian-stroy.example</t>
  </si>
  <si>
    <t xml:space="preserve">8 495 5359687</t>
  </si>
  <si>
    <t xml:space="preserve">АО «Гранит Транс»</t>
  </si>
  <si>
    <t xml:space="preserve">5024884559</t>
  </si>
  <si>
    <t xml:space="preserve">5175003538925</t>
  </si>
  <si>
    <t xml:space="preserve">502401008</t>
  </si>
  <si>
    <t xml:space="preserve">г. Красногорск, ул. Заводская, д. 63, оф. 234</t>
  </si>
  <si>
    <t xml:space="preserve">Семёнова Н. О.</t>
  </si>
  <si>
    <t xml:space="preserve">mail@granit-trans.example</t>
  </si>
  <si>
    <t xml:space="preserve">8 498 5543500</t>
  </si>
  <si>
    <t xml:space="preserve">ООО «Атлант Технологии»</t>
  </si>
  <si>
    <t xml:space="preserve">5434738840</t>
  </si>
  <si>
    <t xml:space="preserve">5225427889210</t>
  </si>
  <si>
    <t xml:space="preserve">543401003</t>
  </si>
  <si>
    <t xml:space="preserve">г. Новосибирск, ул. Советская, д. 33, оф. 299</t>
  </si>
  <si>
    <t xml:space="preserve">Иванова Т. С.</t>
  </si>
  <si>
    <t xml:space="preserve">mail@atlant-tekhnologii.example</t>
  </si>
  <si>
    <t xml:space="preserve">+7 (383) 556-62-67</t>
  </si>
  <si>
    <t xml:space="preserve">ООО «Гранит Энерго»</t>
  </si>
  <si>
    <t xml:space="preserve">5220373712</t>
  </si>
  <si>
    <t xml:space="preserve">5035235841482</t>
  </si>
  <si>
    <t xml:space="preserve">522001007</t>
  </si>
  <si>
    <t xml:space="preserve">г. Нижний Новгород, ул. Ленина, д. 33, оф. 26</t>
  </si>
  <si>
    <t xml:space="preserve">Соколова И. Д.</t>
  </si>
  <si>
    <t xml:space="preserve">sales@granit-energo.example</t>
  </si>
  <si>
    <t xml:space="preserve">+7 (831) 566-32-25</t>
  </si>
  <si>
    <t xml:space="preserve">ООО «Альфа Технологии»</t>
  </si>
  <si>
    <t xml:space="preserve">6648930409</t>
  </si>
  <si>
    <t xml:space="preserve">5096624259650</t>
  </si>
  <si>
    <t xml:space="preserve">664843007</t>
  </si>
  <si>
    <t xml:space="preserve">г. Екатеринбург, ул. Советская, д. 32, оф. 65</t>
  </si>
  <si>
    <t xml:space="preserve">Смирнова Н. О.</t>
  </si>
  <si>
    <t xml:space="preserve">office@alfa-tekhnologii.example</t>
  </si>
  <si>
    <t xml:space="preserve">+73435054074</t>
  </si>
  <si>
    <t xml:space="preserve">АО «Прогресс Энерго»</t>
  </si>
  <si>
    <t xml:space="preserve">2443809700</t>
  </si>
  <si>
    <t xml:space="preserve">5242426937430</t>
  </si>
  <si>
    <t xml:space="preserve">244301006</t>
  </si>
  <si>
    <t xml:space="preserve">г. Красноярск, ул. Победы, д. 10, оф. 23</t>
  </si>
  <si>
    <t xml:space="preserve">Михайлов Е. В.</t>
  </si>
  <si>
    <t xml:space="preserve">zakaz@progress-energo.example</t>
  </si>
  <si>
    <t xml:space="preserve">8 391 5768115</t>
  </si>
  <si>
    <t xml:space="preserve">ООО «Горизонт Энерго»</t>
  </si>
  <si>
    <t xml:space="preserve">7740293753</t>
  </si>
  <si>
    <t xml:space="preserve">1047744598153</t>
  </si>
  <si>
    <t xml:space="preserve">774001007</t>
  </si>
  <si>
    <t xml:space="preserve">г. Москва, ул. Заводская, д. 12, оф. 98</t>
  </si>
  <si>
    <t xml:space="preserve">Михайлов И. Е.</t>
  </si>
  <si>
    <t xml:space="preserve">sales@gorizont-energo.example</t>
  </si>
  <si>
    <t xml:space="preserve">+74955749</t>
  </si>
  <si>
    <t xml:space="preserve">ООО «Линия Транс»</t>
  </si>
  <si>
    <t xml:space="preserve">1172302177706</t>
  </si>
  <si>
    <t xml:space="preserve">231943005</t>
  </si>
  <si>
    <t xml:space="preserve">г. Краснодар, ул. Центральная, д. 85, оф. 95</t>
  </si>
  <si>
    <t xml:space="preserve">Соколова Е. А.</t>
  </si>
  <si>
    <t xml:space="preserve">sales@liniya-trans.example</t>
  </si>
  <si>
    <t xml:space="preserve">+7 (861) 580-35-64</t>
  </si>
  <si>
    <t xml:space="preserve">ООО «Горизонт Фуд»</t>
  </si>
  <si>
    <t xml:space="preserve">5006673192</t>
  </si>
  <si>
    <t xml:space="preserve">5055013777242</t>
  </si>
  <si>
    <t xml:space="preserve">500645001</t>
  </si>
  <si>
    <t xml:space="preserve">г. Красногорск, ул. Советская, д. 56, оф. 212</t>
  </si>
  <si>
    <t xml:space="preserve">Лебедев С. О.</t>
  </si>
  <si>
    <t xml:space="preserve">zakaz@gorizont-fud.example</t>
  </si>
  <si>
    <t xml:space="preserve">+7 (498) 535-79-43</t>
  </si>
  <si>
    <t xml:space="preserve">ООО «Горизонт Логистик»</t>
  </si>
  <si>
    <t xml:space="preserve">1069142803070</t>
  </si>
  <si>
    <t xml:space="preserve">911801006</t>
  </si>
  <si>
    <t xml:space="preserve">г. Симферополь, ул. Садовая, д. 9, оф. 205</t>
  </si>
  <si>
    <t xml:space="preserve">Попова Н. М.</t>
  </si>
  <si>
    <t xml:space="preserve">sales@gorizont-logistik.example</t>
  </si>
  <si>
    <t xml:space="preserve">8 365 5641765</t>
  </si>
  <si>
    <t xml:space="preserve">ООО «Эталон Софт»</t>
  </si>
  <si>
    <t xml:space="preserve">7825392785</t>
  </si>
  <si>
    <t xml:space="preserve">5127817410804</t>
  </si>
  <si>
    <t xml:space="preserve">782501009</t>
  </si>
  <si>
    <t xml:space="preserve">г. Санкт-Петербург, ул. Ленина, д. 91, оф. 99</t>
  </si>
  <si>
    <t xml:space="preserve">Иванов Т. Н.</t>
  </si>
  <si>
    <t xml:space="preserve">info@etalon-soft.example</t>
  </si>
  <si>
    <t xml:space="preserve">8 812 5907558</t>
  </si>
  <si>
    <t xml:space="preserve">ООО «Альфа Логистик»</t>
  </si>
  <si>
    <t xml:space="preserve">2349877189</t>
  </si>
  <si>
    <t xml:space="preserve">1182343643943</t>
  </si>
  <si>
    <t xml:space="preserve">234943004</t>
  </si>
  <si>
    <t xml:space="preserve">г. Краснодар, ул. Набережная, д. 35, оф. 163</t>
  </si>
  <si>
    <t xml:space="preserve">Волков В. С.</t>
  </si>
  <si>
    <t xml:space="preserve">zakaz@alfa-logistik.example</t>
  </si>
  <si>
    <t xml:space="preserve">8 861 5310647</t>
  </si>
  <si>
    <t xml:space="preserve">ООО «Квант Трейд»</t>
  </si>
  <si>
    <t xml:space="preserve">7816891121</t>
  </si>
  <si>
    <t xml:space="preserve">1167844138351</t>
  </si>
  <si>
    <t xml:space="preserve">781643003</t>
  </si>
  <si>
    <t xml:space="preserve">г. Санкт-Петербург, ул. Мира, д. 69, оф. 257</t>
  </si>
  <si>
    <t xml:space="preserve">Новиков С. Н.</t>
  </si>
  <si>
    <t xml:space="preserve">zakaz@kvant-treid.example</t>
  </si>
  <si>
    <t xml:space="preserve">+78125337364</t>
  </si>
  <si>
    <t xml:space="preserve">ООО «Прогресс Технологии»</t>
  </si>
  <si>
    <t xml:space="preserve">2320308302</t>
  </si>
  <si>
    <t xml:space="preserve">5082329901396</t>
  </si>
  <si>
    <t xml:space="preserve">232001006</t>
  </si>
  <si>
    <t xml:space="preserve">г. Краснодар, ул. Победы, д. 108, оф. 46</t>
  </si>
  <si>
    <t xml:space="preserve">Николаев Д. Н.</t>
  </si>
  <si>
    <t xml:space="preserve">mail@progress-tekhnologii.example</t>
  </si>
  <si>
    <t xml:space="preserve">+78615138455</t>
  </si>
  <si>
    <t xml:space="preserve">ООО «Эталон Строй»</t>
  </si>
  <si>
    <t xml:space="preserve">6138818329</t>
  </si>
  <si>
    <t xml:space="preserve">5136121037272</t>
  </si>
  <si>
    <t xml:space="preserve">613801002</t>
  </si>
  <si>
    <t xml:space="preserve">г. Ростов-на-Дону, ул. Гагарина, д. 60, оф. 20</t>
  </si>
  <si>
    <t xml:space="preserve">Алексеева С. А.</t>
  </si>
  <si>
    <t xml:space="preserve">office@etalon-stroy.example</t>
  </si>
  <si>
    <t xml:space="preserve">+7 (863) 595-18-45</t>
  </si>
  <si>
    <t xml:space="preserve">АО «Атлант Групп»</t>
  </si>
  <si>
    <t xml:space="preserve">9225649506</t>
  </si>
  <si>
    <t xml:space="preserve">5159248572820</t>
  </si>
  <si>
    <t xml:space="preserve">922501006</t>
  </si>
  <si>
    <t xml:space="preserve">г. Севастополь, ул. Школьная, д. 114, оф. 227</t>
  </si>
  <si>
    <t xml:space="preserve">Михайлов И. А.</t>
  </si>
  <si>
    <t xml:space="preserve">mail@atlant-grupp.example</t>
  </si>
  <si>
    <t xml:space="preserve">+78695388284</t>
  </si>
  <si>
    <t xml:space="preserve">ООО «Радуга Агро»</t>
  </si>
  <si>
    <t xml:space="preserve">5003357093</t>
  </si>
  <si>
    <t xml:space="preserve">1155042983468</t>
  </si>
  <si>
    <t xml:space="preserve">500301007</t>
  </si>
  <si>
    <t xml:space="preserve">г. Красногорск, ул. Мира, д. 77, оф. 14</t>
  </si>
  <si>
    <t xml:space="preserve">zakaz@raduga-agro.example</t>
  </si>
  <si>
    <t xml:space="preserve">+74985652920</t>
  </si>
  <si>
    <t xml:space="preserve">ООО «Берег Софт»</t>
  </si>
  <si>
    <t xml:space="preserve">7844594963</t>
  </si>
  <si>
    <t xml:space="preserve">1197844499160</t>
  </si>
  <si>
    <t xml:space="preserve">г. Санкт-Петербург, ул. Советская, д. 109, оф. 216</t>
  </si>
  <si>
    <t xml:space="preserve">info@bereg-soft.example</t>
  </si>
  <si>
    <t xml:space="preserve">+78125074428</t>
  </si>
  <si>
    <t xml:space="preserve">ООО «Феникс Строй»</t>
  </si>
  <si>
    <t xml:space="preserve">0234619759</t>
  </si>
  <si>
    <t xml:space="preserve">1030243880677</t>
  </si>
  <si>
    <t xml:space="preserve">023401004</t>
  </si>
  <si>
    <t xml:space="preserve">г. Уфа, ул. Заводская, д. 42, оф. 52</t>
  </si>
  <si>
    <t xml:space="preserve">Степанова М. Е.</t>
  </si>
  <si>
    <t xml:space="preserve">mail@feniks-stroy.example</t>
  </si>
  <si>
    <t xml:space="preserve">+7 (347) 599-67-69</t>
  </si>
  <si>
    <t xml:space="preserve">ООО «Феникс Консалт»</t>
  </si>
  <si>
    <t xml:space="preserve">5215634817</t>
  </si>
  <si>
    <t xml:space="preserve">1175216137673</t>
  </si>
  <si>
    <t xml:space="preserve">521543007</t>
  </si>
  <si>
    <t xml:space="preserve">г. Нижний Новгород, ул. Мира, д. 51, оф. 163</t>
  </si>
  <si>
    <t xml:space="preserve">Волков Е. Е.</t>
  </si>
  <si>
    <t xml:space="preserve">sales@feniks-konsalt.example</t>
  </si>
  <si>
    <t xml:space="preserve">+7 (831) 549-59-44</t>
  </si>
  <si>
    <t xml:space="preserve">ООО «Орбита Мед»</t>
  </si>
  <si>
    <t xml:space="preserve">9212209441</t>
  </si>
  <si>
    <t xml:space="preserve">5039227084463</t>
  </si>
  <si>
    <t xml:space="preserve">921201006</t>
  </si>
  <si>
    <t xml:space="preserve">г. Севастополь, ул. Садовая, д. 93, оф. 190</t>
  </si>
  <si>
    <t xml:space="preserve">office@orbita-med.example</t>
  </si>
  <si>
    <t xml:space="preserve">+7 (869) 513-96-75</t>
  </si>
  <si>
    <t xml:space="preserve">ООО «Феникс Групп»</t>
  </si>
  <si>
    <t xml:space="preserve">9107133296</t>
  </si>
  <si>
    <t xml:space="preserve">5039149746433</t>
  </si>
  <si>
    <t xml:space="preserve">910745003</t>
  </si>
  <si>
    <t xml:space="preserve">г. Симферополь, ул. Заводская, д. 9, оф. 31</t>
  </si>
  <si>
    <t xml:space="preserve">Лебедев Н. В.</t>
  </si>
  <si>
    <t xml:space="preserve">sales@feniks-grupp.example</t>
  </si>
  <si>
    <t xml:space="preserve">+73655120663</t>
  </si>
  <si>
    <t xml:space="preserve">ООО «Эталон Пласт»</t>
  </si>
  <si>
    <t xml:space="preserve">66349585498</t>
  </si>
  <si>
    <t xml:space="preserve">5096641443542</t>
  </si>
  <si>
    <t xml:space="preserve">663443008</t>
  </si>
  <si>
    <t xml:space="preserve">г. Екатеринбург, ул. Заводская, д. 102, оф. 129</t>
  </si>
  <si>
    <t xml:space="preserve">Волков Н. Д.</t>
  </si>
  <si>
    <t xml:space="preserve">office@etalon-plast.example</t>
  </si>
  <si>
    <t xml:space="preserve">8 343 5192079</t>
  </si>
  <si>
    <t xml:space="preserve">АО «Эталон Транс»</t>
  </si>
  <si>
    <t xml:space="preserve">9219149640</t>
  </si>
  <si>
    <t xml:space="preserve">1109209784133</t>
  </si>
  <si>
    <t xml:space="preserve">921943008</t>
  </si>
  <si>
    <t xml:space="preserve">г. Севастополь, ул. Кирова, д. 77, оф. 108</t>
  </si>
  <si>
    <t xml:space="preserve">info @ etalon-trans.example</t>
  </si>
  <si>
    <t xml:space="preserve">+78695664881</t>
  </si>
  <si>
    <t xml:space="preserve">ООО «Импульс Софт»</t>
  </si>
  <si>
    <t xml:space="preserve">7845797878</t>
  </si>
  <si>
    <t xml:space="preserve">5117832942310</t>
  </si>
  <si>
    <t xml:space="preserve">784543003</t>
  </si>
  <si>
    <t xml:space="preserve">г. Санкт-Петербург, ул. Советская, д. 54, оф. 207</t>
  </si>
  <si>
    <t xml:space="preserve">Иванов Н. Н.</t>
  </si>
  <si>
    <t xml:space="preserve">mail @ impuls-soft.example</t>
  </si>
  <si>
    <t xml:space="preserve">+7 (812) 521-18-71</t>
  </si>
  <si>
    <t xml:space="preserve">ООО «Горизонт Торг»</t>
  </si>
  <si>
    <t xml:space="preserve">5244369673</t>
  </si>
  <si>
    <t xml:space="preserve">1245247560018</t>
  </si>
  <si>
    <t xml:space="preserve">524445002</t>
  </si>
  <si>
    <t xml:space="preserve">г. Нижний Новгород, ул. Советская, д. 70, оф. 118</t>
  </si>
  <si>
    <t xml:space="preserve">Козлов М. Т.</t>
  </si>
  <si>
    <t xml:space="preserve">zakaz@gorizont-torg.example</t>
  </si>
  <si>
    <t xml:space="preserve">8 831 5961637</t>
  </si>
  <si>
    <t xml:space="preserve">АО «Юпитер Агро»</t>
  </si>
  <si>
    <t xml:space="preserve">5226639887997</t>
  </si>
  <si>
    <t xml:space="preserve">660445005</t>
  </si>
  <si>
    <t xml:space="preserve">г. Екатеринбург, ул. Школьная, д. 86, оф. 129</t>
  </si>
  <si>
    <t xml:space="preserve">Михайлова Т. Т.</t>
  </si>
  <si>
    <t xml:space="preserve">info@yupiter-agro.example</t>
  </si>
  <si>
    <t xml:space="preserve">+7 (343) 588-46-89</t>
  </si>
  <si>
    <t xml:space="preserve">ООО «Тандем Трейд»</t>
  </si>
  <si>
    <t xml:space="preserve">7801370990</t>
  </si>
  <si>
    <t xml:space="preserve">1077835502690</t>
  </si>
  <si>
    <t xml:space="preserve">780143002</t>
  </si>
  <si>
    <t xml:space="preserve">г. Санкт-Петербург, ул. Набережная, д. 110, оф. 160</t>
  </si>
  <si>
    <t xml:space="preserve">Попова М. С.</t>
  </si>
  <si>
    <t xml:space="preserve">sales@tandem-treid.example</t>
  </si>
  <si>
    <t xml:space="preserve">+7 (812) 592-75-78</t>
  </si>
  <si>
    <t xml:space="preserve">ООО «Радуга Принт»</t>
  </si>
  <si>
    <t xml:space="preserve">7845212261</t>
  </si>
  <si>
    <t xml:space="preserve">1137840743633</t>
  </si>
  <si>
    <t xml:space="preserve">784501009</t>
  </si>
  <si>
    <t xml:space="preserve">г. Санкт-Петербург, ул. Гагарина, д. 22, оф. 64</t>
  </si>
  <si>
    <t xml:space="preserve">Смирнова О. Т.</t>
  </si>
  <si>
    <t xml:space="preserve">info@raduga-print.example</t>
  </si>
  <si>
    <t xml:space="preserve">8 812 5479114</t>
  </si>
  <si>
    <t xml:space="preserve">ООО «Меридиан Сервис»</t>
  </si>
  <si>
    <t xml:space="preserve">7716205212</t>
  </si>
  <si>
    <t xml:space="preserve">5097710002484</t>
  </si>
  <si>
    <t xml:space="preserve">771645007</t>
  </si>
  <si>
    <t xml:space="preserve">г. Москва, ул. Центральная, д. 41, оф. 18</t>
  </si>
  <si>
    <t xml:space="preserve">Волков М. Н.</t>
  </si>
  <si>
    <t xml:space="preserve">office@meridian-servis.example</t>
  </si>
  <si>
    <t xml:space="preserve">+7 (495) 560-77-24</t>
  </si>
  <si>
    <t xml:space="preserve">ООО «Дельта Строй»</t>
  </si>
  <si>
    <t xml:space="preserve">9115671379</t>
  </si>
  <si>
    <t xml:space="preserve">5079104879410</t>
  </si>
  <si>
    <t xml:space="preserve">911543007</t>
  </si>
  <si>
    <t xml:space="preserve">г. Симферополь, ул. Мира, д. 77, оф. 131</t>
  </si>
  <si>
    <t xml:space="preserve">Волков Н. Н.</t>
  </si>
  <si>
    <t xml:space="preserve">zakaz@delta-stroy.example</t>
  </si>
  <si>
    <t xml:space="preserve">+73655920053</t>
  </si>
  <si>
    <t xml:space="preserve">Список записей с ошибками (формируется автоматически из листа «Реестр»)</t>
  </si>
  <si>
    <t xml:space="preserve">Список обновляется сам: исправили данные в «Реестре» — запись исчезла из списка. Формулы: ИНДЕКС + ПОИСКПОЗ по служебному столбцу.</t>
  </si>
  <si>
    <t xml:space="preserve">Организация</t>
  </si>
  <si>
    <t xml:space="preserve">Финальный реестр: только проверенные записи, готовые к передаче</t>
  </si>
  <si>
    <t xml:space="preserve">Формируется автоматически из листа «Реестр» (записи со статусом «Готово к передаче»).</t>
  </si>
  <si>
    <t xml:space="preserve">Код региона (первые 2 цифры ИНН)</t>
  </si>
  <si>
    <t xml:space="preserve">Справочник используется функцией ВПР (VLOOKUP) в столбце «Регион» листа «Реестр».</t>
  </si>
  <si>
    <t xml:space="preserve">г. Москва</t>
  </si>
  <si>
    <t xml:space="preserve">г. Санкт-Петербург</t>
  </si>
  <si>
    <t xml:space="preserve">г. Севастополь</t>
  </si>
  <si>
    <t xml:space="preserve">Республика Крым</t>
  </si>
  <si>
    <t xml:space="preserve">Московская область</t>
  </si>
  <si>
    <t xml:space="preserve">Краснодарский край</t>
  </si>
  <si>
    <t xml:space="preserve">Республика Татарстан</t>
  </si>
  <si>
    <t xml:space="preserve">Свердловская область</t>
  </si>
  <si>
    <t xml:space="preserve">Новосибирская область</t>
  </si>
  <si>
    <t xml:space="preserve">Нижегородская область</t>
  </si>
  <si>
    <t xml:space="preserve">Ростовская область</t>
  </si>
  <si>
    <t xml:space="preserve">Республика Башкортостан</t>
  </si>
  <si>
    <t xml:space="preserve">Самарская область</t>
  </si>
  <si>
    <t xml:space="preserve">Челябинская область</t>
  </si>
  <si>
    <t xml:space="preserve">Красноярский край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</si>
</sst>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"/>
    <numFmt numFmtId="166" formatCode="0.0%"/>
    <numFmt numFmtId="167" formatCode="0.0"/>
    <numFmt numFmtId="168" formatCode="General"/>
    <numFmt numFmtId="169" formatCode="@"/>
    <numFmt numFmtId="170" formatCode="00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000000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4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2"/>
      <color rgb="FF00000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sz val="10"/>
      <color rgb="FF0000FF"/>
      <name val="Arial"/>
      <family val="0"/>
      <charset val="1"/>
    </font>
    <font>
      <b val="true"/>
      <sz val="13"/>
      <color rgb="FF000000"/>
      <name val="Arial"/>
      <family val="0"/>
      <charset val="1"/>
    </font>
    <font>
      <i val="true"/>
      <sz val="10"/>
      <color rgb="FF0000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7F3F00"/>
        <bgColor rgb="FF993366"/>
      </patternFill>
    </fill>
    <fill>
      <patternFill patternType="solid">
        <fgColor rgb="FF808080"/>
        <bgColor rgb="FF87878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3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8CBAD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7F3F00"/>
          <bgColor rgb="FF000000"/>
        </patternFill>
      </fill>
    </dxf>
    <dxf>
      <fill>
        <patternFill patternType="solid">
          <fgColor rgb="FF2E7D32"/>
          <bgColor rgb="FF000000"/>
        </patternFill>
      </fill>
    </dxf>
    <dxf>
      <fill>
        <patternFill patternType="solid">
          <fgColor rgb="FFC00000"/>
          <bgColor rgb="FF000000"/>
        </patternFill>
      </fill>
    </dxf>
    <dxf>
      <fill>
        <patternFill patternType="solid">
          <fgColor rgb="FF808080"/>
          <bgColor rgb="FF000000"/>
        </patternFill>
      </fill>
    </dxf>
    <dxf>
      <fill>
        <patternFill>
          <bgColor rgb="FFF8CBAD"/>
        </patternFill>
      </fill>
    </dxf>
    <dxf>
      <font>
        <name val="Arial"/>
        <charset val="1"/>
        <family val="0"/>
        <b val="1"/>
        <color rgb="FF2E7D32"/>
      </font>
    </dxf>
    <dxf>
      <font>
        <name val="Arial"/>
        <charset val="1"/>
        <family val="0"/>
        <b val="1"/>
        <color rgb="FFC00000"/>
      </font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9F9F9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8CBAD"/>
      <rgbColor rgb="FF4F81BD"/>
      <rgbColor rgb="FF33CCCC"/>
      <rgbColor rgb="FF99CC00"/>
      <rgbColor rgb="FFFFCC00"/>
      <rgbColor rgb="FFFF9900"/>
      <rgbColor rgb="FFFF6600"/>
      <rgbColor rgb="FF595959"/>
      <rgbColor rgb="FF878787"/>
      <rgbColor rgb="FF1F3864"/>
      <rgbColor rgb="FF2E7D32"/>
      <rgbColor rgb="FF003300"/>
      <rgbColor rgb="FF333300"/>
      <rgbColor rgb="FF7F3F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Ошибки по типам (число записей)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Сводная!B12</c:f>
              <c:strCache>
                <c:ptCount val="1"/>
                <c:pt idx="0">
                  <c:v>Записей с ошибкой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Сводная!$A$13:$A$19</c:f>
              <c:strCache>
                <c:ptCount val="7"/>
                <c:pt idx="0">
                  <c:v>ИНН (пустой, длина, символы, контрольная цифра)</c:v>
                </c:pt>
                <c:pt idx="1">
                  <c:v>ОГРН (пустой, длина, символы, контрольная цифра)</c:v>
                </c:pt>
                <c:pt idx="2">
                  <c:v>КПП (пустой, формат, регион не совпадает с ИНН)</c:v>
                </c:pt>
                <c:pt idx="3">
                  <c:v>Дубликат ИНН</c:v>
                </c:pt>
                <c:pt idx="4">
                  <c:v>Email</c:v>
                </c:pt>
                <c:pt idx="5">
                  <c:v>Телефон</c:v>
                </c:pt>
                <c:pt idx="6">
                  <c:v>Обязательные поля (наименование, адрес, контакт)</c:v>
                </c:pt>
              </c:strCache>
            </c:strRef>
          </c:cat>
          <c:val>
            <c:numRef>
              <c:f>Сводная!$B$13:$B$19</c:f>
              <c:numCache>
                <c:formatCode>General</c:formatCode>
                <c:ptCount val="7"/>
                <c:pt idx="0">
                  <c:v>32</c:v>
                </c:pt>
                <c:pt idx="1">
                  <c:v>16</c:v>
                </c:pt>
                <c:pt idx="2">
                  <c:v>24</c:v>
                </c:pt>
                <c:pt idx="3">
                  <c:v>24</c:v>
                </c:pt>
                <c:pt idx="4">
                  <c:v>15</c:v>
                </c:pt>
                <c:pt idx="5">
                  <c:v>14</c:v>
                </c:pt>
                <c:pt idx="6">
                  <c:v>13</c:v>
                </c:pt>
              </c:numCache>
            </c:numRef>
          </c:val>
        </c:ser>
        <c:gapWidth val="150"/>
        <c:overlap val="0"/>
        <c:axId val="97854418"/>
        <c:axId val="83652181"/>
      </c:barChart>
      <c:catAx>
        <c:axId val="97854418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3652181"/>
        <c:crosses val="autoZero"/>
        <c:auto val="1"/>
        <c:lblAlgn val="ctr"/>
        <c:lblOffset val="100"/>
        <c:noMultiLvlLbl val="0"/>
      </c:catAx>
      <c:valAx>
        <c:axId val="8365218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785441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1</xdr:row>
      <xdr:rowOff>160560</xdr:rowOff>
    </xdr:from>
    <xdr:to>
      <xdr:col>16</xdr:col>
      <xdr:colOff>364680</xdr:colOff>
      <xdr:row>16</xdr:row>
      <xdr:rowOff>66600</xdr:rowOff>
    </xdr:to>
    <xdr:graphicFrame>
      <xdr:nvGraphicFramePr>
        <xdr:cNvPr id="0" name="Chart 1"/>
        <xdr:cNvGraphicFramePr/>
      </xdr:nvGraphicFramePr>
      <xdr:xfrm>
        <a:off x="9351720" y="380880"/>
        <a:ext cx="647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00"/>
  </cols>
  <sheetData>
    <row r="1" customFormat="false" ht="18.5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4"/>
    </row>
    <row r="5" customFormat="false" ht="45" hidden="false" customHeight="true" outlineLevel="0" collapsed="false">
      <c r="A5" s="5" t="s">
        <v>3</v>
      </c>
      <c r="B5" s="6" t="s">
        <v>4</v>
      </c>
    </row>
    <row r="6" customFormat="false" ht="45" hidden="false" customHeight="true" outlineLevel="0" collapsed="false">
      <c r="A6" s="5" t="s">
        <v>5</v>
      </c>
      <c r="B6" s="6" t="s">
        <v>6</v>
      </c>
    </row>
    <row r="8" customFormat="false" ht="15" hidden="false" customHeight="false" outlineLevel="0" collapsed="false">
      <c r="A8" s="3" t="s">
        <v>7</v>
      </c>
      <c r="B8" s="4"/>
    </row>
    <row r="9" customFormat="false" ht="30" hidden="false" customHeight="true" outlineLevel="0" collapsed="false">
      <c r="A9" s="5" t="s">
        <v>8</v>
      </c>
      <c r="B9" s="6" t="s">
        <v>9</v>
      </c>
    </row>
    <row r="10" customFormat="false" ht="30" hidden="false" customHeight="true" outlineLevel="0" collapsed="false">
      <c r="A10" s="5" t="s">
        <v>10</v>
      </c>
      <c r="B10" s="6" t="s">
        <v>11</v>
      </c>
    </row>
    <row r="11" customFormat="false" ht="18" hidden="false" customHeight="true" outlineLevel="0" collapsed="false">
      <c r="A11" s="5" t="s">
        <v>12</v>
      </c>
      <c r="B11" s="6" t="s">
        <v>13</v>
      </c>
    </row>
    <row r="12" customFormat="false" ht="18" hidden="false" customHeight="true" outlineLevel="0" collapsed="false">
      <c r="A12" s="5" t="s">
        <v>14</v>
      </c>
      <c r="B12" s="6" t="s">
        <v>15</v>
      </c>
    </row>
    <row r="13" customFormat="false" ht="18" hidden="false" customHeight="true" outlineLevel="0" collapsed="false">
      <c r="A13" s="5" t="s">
        <v>16</v>
      </c>
      <c r="B13" s="6" t="s">
        <v>17</v>
      </c>
    </row>
    <row r="15" customFormat="false" ht="15" hidden="false" customHeight="false" outlineLevel="0" collapsed="false">
      <c r="A15" s="3" t="s">
        <v>18</v>
      </c>
      <c r="B15" s="4"/>
    </row>
    <row r="16" customFormat="false" ht="30" hidden="false" customHeight="true" outlineLevel="0" collapsed="false">
      <c r="A16" s="5" t="s">
        <v>19</v>
      </c>
      <c r="B16" s="6" t="s">
        <v>20</v>
      </c>
    </row>
    <row r="17" customFormat="false" ht="30" hidden="false" customHeight="true" outlineLevel="0" collapsed="false">
      <c r="A17" s="5" t="s">
        <v>21</v>
      </c>
      <c r="B17" s="6" t="s">
        <v>22</v>
      </c>
    </row>
    <row r="18" customFormat="false" ht="18" hidden="false" customHeight="true" outlineLevel="0" collapsed="false">
      <c r="A18" s="5" t="s">
        <v>23</v>
      </c>
      <c r="B18" s="6" t="s">
        <v>24</v>
      </c>
    </row>
    <row r="19" customFormat="false" ht="18" hidden="false" customHeight="true" outlineLevel="0" collapsed="false">
      <c r="A19" s="5" t="s">
        <v>25</v>
      </c>
      <c r="B19" s="6" t="s">
        <v>26</v>
      </c>
    </row>
    <row r="20" customFormat="false" ht="30" hidden="false" customHeight="true" outlineLevel="0" collapsed="false">
      <c r="A20" s="5" t="s">
        <v>27</v>
      </c>
      <c r="B20" s="6" t="s">
        <v>28</v>
      </c>
    </row>
    <row r="21" customFormat="false" ht="18" hidden="false" customHeight="true" outlineLevel="0" collapsed="false">
      <c r="A21" s="5" t="s">
        <v>29</v>
      </c>
      <c r="B21" s="6" t="s">
        <v>30</v>
      </c>
    </row>
    <row r="22" customFormat="false" ht="18" hidden="false" customHeight="true" outlineLevel="0" collapsed="false">
      <c r="A22" s="5" t="s">
        <v>31</v>
      </c>
      <c r="B22" s="6" t="s">
        <v>32</v>
      </c>
    </row>
    <row r="24" customFormat="false" ht="15" hidden="false" customHeight="false" outlineLevel="0" collapsed="false">
      <c r="A24" s="3" t="s">
        <v>33</v>
      </c>
      <c r="B24" s="4"/>
    </row>
    <row r="25" customFormat="false" ht="60" hidden="false" customHeight="true" outlineLevel="0" collapsed="false">
      <c r="A25" s="5" t="s">
        <v>34</v>
      </c>
      <c r="B25" s="6" t="s">
        <v>35</v>
      </c>
    </row>
    <row r="26" customFormat="false" ht="30" hidden="false" customHeight="true" outlineLevel="0" collapsed="false">
      <c r="A26" s="5" t="s">
        <v>36</v>
      </c>
      <c r="B26" s="6" t="s">
        <v>37</v>
      </c>
    </row>
    <row r="28" customFormat="false" ht="15" hidden="false" customHeight="false" outlineLevel="0" collapsed="false">
      <c r="A28" s="3" t="s">
        <v>38</v>
      </c>
      <c r="B28" s="4"/>
    </row>
    <row r="29" customFormat="false" ht="60" hidden="false" customHeight="true" outlineLevel="0" collapsed="false">
      <c r="A29" s="5" t="s">
        <v>39</v>
      </c>
      <c r="B29" s="6" t="s">
        <v>40</v>
      </c>
    </row>
    <row r="30" customFormat="false" ht="30" hidden="false" customHeight="true" outlineLevel="0" collapsed="false">
      <c r="A30" s="5" t="s">
        <v>41</v>
      </c>
      <c r="B30" s="6" t="s">
        <v>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20"/>
    <col collapsed="false" customWidth="true" hidden="false" outlineLevel="0" max="3" min="3" style="0" width="22"/>
    <col collapsed="false" customWidth="true" hidden="false" outlineLevel="0" max="4" min="4" style="0" width="18"/>
    <col collapsed="false" customWidth="true" hidden="false" outlineLevel="0" max="5" min="5" style="0" width="12"/>
  </cols>
  <sheetData>
    <row r="1" customFormat="false" ht="17.35" hidden="false" customHeight="false" outlineLevel="0" collapsed="false">
      <c r="A1" s="7" t="s">
        <v>43</v>
      </c>
    </row>
    <row r="2" customFormat="false" ht="15" hidden="false" customHeight="false" outlineLevel="0" collapsed="false">
      <c r="A2" s="2" t="s">
        <v>44</v>
      </c>
    </row>
    <row r="3" customFormat="false" ht="33.75" hidden="false" customHeight="true" outlineLevel="0" collapsed="false">
      <c r="A3" s="8" t="s">
        <v>45</v>
      </c>
      <c r="B3" s="8" t="s">
        <v>46</v>
      </c>
    </row>
    <row r="4" customFormat="false" ht="15" hidden="false" customHeight="false" outlineLevel="0" collapsed="false">
      <c r="A4" s="9" t="s">
        <v>47</v>
      </c>
      <c r="B4" s="10" t="n">
        <f aca="false">COUNT(Реестр!A2:A401)</f>
        <v>400</v>
      </c>
    </row>
    <row r="5" customFormat="false" ht="15" hidden="false" customHeight="false" outlineLevel="0" collapsed="false">
      <c r="A5" s="9" t="s">
        <v>48</v>
      </c>
      <c r="B5" s="10" t="n">
        <f aca="false">COUNTIF(Реестр!S2:S401,"Готово к передаче")</f>
        <v>282</v>
      </c>
    </row>
    <row r="6" customFormat="false" ht="15" hidden="false" customHeight="false" outlineLevel="0" collapsed="false">
      <c r="A6" s="9" t="s">
        <v>49</v>
      </c>
      <c r="B6" s="10" t="n">
        <f aca="false">COUNTIF(Реестр!S2:S401,"Требует исправления")</f>
        <v>118</v>
      </c>
    </row>
    <row r="7" customFormat="false" ht="15" hidden="false" customHeight="false" outlineLevel="0" collapsed="false">
      <c r="A7" s="9" t="s">
        <v>50</v>
      </c>
      <c r="B7" s="11" t="n">
        <f aca="false">IF(B4=0,0,B5/B4)</f>
        <v>0.705</v>
      </c>
    </row>
    <row r="8" customFormat="false" ht="15" hidden="false" customHeight="false" outlineLevel="0" collapsed="false">
      <c r="A8" s="9" t="s">
        <v>51</v>
      </c>
      <c r="B8" s="10" t="n">
        <f aca="false">SUM(Реестр!R2:R401)</f>
        <v>138</v>
      </c>
    </row>
    <row r="9" customFormat="false" ht="15" hidden="false" customHeight="false" outlineLevel="0" collapsed="false">
      <c r="A9" s="9" t="s">
        <v>52</v>
      </c>
      <c r="B9" s="12" t="n">
        <f aca="false">IF(B6=0,0,B8/B6)</f>
        <v>1.16949152542373</v>
      </c>
    </row>
    <row r="11" customFormat="false" ht="15" hidden="false" customHeight="false" outlineLevel="0" collapsed="false">
      <c r="A11" s="13" t="s">
        <v>53</v>
      </c>
    </row>
    <row r="12" customFormat="false" ht="33.75" hidden="false" customHeight="true" outlineLevel="0" collapsed="false">
      <c r="A12" s="8" t="s">
        <v>54</v>
      </c>
      <c r="B12" s="8" t="s">
        <v>55</v>
      </c>
      <c r="C12" s="8" t="s">
        <v>56</v>
      </c>
    </row>
    <row r="13" customFormat="false" ht="15" hidden="false" customHeight="false" outlineLevel="0" collapsed="false">
      <c r="A13" s="9" t="s">
        <v>57</v>
      </c>
      <c r="B13" s="14" t="n">
        <f aca="false">SUMPRODUCT(--(LEN(Реестр!K2:K401)&gt;0))</f>
        <v>32</v>
      </c>
      <c r="C13" s="15" t="n">
        <f aca="false">IF($B$4=0,0,B13/$B$4)</f>
        <v>0.08</v>
      </c>
    </row>
    <row r="14" customFormat="false" ht="15" hidden="false" customHeight="false" outlineLevel="0" collapsed="false">
      <c r="A14" s="9" t="s">
        <v>58</v>
      </c>
      <c r="B14" s="14" t="n">
        <f aca="false">SUMPRODUCT(--(LEN(Реестр!L2:L401)&gt;0))</f>
        <v>16</v>
      </c>
      <c r="C14" s="15" t="n">
        <f aca="false">IF($B$4=0,0,B14/$B$4)</f>
        <v>0.04</v>
      </c>
    </row>
    <row r="15" customFormat="false" ht="15" hidden="false" customHeight="false" outlineLevel="0" collapsed="false">
      <c r="A15" s="9" t="s">
        <v>59</v>
      </c>
      <c r="B15" s="14" t="n">
        <f aca="false">SUMPRODUCT(--(LEN(Реестр!M2:M401)&gt;0))</f>
        <v>24</v>
      </c>
      <c r="C15" s="15" t="n">
        <f aca="false">IF($B$4=0,0,B15/$B$4)</f>
        <v>0.06</v>
      </c>
    </row>
    <row r="16" customFormat="false" ht="15" hidden="false" customHeight="false" outlineLevel="0" collapsed="false">
      <c r="A16" s="9" t="s">
        <v>25</v>
      </c>
      <c r="B16" s="14" t="n">
        <f aca="false">SUMPRODUCT(--(LEN(Реестр!N2:N401)&gt;0))</f>
        <v>24</v>
      </c>
      <c r="C16" s="15" t="n">
        <f aca="false">IF($B$4=0,0,B16/$B$4)</f>
        <v>0.06</v>
      </c>
    </row>
    <row r="17" customFormat="false" ht="15" hidden="false" customHeight="false" outlineLevel="0" collapsed="false">
      <c r="A17" s="9" t="s">
        <v>27</v>
      </c>
      <c r="B17" s="14" t="n">
        <f aca="false">SUMPRODUCT(--(LEN(Реестр!O2:O401)&gt;0))</f>
        <v>15</v>
      </c>
      <c r="C17" s="15" t="n">
        <f aca="false">IF($B$4=0,0,B17/$B$4)</f>
        <v>0.0375</v>
      </c>
    </row>
    <row r="18" customFormat="false" ht="15" hidden="false" customHeight="false" outlineLevel="0" collapsed="false">
      <c r="A18" s="9" t="s">
        <v>29</v>
      </c>
      <c r="B18" s="14" t="n">
        <f aca="false">SUMPRODUCT(--(LEN(Реестр!P2:P401)&gt;0))</f>
        <v>14</v>
      </c>
      <c r="C18" s="15" t="n">
        <f aca="false">IF($B$4=0,0,B18/$B$4)</f>
        <v>0.035</v>
      </c>
    </row>
    <row r="19" customFormat="false" ht="15" hidden="false" customHeight="false" outlineLevel="0" collapsed="false">
      <c r="A19" s="9" t="s">
        <v>60</v>
      </c>
      <c r="B19" s="14" t="n">
        <f aca="false">SUMPRODUCT(--(LEN(Реестр!Q2:Q401)&gt;0))</f>
        <v>13</v>
      </c>
      <c r="C19" s="15" t="n">
        <f aca="false">IF($B$4=0,0,B19/$B$4)</f>
        <v>0.0325</v>
      </c>
    </row>
    <row r="20" customFormat="false" ht="15" hidden="false" customHeight="false" outlineLevel="0" collapsed="false">
      <c r="A20" s="16" t="s">
        <v>61</v>
      </c>
      <c r="B20" s="17" t="n">
        <f aca="false">SUM(B13:B19)</f>
        <v>138</v>
      </c>
      <c r="C20" s="17" t="str">
        <f aca="false">IF(B20=B8,"сходится","ОШИБКА")</f>
        <v>сходится</v>
      </c>
    </row>
    <row r="22" customFormat="false" ht="15" hidden="false" customHeight="false" outlineLevel="0" collapsed="false">
      <c r="A22" s="13" t="s">
        <v>62</v>
      </c>
    </row>
    <row r="23" customFormat="false" ht="33.75" hidden="false" customHeight="true" outlineLevel="0" collapsed="false">
      <c r="A23" s="8" t="s">
        <v>41</v>
      </c>
      <c r="B23" s="8" t="s">
        <v>63</v>
      </c>
      <c r="C23" s="8" t="s">
        <v>49</v>
      </c>
      <c r="D23" s="8" t="s">
        <v>64</v>
      </c>
    </row>
    <row r="24" customFormat="false" ht="15" hidden="false" customHeight="false" outlineLevel="0" collapsed="false">
      <c r="A24" s="9" t="str">
        <f aca="false">Справочники!B2</f>
        <v>г. Москва</v>
      </c>
      <c r="B24" s="14" t="n">
        <f aca="false">COUNTIF(Реестр!$J$2:$J$401,A24)</f>
        <v>63</v>
      </c>
      <c r="C24" s="14" t="n">
        <f aca="false">COUNTIFS(Реестр!$J$2:$J$401,A24,Реестр!$S$2:$S$401,"Требует исправления")</f>
        <v>15</v>
      </c>
      <c r="D24" s="15" t="n">
        <f aca="false">IF(B24=0,0,C24/B24)</f>
        <v>0.238095238095238</v>
      </c>
    </row>
    <row r="25" customFormat="false" ht="15" hidden="false" customHeight="false" outlineLevel="0" collapsed="false">
      <c r="A25" s="9" t="str">
        <f aca="false">Справочники!B3</f>
        <v>г. Санкт-Петербург</v>
      </c>
      <c r="B25" s="14" t="n">
        <f aca="false">COUNTIF(Реестр!$J$2:$J$401,A25)</f>
        <v>48</v>
      </c>
      <c r="C25" s="14" t="n">
        <f aca="false">COUNTIFS(Реестр!$J$2:$J$401,A25,Реестр!$S$2:$S$401,"Требует исправления")</f>
        <v>15</v>
      </c>
      <c r="D25" s="15" t="n">
        <f aca="false">IF(B25=0,0,C25/B25)</f>
        <v>0.3125</v>
      </c>
    </row>
    <row r="26" customFormat="false" ht="15" hidden="false" customHeight="false" outlineLevel="0" collapsed="false">
      <c r="A26" s="9" t="str">
        <f aca="false">Справочники!B4</f>
        <v>г. Севастополь</v>
      </c>
      <c r="B26" s="14" t="n">
        <f aca="false">COUNTIF(Реестр!$J$2:$J$401,A26)</f>
        <v>36</v>
      </c>
      <c r="C26" s="14" t="n">
        <f aca="false">COUNTIFS(Реестр!$J$2:$J$401,A26,Реестр!$S$2:$S$401,"Требует исправления")</f>
        <v>15</v>
      </c>
      <c r="D26" s="15" t="n">
        <f aca="false">IF(B26=0,0,C26/B26)</f>
        <v>0.416666666666667</v>
      </c>
    </row>
    <row r="27" customFormat="false" ht="15" hidden="false" customHeight="false" outlineLevel="0" collapsed="false">
      <c r="A27" s="9" t="str">
        <f aca="false">Справочники!B5</f>
        <v>Республика Крым</v>
      </c>
      <c r="B27" s="14" t="n">
        <f aca="false">COUNTIF(Реестр!$J$2:$J$401,A27)</f>
        <v>26</v>
      </c>
      <c r="C27" s="14" t="n">
        <f aca="false">COUNTIFS(Реестр!$J$2:$J$401,A27,Реестр!$S$2:$S$401,"Требует исправления")</f>
        <v>8</v>
      </c>
      <c r="D27" s="15" t="n">
        <f aca="false">IF(B27=0,0,C27/B27)</f>
        <v>0.307692307692308</v>
      </c>
    </row>
    <row r="28" customFormat="false" ht="15" hidden="false" customHeight="false" outlineLevel="0" collapsed="false">
      <c r="A28" s="9" t="str">
        <f aca="false">Справочники!B6</f>
        <v>Московская область</v>
      </c>
      <c r="B28" s="14" t="n">
        <f aca="false">COUNTIF(Реестр!$J$2:$J$401,A28)</f>
        <v>21</v>
      </c>
      <c r="C28" s="14" t="n">
        <f aca="false">COUNTIFS(Реестр!$J$2:$J$401,A28,Реестр!$S$2:$S$401,"Требует исправления")</f>
        <v>6</v>
      </c>
      <c r="D28" s="15" t="n">
        <f aca="false">IF(B28=0,0,C28/B28)</f>
        <v>0.285714285714286</v>
      </c>
    </row>
    <row r="29" customFormat="false" ht="15" hidden="false" customHeight="false" outlineLevel="0" collapsed="false">
      <c r="A29" s="9" t="str">
        <f aca="false">Справочники!B7</f>
        <v>Краснодарский край</v>
      </c>
      <c r="B29" s="14" t="n">
        <f aca="false">COUNTIF(Реестр!$J$2:$J$401,A29)</f>
        <v>33</v>
      </c>
      <c r="C29" s="14" t="n">
        <f aca="false">COUNTIFS(Реестр!$J$2:$J$401,A29,Реестр!$S$2:$S$401,"Требует исправления")</f>
        <v>7</v>
      </c>
      <c r="D29" s="15" t="n">
        <f aca="false">IF(B29=0,0,C29/B29)</f>
        <v>0.212121212121212</v>
      </c>
    </row>
    <row r="30" customFormat="false" ht="15" hidden="false" customHeight="false" outlineLevel="0" collapsed="false">
      <c r="A30" s="9" t="str">
        <f aca="false">Справочники!B8</f>
        <v>Республика Татарстан</v>
      </c>
      <c r="B30" s="14" t="n">
        <f aca="false">COUNTIF(Реестр!$J$2:$J$401,A30)</f>
        <v>19</v>
      </c>
      <c r="C30" s="14" t="n">
        <f aca="false">COUNTIFS(Реестр!$J$2:$J$401,A30,Реестр!$S$2:$S$401,"Требует исправления")</f>
        <v>7</v>
      </c>
      <c r="D30" s="15" t="n">
        <f aca="false">IF(B30=0,0,C30/B30)</f>
        <v>0.368421052631579</v>
      </c>
    </row>
    <row r="31" customFormat="false" ht="15" hidden="false" customHeight="false" outlineLevel="0" collapsed="false">
      <c r="A31" s="9" t="str">
        <f aca="false">Справочники!B9</f>
        <v>Свердловская область</v>
      </c>
      <c r="B31" s="14" t="n">
        <f aca="false">COUNTIF(Реестр!$J$2:$J$401,A31)</f>
        <v>21</v>
      </c>
      <c r="C31" s="14" t="n">
        <f aca="false">COUNTIFS(Реестр!$J$2:$J$401,A31,Реестр!$S$2:$S$401,"Требует исправления")</f>
        <v>5</v>
      </c>
      <c r="D31" s="15" t="n">
        <f aca="false">IF(B31=0,0,C31/B31)</f>
        <v>0.238095238095238</v>
      </c>
    </row>
    <row r="32" customFormat="false" ht="15" hidden="false" customHeight="false" outlineLevel="0" collapsed="false">
      <c r="A32" s="9" t="str">
        <f aca="false">Справочники!B10</f>
        <v>Новосибирская область</v>
      </c>
      <c r="B32" s="14" t="n">
        <f aca="false">COUNTIF(Реестр!$J$2:$J$401,A32)</f>
        <v>23</v>
      </c>
      <c r="C32" s="14" t="n">
        <f aca="false">COUNTIFS(Реестр!$J$2:$J$401,A32,Реестр!$S$2:$S$401,"Требует исправления")</f>
        <v>8</v>
      </c>
      <c r="D32" s="15" t="n">
        <f aca="false">IF(B32=0,0,C32/B32)</f>
        <v>0.347826086956522</v>
      </c>
    </row>
    <row r="33" customFormat="false" ht="15" hidden="false" customHeight="false" outlineLevel="0" collapsed="false">
      <c r="A33" s="9" t="str">
        <f aca="false">Справочники!B11</f>
        <v>Нижегородская область</v>
      </c>
      <c r="B33" s="14" t="n">
        <f aca="false">COUNTIF(Реестр!$J$2:$J$401,A33)</f>
        <v>17</v>
      </c>
      <c r="C33" s="14" t="n">
        <f aca="false">COUNTIFS(Реестр!$J$2:$J$401,A33,Реестр!$S$2:$S$401,"Требует исправления")</f>
        <v>4</v>
      </c>
      <c r="D33" s="15" t="n">
        <f aca="false">IF(B33=0,0,C33/B33)</f>
        <v>0.235294117647059</v>
      </c>
    </row>
    <row r="34" customFormat="false" ht="15" hidden="false" customHeight="false" outlineLevel="0" collapsed="false">
      <c r="A34" s="9" t="str">
        <f aca="false">Справочники!B12</f>
        <v>Ростовская область</v>
      </c>
      <c r="B34" s="14" t="n">
        <f aca="false">COUNTIF(Реестр!$J$2:$J$401,A34)</f>
        <v>30</v>
      </c>
      <c r="C34" s="14" t="n">
        <f aca="false">COUNTIFS(Реестр!$J$2:$J$401,A34,Реестр!$S$2:$S$401,"Требует исправления")</f>
        <v>10</v>
      </c>
      <c r="D34" s="15" t="n">
        <f aca="false">IF(B34=0,0,C34/B34)</f>
        <v>0.333333333333333</v>
      </c>
    </row>
    <row r="35" customFormat="false" ht="15" hidden="false" customHeight="false" outlineLevel="0" collapsed="false">
      <c r="A35" s="9" t="str">
        <f aca="false">Справочники!B13</f>
        <v>Республика Башкортостан</v>
      </c>
      <c r="B35" s="14" t="n">
        <f aca="false">COUNTIF(Реестр!$J$2:$J$401,A35)</f>
        <v>11</v>
      </c>
      <c r="C35" s="14" t="n">
        <f aca="false">COUNTIFS(Реестр!$J$2:$J$401,A35,Реестр!$S$2:$S$401,"Требует исправления")</f>
        <v>3</v>
      </c>
      <c r="D35" s="15" t="n">
        <f aca="false">IF(B35=0,0,C35/B35)</f>
        <v>0.272727272727273</v>
      </c>
    </row>
    <row r="36" customFormat="false" ht="15" hidden="false" customHeight="false" outlineLevel="0" collapsed="false">
      <c r="A36" s="9" t="str">
        <f aca="false">Справочники!B14</f>
        <v>Самарская область</v>
      </c>
      <c r="B36" s="14" t="n">
        <f aca="false">COUNTIF(Реестр!$J$2:$J$401,A36)</f>
        <v>12</v>
      </c>
      <c r="C36" s="14" t="n">
        <f aca="false">COUNTIFS(Реестр!$J$2:$J$401,A36,Реестр!$S$2:$S$401,"Требует исправления")</f>
        <v>4</v>
      </c>
      <c r="D36" s="15" t="n">
        <f aca="false">IF(B36=0,0,C36/B36)</f>
        <v>0.333333333333333</v>
      </c>
    </row>
    <row r="37" customFormat="false" ht="15" hidden="false" customHeight="false" outlineLevel="0" collapsed="false">
      <c r="A37" s="9" t="str">
        <f aca="false">Справочники!B15</f>
        <v>Челябинская область</v>
      </c>
      <c r="B37" s="14" t="n">
        <f aca="false">COUNTIF(Реестр!$J$2:$J$401,A37)</f>
        <v>16</v>
      </c>
      <c r="C37" s="14" t="n">
        <f aca="false">COUNTIFS(Реестр!$J$2:$J$401,A37,Реестр!$S$2:$S$401,"Требует исправления")</f>
        <v>2</v>
      </c>
      <c r="D37" s="15" t="n">
        <f aca="false">IF(B37=0,0,C37/B37)</f>
        <v>0.125</v>
      </c>
    </row>
    <row r="38" customFormat="false" ht="15" hidden="false" customHeight="false" outlineLevel="0" collapsed="false">
      <c r="A38" s="9" t="str">
        <f aca="false">Справочники!B16</f>
        <v>Красноярский край</v>
      </c>
      <c r="B38" s="14" t="n">
        <f aca="false">COUNTIF(Реестр!$J$2:$J$401,A38)</f>
        <v>18</v>
      </c>
      <c r="C38" s="14" t="n">
        <f aca="false">COUNTIFS(Реестр!$J$2:$J$401,A38,Реестр!$S$2:$S$401,"Требует исправления")</f>
        <v>3</v>
      </c>
      <c r="D38" s="15" t="n">
        <f aca="false">IF(B38=0,0,C38/B38)</f>
        <v>0.166666666666667</v>
      </c>
    </row>
    <row r="39" customFormat="false" ht="15" hidden="false" customHeight="false" outlineLevel="0" collapsed="false">
      <c r="A39" s="9" t="s">
        <v>65</v>
      </c>
      <c r="B39" s="14" t="n">
        <f aca="false">COUNTIF(Реестр!$J$2:$J$401,"не определён")</f>
        <v>6</v>
      </c>
      <c r="C39" s="14" t="n">
        <f aca="false">COUNTIFS(Реестр!$J$2:$J$401,"не определён",Реестр!$S$2:$S$401,"Требует исправления")</f>
        <v>6</v>
      </c>
      <c r="D39" s="15" t="n">
        <f aca="false">IF(B39=0,0,C39/B39)</f>
        <v>1</v>
      </c>
    </row>
    <row r="40" customFormat="false" ht="15" hidden="false" customHeight="false" outlineLevel="0" collapsed="false">
      <c r="A40" s="16" t="s">
        <v>66</v>
      </c>
      <c r="B40" s="17" t="n">
        <f aca="false">SUM(B24:B39)</f>
        <v>400</v>
      </c>
      <c r="C40" s="17" t="n">
        <f aca="false">SUM(C24:C39)</f>
        <v>118</v>
      </c>
      <c r="D40" s="11" t="n">
        <f aca="false">IF(B40=0,0,C40/B40)</f>
        <v>0.295</v>
      </c>
      <c r="E40" s="18" t="str">
        <f aca="false">IF(AND(B40=B4,C40=B6),"сходится","ОШИБКА")</f>
        <v>сходится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4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4"/>
    <col collapsed="false" customWidth="true" hidden="false" outlineLevel="0" max="3" min="3" style="0" width="13"/>
    <col collapsed="false" customWidth="true" hidden="false" outlineLevel="0" max="4" min="4" style="0" width="16"/>
    <col collapsed="false" customWidth="true" hidden="false" outlineLevel="0" max="5" min="5" style="0" width="12"/>
    <col collapsed="false" customWidth="true" hidden="false" outlineLevel="0" max="6" min="6" style="0" width="46"/>
    <col collapsed="false" customWidth="true" hidden="false" outlineLevel="0" max="7" min="7" style="0" width="18"/>
    <col collapsed="false" customWidth="true" hidden="false" outlineLevel="0" max="8" min="8" style="0" width="30"/>
    <col collapsed="false" customWidth="true" hidden="false" outlineLevel="0" max="9" min="9" style="0" width="22"/>
    <col collapsed="false" customWidth="true" hidden="false" outlineLevel="0" max="10" min="10" style="0" width="24"/>
    <col collapsed="false" customWidth="true" hidden="false" outlineLevel="0" max="12" min="11" style="0" width="32"/>
    <col collapsed="false" customWidth="true" hidden="false" outlineLevel="0" max="13" min="13" style="0" width="36"/>
    <col collapsed="false" customWidth="true" hidden="false" outlineLevel="0" max="15" min="14" style="0" width="24"/>
    <col collapsed="false" customWidth="true" hidden="false" outlineLevel="0" max="16" min="16" style="0" width="26"/>
    <col collapsed="false" customWidth="true" hidden="false" outlineLevel="0" max="17" min="17" style="0" width="28"/>
    <col collapsed="false" customWidth="true" hidden="false" outlineLevel="0" max="18" min="18" style="0" width="10"/>
    <col collapsed="false" customWidth="true" hidden="false" outlineLevel="0" max="19" min="19" style="0" width="20"/>
    <col collapsed="false" customWidth="true" hidden="false" outlineLevel="0" max="20" min="20" style="0" width="60"/>
    <col collapsed="false" customWidth="true" hidden="false" outlineLevel="0" max="21" min="21" style="0" width="70"/>
    <col collapsed="false" customWidth="true" hidden="false" outlineLevel="0" max="23" min="22" style="0" width="14"/>
  </cols>
  <sheetData>
    <row r="1" customFormat="false" ht="33.75" hidden="false" customHeight="true" outlineLevel="0" collapsed="false">
      <c r="A1" s="8" t="s">
        <v>67</v>
      </c>
      <c r="B1" s="8" t="s">
        <v>68</v>
      </c>
      <c r="C1" s="8" t="s">
        <v>19</v>
      </c>
      <c r="D1" s="8" t="s">
        <v>21</v>
      </c>
      <c r="E1" s="8" t="s">
        <v>23</v>
      </c>
      <c r="F1" s="8" t="s">
        <v>69</v>
      </c>
      <c r="G1" s="8" t="s">
        <v>70</v>
      </c>
      <c r="H1" s="8" t="s">
        <v>27</v>
      </c>
      <c r="I1" s="8" t="s">
        <v>29</v>
      </c>
      <c r="J1" s="8" t="s">
        <v>71</v>
      </c>
      <c r="K1" s="19" t="s">
        <v>72</v>
      </c>
      <c r="L1" s="19" t="s">
        <v>73</v>
      </c>
      <c r="M1" s="19" t="s">
        <v>74</v>
      </c>
      <c r="N1" s="19" t="s">
        <v>75</v>
      </c>
      <c r="O1" s="19" t="s">
        <v>76</v>
      </c>
      <c r="P1" s="19" t="s">
        <v>77</v>
      </c>
      <c r="Q1" s="19" t="s">
        <v>78</v>
      </c>
      <c r="R1" s="8" t="s">
        <v>79</v>
      </c>
      <c r="S1" s="8" t="s">
        <v>80</v>
      </c>
      <c r="T1" s="8" t="s">
        <v>81</v>
      </c>
      <c r="U1" s="8" t="s">
        <v>82</v>
      </c>
      <c r="V1" s="20" t="s">
        <v>83</v>
      </c>
      <c r="W1" s="20" t="s">
        <v>84</v>
      </c>
    </row>
    <row r="2" customFormat="false" ht="15" hidden="false" customHeight="false" outlineLevel="0" collapsed="false">
      <c r="A2" s="21" t="n">
        <v>1</v>
      </c>
      <c r="B2" s="22" t="s">
        <v>85</v>
      </c>
      <c r="C2" s="23" t="s">
        <v>86</v>
      </c>
      <c r="D2" s="23" t="s">
        <v>87</v>
      </c>
      <c r="E2" s="23" t="s">
        <v>88</v>
      </c>
      <c r="F2" s="22" t="s">
        <v>89</v>
      </c>
      <c r="G2" s="22" t="s">
        <v>90</v>
      </c>
      <c r="H2" s="22" t="s">
        <v>91</v>
      </c>
      <c r="I2" s="23" t="s">
        <v>92</v>
      </c>
      <c r="J2" s="24" t="str">
        <f aca="false">IFERROR(VLOOKUP(VALUE(LEFT(C2,2)),Справочники!$A$2:$B$16,2,FALSE()),"не определён")</f>
        <v>Краснодарский край</v>
      </c>
      <c r="K2" s="24" t="str">
        <f aca="false">IF(TRIM(C2)="","ИНН не указан",IF(LEN(C2)&lt;&gt;10,"ИНН: должно быть 10 цифр",IF(NOT(ISNUMBER(IFERROR(VALUE(C2),"x"))),"ИНН: есть нецифровые символы",IF(MOD(MOD(SUMPRODUCT(--MID(C2,{1,2,3,4,5,6,7,8,9},1),{2,4,10,3,5,9,4,6,8}),11),10)=VALUE(RIGHT(C2,1)),"","ИНН: неверная контрольная цифра"))))</f>
        <v/>
      </c>
      <c r="L2" s="24" t="str">
        <f aca="false">IF(TRIM(D2)="","ОГРН не указан",IF(LEN(D2)&lt;&gt;13,"ОГРН: должно быть 13 цифр",IF(NOT(ISNUMBER(IFERROR(VALUE(D2),"x"))),"ОГРН: есть нецифровые символы",IF(MOD(VALUE(LEFT(D2,12))-11*INT(VALUE(LEFT(D2,12))/11),10)=VALUE(RIGHT(D2,1)),"","ОГРН: неверная контрольная цифра"))))</f>
        <v/>
      </c>
      <c r="M2" s="24" t="str">
        <f aca="false">IF(TRIM(E2)="","КПП не указан",IF(LEN(E2)&lt;&gt;9,"КПП: должно быть 9 знаков",IF(NOT(AND(ISNUMBER(IFERROR(VALUE(LEFT(E2,4)),"x")),ISNUMBER(IFERROR(VALUE(RIGHT(E2,3)),"x")))),"КПП: неверный формат",IF(LEFT(E2,2)&lt;&gt;LEFT(C2,2),"КПП: код региона не совпадает с ИНН",""))))</f>
        <v/>
      </c>
      <c r="N2" s="24" t="str">
        <f aca="false">IF(TRIM(C2)="","",IF(COUNTIF($C$2:$C$401,C2)&gt;1,"Дубликат ИНН в реестре",""))</f>
        <v/>
      </c>
      <c r="O2" s="24" t="str">
        <f aca="false">IF(TRIM(H2)="","Email не указан",IF(AND(ISNUMBER(FIND("@",H2)),ISNUMBER(FIND(".",H2,IFERROR(FIND("@",H2),1))),ISERROR(FIND(" ",H2)),LEFT(H2,1)&lt;&gt;"@",RIGHT(H2,1)&lt;&gt;".",LEN(H2)-LEN(SUBSTITUTE(H2,"@",""))=1),"","Email: неверный формат"))</f>
        <v/>
      </c>
      <c r="P2" s="24" t="str">
        <f aca="false">IF(TRIM(I2)="","Телефон не указан",IF(AND(LEN(SUBSTITUTE(SUBSTITUTE(SUBSTITUTE(SUBSTITUTE(SUBSTITUTE(I2," ",""),"-",""),"(",""),")",""),"+",""))=11,OR(LEFT(SUBSTITUTE(SUBSTITUTE(SUBSTITUTE(SUBSTITUTE(SUBSTITUTE(I2," ",""),"-",""),"(",""),")",""),"+",""),1)="7",LEFT(SUBSTITUTE(SUBSTITUTE(SUBSTITUTE(SUBSTITUTE(SUBSTITUTE(I2," ",""),"-",""),"(",""),")",""),"+",""),1)="8"),ISNUMBER(IFERROR(VALUE(SUBSTITUTE(SUBSTITUTE(SUBSTITUTE(SUBSTITUTE(SUBSTITUTE(I2," ",""),"-",""),"(",""),")",""),"+","")),"x"))),"","Телефон: неверный формат"))</f>
        <v/>
      </c>
      <c r="Q2" s="24" t="str">
        <f aca="false">TRIM(IF(TRIM(B2)="","Нет наименования. ","")&amp;IF(TRIM(F2)="","Нет адреса. ","")&amp;IF(TRIM(G2)="","Нет контактного лица.",""))</f>
        <v/>
      </c>
      <c r="R2" s="21" t="n">
        <f aca="false">SUMPRODUCT(--(LEN(K2:Q2)&gt;0))</f>
        <v>0</v>
      </c>
      <c r="S2" s="24" t="str">
        <f aca="false">IF(R2=0,"Готово к передаче","Требует исправления")</f>
        <v>Готово к передаче</v>
      </c>
      <c r="T2" s="24" t="str">
        <f aca="false">IF(R2=0,"",_xlfn.TEXTJOIN("; ",TRUE(),K2:Q2))</f>
        <v/>
      </c>
      <c r="U2" s="24" t="str">
        <f aca="false">IF(R2=0,"","Здравствуйте! В данных организации «"&amp;B2&amp;"» обнаружены ошибки: "&amp;T2&amp;". Просим проверить и прислать исправленную информацию.")</f>
        <v/>
      </c>
      <c r="V2" s="21" t="str">
        <f aca="false">IF(R2&gt;0,COUNTIF($R$2:R2,"&gt;0"),"")</f>
        <v/>
      </c>
      <c r="W2" s="21" t="n">
        <f aca="false">IF(R2=0,COUNTIF($R$2:R2,0),"")</f>
        <v>1</v>
      </c>
    </row>
    <row r="3" customFormat="false" ht="15" hidden="false" customHeight="false" outlineLevel="0" collapsed="false">
      <c r="A3" s="21" t="n">
        <v>2</v>
      </c>
      <c r="B3" s="22" t="s">
        <v>93</v>
      </c>
      <c r="C3" s="23" t="s">
        <v>94</v>
      </c>
      <c r="D3" s="23" t="s">
        <v>95</v>
      </c>
      <c r="E3" s="23" t="s">
        <v>96</v>
      </c>
      <c r="F3" s="22" t="s">
        <v>97</v>
      </c>
      <c r="G3" s="22" t="s">
        <v>98</v>
      </c>
      <c r="H3" s="22" t="s">
        <v>99</v>
      </c>
      <c r="I3" s="23" t="s">
        <v>100</v>
      </c>
      <c r="J3" s="24" t="str">
        <f aca="false">IFERROR(VLOOKUP(VALUE(LEFT(C3,2)),Справочники!$A$2:$B$16,2,FALSE()),"не определён")</f>
        <v>г. Санкт-Петербург</v>
      </c>
      <c r="K3" s="24" t="str">
        <f aca="false">IF(TRIM(C3)="","ИНН не указан",IF(LEN(C3)&lt;&gt;10,"ИНН: должно быть 10 цифр",IF(NOT(ISNUMBER(IFERROR(VALUE(C3),"x"))),"ИНН: есть нецифровые символы",IF(MOD(MOD(SUMPRODUCT(--MID(C3,{1,2,3,4,5,6,7,8,9},1),{2,4,10,3,5,9,4,6,8}),11),10)=VALUE(RIGHT(C3,1)),"","ИНН: неверная контрольная цифра"))))</f>
        <v/>
      </c>
      <c r="L3" s="24" t="str">
        <f aca="false">IF(TRIM(D3)="","ОГРН не указан",IF(LEN(D3)&lt;&gt;13,"ОГРН: должно быть 13 цифр",IF(NOT(ISNUMBER(IFERROR(VALUE(D3),"x"))),"ОГРН: есть нецифровые символы",IF(MOD(VALUE(LEFT(D3,12))-11*INT(VALUE(LEFT(D3,12))/11),10)=VALUE(RIGHT(D3,1)),"","ОГРН: неверная контрольная цифра"))))</f>
        <v/>
      </c>
      <c r="M3" s="24" t="str">
        <f aca="false">IF(TRIM(E3)="","КПП не указан",IF(LEN(E3)&lt;&gt;9,"КПП: должно быть 9 знаков",IF(NOT(AND(ISNUMBER(IFERROR(VALUE(LEFT(E3,4)),"x")),ISNUMBER(IFERROR(VALUE(RIGHT(E3,3)),"x")))),"КПП: неверный формат",IF(LEFT(E3,2)&lt;&gt;LEFT(C3,2),"КПП: код региона не совпадает с ИНН",""))))</f>
        <v/>
      </c>
      <c r="N3" s="24" t="str">
        <f aca="false">IF(TRIM(C3)="","",IF(COUNTIF($C$2:$C$401,C3)&gt;1,"Дубликат ИНН в реестре",""))</f>
        <v/>
      </c>
      <c r="O3" s="24" t="str">
        <f aca="false">IF(TRIM(H3)="","Email не указан",IF(AND(ISNUMBER(FIND("@",H3)),ISNUMBER(FIND(".",H3,IFERROR(FIND("@",H3),1))),ISERROR(FIND(" ",H3)),LEFT(H3,1)&lt;&gt;"@",RIGHT(H3,1)&lt;&gt;".",LEN(H3)-LEN(SUBSTITUTE(H3,"@",""))=1),"","Email: неверный формат"))</f>
        <v/>
      </c>
      <c r="P3" s="24" t="str">
        <f aca="false">IF(TRIM(I3)="","Телефон не указан",IF(AND(LEN(SUBSTITUTE(SUBSTITUTE(SUBSTITUTE(SUBSTITUTE(SUBSTITUTE(I3," ",""),"-",""),"(",""),")",""),"+",""))=11,OR(LEFT(SUBSTITUTE(SUBSTITUTE(SUBSTITUTE(SUBSTITUTE(SUBSTITUTE(I3," ",""),"-",""),"(",""),")",""),"+",""),1)="7",LEFT(SUBSTITUTE(SUBSTITUTE(SUBSTITUTE(SUBSTITUTE(SUBSTITUTE(I3," ",""),"-",""),"(",""),")",""),"+",""),1)="8"),ISNUMBER(IFERROR(VALUE(SUBSTITUTE(SUBSTITUTE(SUBSTITUTE(SUBSTITUTE(SUBSTITUTE(I3," ",""),"-",""),"(",""),")",""),"+","")),"x"))),"","Телефон: неверный формат"))</f>
        <v/>
      </c>
      <c r="Q3" s="24" t="str">
        <f aca="false">TRIM(IF(TRIM(B3)="","Нет наименования. ","")&amp;IF(TRIM(F3)="","Нет адреса. ","")&amp;IF(TRIM(G3)="","Нет контактного лица.",""))</f>
        <v/>
      </c>
      <c r="R3" s="21" t="n">
        <f aca="false">SUMPRODUCT(--(LEN(K3:Q3)&gt;0))</f>
        <v>0</v>
      </c>
      <c r="S3" s="24" t="str">
        <f aca="false">IF(R3=0,"Готово к передаче","Требует исправления")</f>
        <v>Готово к передаче</v>
      </c>
      <c r="T3" s="24" t="str">
        <f aca="false">IF(R3=0,"",_xlfn.TEXTJOIN("; ",TRUE(),K3:Q3))</f>
        <v/>
      </c>
      <c r="U3" s="24" t="str">
        <f aca="false">IF(R3=0,"","Здравствуйте! В данных организации «"&amp;B3&amp;"» обнаружены ошибки: "&amp;T3&amp;". Просим проверить и прислать исправленную информацию.")</f>
        <v/>
      </c>
      <c r="V3" s="21" t="str">
        <f aca="false">IF(R3&gt;0,COUNTIF($R$2:R3,"&gt;0"),"")</f>
        <v/>
      </c>
      <c r="W3" s="21" t="n">
        <f aca="false">IF(R3=0,COUNTIF($R$2:R3,0),"")</f>
        <v>2</v>
      </c>
    </row>
    <row r="4" customFormat="false" ht="15" hidden="false" customHeight="false" outlineLevel="0" collapsed="false">
      <c r="A4" s="21" t="n">
        <v>3</v>
      </c>
      <c r="B4" s="22" t="s">
        <v>101</v>
      </c>
      <c r="C4" s="23" t="s">
        <v>102</v>
      </c>
      <c r="D4" s="23" t="s">
        <v>103</v>
      </c>
      <c r="E4" s="23" t="s">
        <v>104</v>
      </c>
      <c r="F4" s="22" t="s">
        <v>105</v>
      </c>
      <c r="G4" s="22" t="s">
        <v>106</v>
      </c>
      <c r="H4" s="22" t="s">
        <v>107</v>
      </c>
      <c r="I4" s="23" t="s">
        <v>108</v>
      </c>
      <c r="J4" s="24" t="str">
        <f aca="false">IFERROR(VLOOKUP(VALUE(LEFT(C4,2)),Справочники!$A$2:$B$16,2,FALSE()),"не определён")</f>
        <v>г. Москва</v>
      </c>
      <c r="K4" s="24" t="str">
        <f aca="false">IF(TRIM(C4)="","ИНН не указан",IF(LEN(C4)&lt;&gt;10,"ИНН: должно быть 10 цифр",IF(NOT(ISNUMBER(IFERROR(VALUE(C4),"x"))),"ИНН: есть нецифровые символы",IF(MOD(MOD(SUMPRODUCT(--MID(C4,{1,2,3,4,5,6,7,8,9},1),{2,4,10,3,5,9,4,6,8}),11),10)=VALUE(RIGHT(C4,1)),"","ИНН: неверная контрольная цифра"))))</f>
        <v/>
      </c>
      <c r="L4" s="24" t="str">
        <f aca="false">IF(TRIM(D4)="","ОГРН не указан",IF(LEN(D4)&lt;&gt;13,"ОГРН: должно быть 13 цифр",IF(NOT(ISNUMBER(IFERROR(VALUE(D4),"x"))),"ОГРН: есть нецифровые символы",IF(MOD(VALUE(LEFT(D4,12))-11*INT(VALUE(LEFT(D4,12))/11),10)=VALUE(RIGHT(D4,1)),"","ОГРН: неверная контрольная цифра"))))</f>
        <v/>
      </c>
      <c r="M4" s="24" t="str">
        <f aca="false">IF(TRIM(E4)="","КПП не указан",IF(LEN(E4)&lt;&gt;9,"КПП: должно быть 9 знаков",IF(NOT(AND(ISNUMBER(IFERROR(VALUE(LEFT(E4,4)),"x")),ISNUMBER(IFERROR(VALUE(RIGHT(E4,3)),"x")))),"КПП: неверный формат",IF(LEFT(E4,2)&lt;&gt;LEFT(C4,2),"КПП: код региона не совпадает с ИНН",""))))</f>
        <v/>
      </c>
      <c r="N4" s="24" t="str">
        <f aca="false">IF(TRIM(C4)="","",IF(COUNTIF($C$2:$C$401,C4)&gt;1,"Дубликат ИНН в реестре",""))</f>
        <v/>
      </c>
      <c r="O4" s="24" t="str">
        <f aca="false">IF(TRIM(H4)="","Email не указан",IF(AND(ISNUMBER(FIND("@",H4)),ISNUMBER(FIND(".",H4,IFERROR(FIND("@",H4),1))),ISERROR(FIND(" ",H4)),LEFT(H4,1)&lt;&gt;"@",RIGHT(H4,1)&lt;&gt;".",LEN(H4)-LEN(SUBSTITUTE(H4,"@",""))=1),"","Email: неверный формат"))</f>
        <v/>
      </c>
      <c r="P4" s="24" t="str">
        <f aca="false">IF(TRIM(I4)="","Телефон не указан",IF(AND(LEN(SUBSTITUTE(SUBSTITUTE(SUBSTITUTE(SUBSTITUTE(SUBSTITUTE(I4," ",""),"-",""),"(",""),")",""),"+",""))=11,OR(LEFT(SUBSTITUTE(SUBSTITUTE(SUBSTITUTE(SUBSTITUTE(SUBSTITUTE(I4," ",""),"-",""),"(",""),")",""),"+",""),1)="7",LEFT(SUBSTITUTE(SUBSTITUTE(SUBSTITUTE(SUBSTITUTE(SUBSTITUTE(I4," ",""),"-",""),"(",""),")",""),"+",""),1)="8"),ISNUMBER(IFERROR(VALUE(SUBSTITUTE(SUBSTITUTE(SUBSTITUTE(SUBSTITUTE(SUBSTITUTE(I4," ",""),"-",""),"(",""),")",""),"+","")),"x"))),"","Телефон: неверный формат"))</f>
        <v/>
      </c>
      <c r="Q4" s="24" t="str">
        <f aca="false">TRIM(IF(TRIM(B4)="","Нет наименования. ","")&amp;IF(TRIM(F4)="","Нет адреса. ","")&amp;IF(TRIM(G4)="","Нет контактного лица.",""))</f>
        <v/>
      </c>
      <c r="R4" s="21" t="n">
        <f aca="false">SUMPRODUCT(--(LEN(K4:Q4)&gt;0))</f>
        <v>0</v>
      </c>
      <c r="S4" s="24" t="str">
        <f aca="false">IF(R4=0,"Готово к передаче","Требует исправления")</f>
        <v>Готово к передаче</v>
      </c>
      <c r="T4" s="24" t="str">
        <f aca="false">IF(R4=0,"",_xlfn.TEXTJOIN("; ",TRUE(),K4:Q4))</f>
        <v/>
      </c>
      <c r="U4" s="24" t="str">
        <f aca="false">IF(R4=0,"","Здравствуйте! В данных организации «"&amp;B4&amp;"» обнаружены ошибки: "&amp;T4&amp;". Просим проверить и прислать исправленную информацию.")</f>
        <v/>
      </c>
      <c r="V4" s="21" t="str">
        <f aca="false">IF(R4&gt;0,COUNTIF($R$2:R4,"&gt;0"),"")</f>
        <v/>
      </c>
      <c r="W4" s="21" t="n">
        <f aca="false">IF(R4=0,COUNTIF($R$2:R4,0),"")</f>
        <v>3</v>
      </c>
    </row>
    <row r="5" customFormat="false" ht="15" hidden="false" customHeight="false" outlineLevel="0" collapsed="false">
      <c r="A5" s="21" t="n">
        <v>4</v>
      </c>
      <c r="B5" s="22" t="s">
        <v>109</v>
      </c>
      <c r="C5" s="23"/>
      <c r="D5" s="23" t="s">
        <v>110</v>
      </c>
      <c r="E5" s="23" t="s">
        <v>111</v>
      </c>
      <c r="F5" s="22" t="s">
        <v>112</v>
      </c>
      <c r="G5" s="22" t="s">
        <v>113</v>
      </c>
      <c r="H5" s="22" t="s">
        <v>114</v>
      </c>
      <c r="I5" s="23" t="s">
        <v>115</v>
      </c>
      <c r="J5" s="24" t="str">
        <f aca="false">IFERROR(VLOOKUP(VALUE(LEFT(C5,2)),Справочники!$A$2:$B$16,2,FALSE()),"не определён")</f>
        <v>не определён</v>
      </c>
      <c r="K5" s="24" t="str">
        <f aca="false">IF(TRIM(C5)="","ИНН не указан",IF(LEN(C5)&lt;&gt;10,"ИНН: должно быть 10 цифр",IF(NOT(ISNUMBER(IFERROR(VALUE(C5),"x"))),"ИНН: есть нецифровые символы",IF(MOD(MOD(SUMPRODUCT(--MID(C5,{1,2,3,4,5,6,7,8,9},1),{2,4,10,3,5,9,4,6,8}),11),10)=VALUE(RIGHT(C5,1)),"","ИНН: неверная контрольная цифра"))))</f>
        <v>ИНН не указан</v>
      </c>
      <c r="L5" s="24" t="str">
        <f aca="false">IF(TRIM(D5)="","ОГРН не указан",IF(LEN(D5)&lt;&gt;13,"ОГРН: должно быть 13 цифр",IF(NOT(ISNUMBER(IFERROR(VALUE(D5),"x"))),"ОГРН: есть нецифровые символы",IF(MOD(VALUE(LEFT(D5,12))-11*INT(VALUE(LEFT(D5,12))/11),10)=VALUE(RIGHT(D5,1)),"","ОГРН: неверная контрольная цифра"))))</f>
        <v/>
      </c>
      <c r="M5" s="24" t="str">
        <f aca="false">IF(TRIM(E5)="","КПП не указан",IF(LEN(E5)&lt;&gt;9,"КПП: должно быть 9 знаков",IF(NOT(AND(ISNUMBER(IFERROR(VALUE(LEFT(E5,4)),"x")),ISNUMBER(IFERROR(VALUE(RIGHT(E5,3)),"x")))),"КПП: неверный формат",IF(LEFT(E5,2)&lt;&gt;LEFT(C5,2),"КПП: код региона не совпадает с ИНН",""))))</f>
        <v>КПП: код региона не совпадает с ИНН</v>
      </c>
      <c r="N5" s="24" t="str">
        <f aca="false">IF(TRIM(C5)="","",IF(COUNTIF($C$2:$C$401,C5)&gt;1,"Дубликат ИНН в реестре",""))</f>
        <v/>
      </c>
      <c r="O5" s="24" t="str">
        <f aca="false">IF(TRIM(H5)="","Email не указан",IF(AND(ISNUMBER(FIND("@",H5)),ISNUMBER(FIND(".",H5,IFERROR(FIND("@",H5),1))),ISERROR(FIND(" ",H5)),LEFT(H5,1)&lt;&gt;"@",RIGHT(H5,1)&lt;&gt;".",LEN(H5)-LEN(SUBSTITUTE(H5,"@",""))=1),"","Email: неверный формат"))</f>
        <v/>
      </c>
      <c r="P5" s="24" t="str">
        <f aca="false">IF(TRIM(I5)="","Телефон не указан",IF(AND(LEN(SUBSTITUTE(SUBSTITUTE(SUBSTITUTE(SUBSTITUTE(SUBSTITUTE(I5," ",""),"-",""),"(",""),")",""),"+",""))=11,OR(LEFT(SUBSTITUTE(SUBSTITUTE(SUBSTITUTE(SUBSTITUTE(SUBSTITUTE(I5," ",""),"-",""),"(",""),")",""),"+",""),1)="7",LEFT(SUBSTITUTE(SUBSTITUTE(SUBSTITUTE(SUBSTITUTE(SUBSTITUTE(I5," ",""),"-",""),"(",""),")",""),"+",""),1)="8"),ISNUMBER(IFERROR(VALUE(SUBSTITUTE(SUBSTITUTE(SUBSTITUTE(SUBSTITUTE(SUBSTITUTE(I5," ",""),"-",""),"(",""),")",""),"+","")),"x"))),"","Телефон: неверный формат"))</f>
        <v/>
      </c>
      <c r="Q5" s="24" t="str">
        <f aca="false">TRIM(IF(TRIM(B5)="","Нет наименования. ","")&amp;IF(TRIM(F5)="","Нет адреса. ","")&amp;IF(TRIM(G5)="","Нет контактного лица.",""))</f>
        <v/>
      </c>
      <c r="R5" s="21" t="n">
        <f aca="false">SUMPRODUCT(--(LEN(K5:Q5)&gt;0))</f>
        <v>2</v>
      </c>
      <c r="S5" s="24" t="str">
        <f aca="false">IF(R5=0,"Готово к передаче","Требует исправления")</f>
        <v>Требует исправления</v>
      </c>
      <c r="T5" s="24" t="str">
        <f aca="false">IF(R5=0,"",_xlfn.TEXTJOIN("; ",TRUE(),K5:Q5))</f>
        <v>ИНН не указан; КПП: код региона не совпадает с ИНН</v>
      </c>
      <c r="U5" s="24" t="str">
        <f aca="false">IF(R5=0,"","Здравствуйте! В данных организации «"&amp;B5&amp;"» обнаружены ошибки: "&amp;T5&amp;". Просим проверить и прислать исправленную информацию.")</f>
        <v>Здравствуйте! В данных организации «АО «Меридиан Монтаж»» обнаружены ошибки: ИНН не указан; КПП: код региона не совпадает с ИНН. Просим проверить и прислать исправленную информацию.</v>
      </c>
      <c r="V5" s="21" t="n">
        <f aca="false">IF(R5&gt;0,COUNTIF($R$2:R5,"&gt;0"),"")</f>
        <v>1</v>
      </c>
      <c r="W5" s="21" t="str">
        <f aca="false">IF(R5=0,COUNTIF($R$2:R5,0),"")</f>
        <v/>
      </c>
    </row>
    <row r="6" customFormat="false" ht="15" hidden="false" customHeight="false" outlineLevel="0" collapsed="false">
      <c r="A6" s="21" t="n">
        <v>5</v>
      </c>
      <c r="B6" s="22" t="s">
        <v>116</v>
      </c>
      <c r="C6" s="23" t="s">
        <v>117</v>
      </c>
      <c r="D6" s="23" t="s">
        <v>118</v>
      </c>
      <c r="E6" s="23" t="s">
        <v>119</v>
      </c>
      <c r="F6" s="22" t="s">
        <v>120</v>
      </c>
      <c r="G6" s="22" t="s">
        <v>121</v>
      </c>
      <c r="H6" s="22" t="s">
        <v>122</v>
      </c>
      <c r="I6" s="23" t="s">
        <v>123</v>
      </c>
      <c r="J6" s="24" t="str">
        <f aca="false">IFERROR(VLOOKUP(VALUE(LEFT(C6,2)),Справочники!$A$2:$B$16,2,FALSE()),"не определён")</f>
        <v>г. Москва</v>
      </c>
      <c r="K6" s="24" t="str">
        <f aca="false">IF(TRIM(C6)="","ИНН не указан",IF(LEN(C6)&lt;&gt;10,"ИНН: должно быть 10 цифр",IF(NOT(ISNUMBER(IFERROR(VALUE(C6),"x"))),"ИНН: есть нецифровые символы",IF(MOD(MOD(SUMPRODUCT(--MID(C6,{1,2,3,4,5,6,7,8,9},1),{2,4,10,3,5,9,4,6,8}),11),10)=VALUE(RIGHT(C6,1)),"","ИНН: неверная контрольная цифра"))))</f>
        <v/>
      </c>
      <c r="L6" s="24" t="str">
        <f aca="false">IF(TRIM(D6)="","ОГРН не указан",IF(LEN(D6)&lt;&gt;13,"ОГРН: должно быть 13 цифр",IF(NOT(ISNUMBER(IFERROR(VALUE(D6),"x"))),"ОГРН: есть нецифровые символы",IF(MOD(VALUE(LEFT(D6,12))-11*INT(VALUE(LEFT(D6,12))/11),10)=VALUE(RIGHT(D6,1)),"","ОГРН: неверная контрольная цифра"))))</f>
        <v/>
      </c>
      <c r="M6" s="24" t="str">
        <f aca="false">IF(TRIM(E6)="","КПП не указан",IF(LEN(E6)&lt;&gt;9,"КПП: должно быть 9 знаков",IF(NOT(AND(ISNUMBER(IFERROR(VALUE(LEFT(E6,4)),"x")),ISNUMBER(IFERROR(VALUE(RIGHT(E6,3)),"x")))),"КПП: неверный формат",IF(LEFT(E6,2)&lt;&gt;LEFT(C6,2),"КПП: код региона не совпадает с ИНН",""))))</f>
        <v/>
      </c>
      <c r="N6" s="24" t="str">
        <f aca="false">IF(TRIM(C6)="","",IF(COUNTIF($C$2:$C$401,C6)&gt;1,"Дубликат ИНН в реестре",""))</f>
        <v/>
      </c>
      <c r="O6" s="24" t="str">
        <f aca="false">IF(TRIM(H6)="","Email не указан",IF(AND(ISNUMBER(FIND("@",H6)),ISNUMBER(FIND(".",H6,IFERROR(FIND("@",H6),1))),ISERROR(FIND(" ",H6)),LEFT(H6,1)&lt;&gt;"@",RIGHT(H6,1)&lt;&gt;".",LEN(H6)-LEN(SUBSTITUTE(H6,"@",""))=1),"","Email: неверный формат"))</f>
        <v/>
      </c>
      <c r="P6" s="24" t="str">
        <f aca="false">IF(TRIM(I6)="","Телефон не указан",IF(AND(LEN(SUBSTITUTE(SUBSTITUTE(SUBSTITUTE(SUBSTITUTE(SUBSTITUTE(I6," ",""),"-",""),"(",""),")",""),"+",""))=11,OR(LEFT(SUBSTITUTE(SUBSTITUTE(SUBSTITUTE(SUBSTITUTE(SUBSTITUTE(I6," ",""),"-",""),"(",""),")",""),"+",""),1)="7",LEFT(SUBSTITUTE(SUBSTITUTE(SUBSTITUTE(SUBSTITUTE(SUBSTITUTE(I6," ",""),"-",""),"(",""),")",""),"+",""),1)="8"),ISNUMBER(IFERROR(VALUE(SUBSTITUTE(SUBSTITUTE(SUBSTITUTE(SUBSTITUTE(SUBSTITUTE(I6," ",""),"-",""),"(",""),")",""),"+","")),"x"))),"","Телефон: неверный формат"))</f>
        <v/>
      </c>
      <c r="Q6" s="24" t="str">
        <f aca="false">TRIM(IF(TRIM(B6)="","Нет наименования. ","")&amp;IF(TRIM(F6)="","Нет адреса. ","")&amp;IF(TRIM(G6)="","Нет контактного лица.",""))</f>
        <v/>
      </c>
      <c r="R6" s="21" t="n">
        <f aca="false">SUMPRODUCT(--(LEN(K6:Q6)&gt;0))</f>
        <v>0</v>
      </c>
      <c r="S6" s="24" t="str">
        <f aca="false">IF(R6=0,"Готово к передаче","Требует исправления")</f>
        <v>Готово к передаче</v>
      </c>
      <c r="T6" s="24" t="str">
        <f aca="false">IF(R6=0,"",_xlfn.TEXTJOIN("; ",TRUE(),K6:Q6))</f>
        <v/>
      </c>
      <c r="U6" s="24" t="str">
        <f aca="false">IF(R6=0,"","Здравствуйте! В данных организации «"&amp;B6&amp;"» обнаружены ошибки: "&amp;T6&amp;". Просим проверить и прислать исправленную информацию.")</f>
        <v/>
      </c>
      <c r="V6" s="21" t="str">
        <f aca="false">IF(R6&gt;0,COUNTIF($R$2:R6,"&gt;0"),"")</f>
        <v/>
      </c>
      <c r="W6" s="21" t="n">
        <f aca="false">IF(R6=0,COUNTIF($R$2:R6,0),"")</f>
        <v>4</v>
      </c>
    </row>
    <row r="7" customFormat="false" ht="15" hidden="false" customHeight="false" outlineLevel="0" collapsed="false">
      <c r="A7" s="21" t="n">
        <v>6</v>
      </c>
      <c r="B7" s="22" t="s">
        <v>124</v>
      </c>
      <c r="C7" s="23" t="s">
        <v>125</v>
      </c>
      <c r="D7" s="23" t="s">
        <v>126</v>
      </c>
      <c r="E7" s="23" t="s">
        <v>127</v>
      </c>
      <c r="F7" s="22" t="s">
        <v>128</v>
      </c>
      <c r="G7" s="22" t="s">
        <v>129</v>
      </c>
      <c r="H7" s="22" t="s">
        <v>130</v>
      </c>
      <c r="I7" s="23" t="s">
        <v>131</v>
      </c>
      <c r="J7" s="24" t="str">
        <f aca="false">IFERROR(VLOOKUP(VALUE(LEFT(C7,2)),Справочники!$A$2:$B$16,2,FALSE()),"не определён")</f>
        <v>Краснодарский край</v>
      </c>
      <c r="K7" s="24" t="str">
        <f aca="false">IF(TRIM(C7)="","ИНН не указан",IF(LEN(C7)&lt;&gt;10,"ИНН: должно быть 10 цифр",IF(NOT(ISNUMBER(IFERROR(VALUE(C7),"x"))),"ИНН: есть нецифровые символы",IF(MOD(MOD(SUMPRODUCT(--MID(C7,{1,2,3,4,5,6,7,8,9},1),{2,4,10,3,5,9,4,6,8}),11),10)=VALUE(RIGHT(C7,1)),"","ИНН: неверная контрольная цифра"))))</f>
        <v/>
      </c>
      <c r="L7" s="24" t="str">
        <f aca="false">IF(TRIM(D7)="","ОГРН не указан",IF(LEN(D7)&lt;&gt;13,"ОГРН: должно быть 13 цифр",IF(NOT(ISNUMBER(IFERROR(VALUE(D7),"x"))),"ОГРН: есть нецифровые символы",IF(MOD(VALUE(LEFT(D7,12))-11*INT(VALUE(LEFT(D7,12))/11),10)=VALUE(RIGHT(D7,1)),"","ОГРН: неверная контрольная цифра"))))</f>
        <v/>
      </c>
      <c r="M7" s="24" t="str">
        <f aca="false">IF(TRIM(E7)="","КПП не указан",IF(LEN(E7)&lt;&gt;9,"КПП: должно быть 9 знаков",IF(NOT(AND(ISNUMBER(IFERROR(VALUE(LEFT(E7,4)),"x")),ISNUMBER(IFERROR(VALUE(RIGHT(E7,3)),"x")))),"КПП: неверный формат",IF(LEFT(E7,2)&lt;&gt;LEFT(C7,2),"КПП: код региона не совпадает с ИНН",""))))</f>
        <v/>
      </c>
      <c r="N7" s="24" t="str">
        <f aca="false">IF(TRIM(C7)="","",IF(COUNTIF($C$2:$C$401,C7)&gt;1,"Дубликат ИНН в реестре",""))</f>
        <v/>
      </c>
      <c r="O7" s="24" t="str">
        <f aca="false">IF(TRIM(H7)="","Email не указан",IF(AND(ISNUMBER(FIND("@",H7)),ISNUMBER(FIND(".",H7,IFERROR(FIND("@",H7),1))),ISERROR(FIND(" ",H7)),LEFT(H7,1)&lt;&gt;"@",RIGHT(H7,1)&lt;&gt;".",LEN(H7)-LEN(SUBSTITUTE(H7,"@",""))=1),"","Email: неверный формат"))</f>
        <v/>
      </c>
      <c r="P7" s="24" t="str">
        <f aca="false">IF(TRIM(I7)="","Телефон не указан",IF(AND(LEN(SUBSTITUTE(SUBSTITUTE(SUBSTITUTE(SUBSTITUTE(SUBSTITUTE(I7," ",""),"-",""),"(",""),")",""),"+",""))=11,OR(LEFT(SUBSTITUTE(SUBSTITUTE(SUBSTITUTE(SUBSTITUTE(SUBSTITUTE(I7," ",""),"-",""),"(",""),")",""),"+",""),1)="7",LEFT(SUBSTITUTE(SUBSTITUTE(SUBSTITUTE(SUBSTITUTE(SUBSTITUTE(I7," ",""),"-",""),"(",""),")",""),"+",""),1)="8"),ISNUMBER(IFERROR(VALUE(SUBSTITUTE(SUBSTITUTE(SUBSTITUTE(SUBSTITUTE(SUBSTITUTE(I7," ",""),"-",""),"(",""),")",""),"+","")),"x"))),"","Телефон: неверный формат"))</f>
        <v/>
      </c>
      <c r="Q7" s="24" t="str">
        <f aca="false">TRIM(IF(TRIM(B7)="","Нет наименования. ","")&amp;IF(TRIM(F7)="","Нет адреса. ","")&amp;IF(TRIM(G7)="","Нет контактного лица.",""))</f>
        <v/>
      </c>
      <c r="R7" s="21" t="n">
        <f aca="false">SUMPRODUCT(--(LEN(K7:Q7)&gt;0))</f>
        <v>0</v>
      </c>
      <c r="S7" s="24" t="str">
        <f aca="false">IF(R7=0,"Готово к передаче","Требует исправления")</f>
        <v>Готово к передаче</v>
      </c>
      <c r="T7" s="24" t="str">
        <f aca="false">IF(R7=0,"",_xlfn.TEXTJOIN("; ",TRUE(),K7:Q7))</f>
        <v/>
      </c>
      <c r="U7" s="24" t="str">
        <f aca="false">IF(R7=0,"","Здравствуйте! В данных организации «"&amp;B7&amp;"» обнаружены ошибки: "&amp;T7&amp;". Просим проверить и прислать исправленную информацию.")</f>
        <v/>
      </c>
      <c r="V7" s="21" t="str">
        <f aca="false">IF(R7&gt;0,COUNTIF($R$2:R7,"&gt;0"),"")</f>
        <v/>
      </c>
      <c r="W7" s="21" t="n">
        <f aca="false">IF(R7=0,COUNTIF($R$2:R7,0),"")</f>
        <v>5</v>
      </c>
    </row>
    <row r="8" customFormat="false" ht="15" hidden="false" customHeight="false" outlineLevel="0" collapsed="false">
      <c r="A8" s="21" t="n">
        <v>7</v>
      </c>
      <c r="B8" s="22" t="s">
        <v>132</v>
      </c>
      <c r="C8" s="23" t="s">
        <v>133</v>
      </c>
      <c r="D8" s="23" t="s">
        <v>134</v>
      </c>
      <c r="E8" s="23" t="s">
        <v>135</v>
      </c>
      <c r="F8" s="22" t="s">
        <v>136</v>
      </c>
      <c r="G8" s="22" t="s">
        <v>137</v>
      </c>
      <c r="H8" s="22" t="s">
        <v>138</v>
      </c>
      <c r="I8" s="23" t="s">
        <v>139</v>
      </c>
      <c r="J8" s="24" t="str">
        <f aca="false">IFERROR(VLOOKUP(VALUE(LEFT(C8,2)),Справочники!$A$2:$B$16,2,FALSE()),"не определён")</f>
        <v>Свердловская область</v>
      </c>
      <c r="K8" s="24" t="str">
        <f aca="false">IF(TRIM(C8)="","ИНН не указан",IF(LEN(C8)&lt;&gt;10,"ИНН: должно быть 10 цифр",IF(NOT(ISNUMBER(IFERROR(VALUE(C8),"x"))),"ИНН: есть нецифровые символы",IF(MOD(MOD(SUMPRODUCT(--MID(C8,{1,2,3,4,5,6,7,8,9},1),{2,4,10,3,5,9,4,6,8}),11),10)=VALUE(RIGHT(C8,1)),"","ИНН: неверная контрольная цифра"))))</f>
        <v/>
      </c>
      <c r="L8" s="24" t="str">
        <f aca="false">IF(TRIM(D8)="","ОГРН не указан",IF(LEN(D8)&lt;&gt;13,"ОГРН: должно быть 13 цифр",IF(NOT(ISNUMBER(IFERROR(VALUE(D8),"x"))),"ОГРН: есть нецифровые символы",IF(MOD(VALUE(LEFT(D8,12))-11*INT(VALUE(LEFT(D8,12))/11),10)=VALUE(RIGHT(D8,1)),"","ОГРН: неверная контрольная цифра"))))</f>
        <v/>
      </c>
      <c r="M8" s="24" t="str">
        <f aca="false">IF(TRIM(E8)="","КПП не указан",IF(LEN(E8)&lt;&gt;9,"КПП: должно быть 9 знаков",IF(NOT(AND(ISNUMBER(IFERROR(VALUE(LEFT(E8,4)),"x")),ISNUMBER(IFERROR(VALUE(RIGHT(E8,3)),"x")))),"КПП: неверный формат",IF(LEFT(E8,2)&lt;&gt;LEFT(C8,2),"КПП: код региона не совпадает с ИНН",""))))</f>
        <v/>
      </c>
      <c r="N8" s="24" t="str">
        <f aca="false">IF(TRIM(C8)="","",IF(COUNTIF($C$2:$C$401,C8)&gt;1,"Дубликат ИНН в реестре",""))</f>
        <v/>
      </c>
      <c r="O8" s="24" t="str">
        <f aca="false">IF(TRIM(H8)="","Email не указан",IF(AND(ISNUMBER(FIND("@",H8)),ISNUMBER(FIND(".",H8,IFERROR(FIND("@",H8),1))),ISERROR(FIND(" ",H8)),LEFT(H8,1)&lt;&gt;"@",RIGHT(H8,1)&lt;&gt;".",LEN(H8)-LEN(SUBSTITUTE(H8,"@",""))=1),"","Email: неверный формат"))</f>
        <v/>
      </c>
      <c r="P8" s="24" t="str">
        <f aca="false">IF(TRIM(I8)="","Телефон не указан",IF(AND(LEN(SUBSTITUTE(SUBSTITUTE(SUBSTITUTE(SUBSTITUTE(SUBSTITUTE(I8," ",""),"-",""),"(",""),")",""),"+",""))=11,OR(LEFT(SUBSTITUTE(SUBSTITUTE(SUBSTITUTE(SUBSTITUTE(SUBSTITUTE(I8," ",""),"-",""),"(",""),")",""),"+",""),1)="7",LEFT(SUBSTITUTE(SUBSTITUTE(SUBSTITUTE(SUBSTITUTE(SUBSTITUTE(I8," ",""),"-",""),"(",""),")",""),"+",""),1)="8"),ISNUMBER(IFERROR(VALUE(SUBSTITUTE(SUBSTITUTE(SUBSTITUTE(SUBSTITUTE(SUBSTITUTE(I8," ",""),"-",""),"(",""),")",""),"+","")),"x"))),"","Телефон: неверный формат"))</f>
        <v/>
      </c>
      <c r="Q8" s="24" t="str">
        <f aca="false">TRIM(IF(TRIM(B8)="","Нет наименования. ","")&amp;IF(TRIM(F8)="","Нет адреса. ","")&amp;IF(TRIM(G8)="","Нет контактного лица.",""))</f>
        <v/>
      </c>
      <c r="R8" s="21" t="n">
        <f aca="false">SUMPRODUCT(--(LEN(K8:Q8)&gt;0))</f>
        <v>0</v>
      </c>
      <c r="S8" s="24" t="str">
        <f aca="false">IF(R8=0,"Готово к передаче","Требует исправления")</f>
        <v>Готово к передаче</v>
      </c>
      <c r="T8" s="24" t="str">
        <f aca="false">IF(R8=0,"",_xlfn.TEXTJOIN("; ",TRUE(),K8:Q8))</f>
        <v/>
      </c>
      <c r="U8" s="24" t="str">
        <f aca="false">IF(R8=0,"","Здравствуйте! В данных организации «"&amp;B8&amp;"» обнаружены ошибки: "&amp;T8&amp;". Просим проверить и прислать исправленную информацию.")</f>
        <v/>
      </c>
      <c r="V8" s="21" t="str">
        <f aca="false">IF(R8&gt;0,COUNTIF($R$2:R8,"&gt;0"),"")</f>
        <v/>
      </c>
      <c r="W8" s="21" t="n">
        <f aca="false">IF(R8=0,COUNTIF($R$2:R8,0),"")</f>
        <v>6</v>
      </c>
    </row>
    <row r="9" customFormat="false" ht="15" hidden="false" customHeight="false" outlineLevel="0" collapsed="false">
      <c r="A9" s="21" t="n">
        <v>8</v>
      </c>
      <c r="B9" s="22" t="s">
        <v>140</v>
      </c>
      <c r="C9" s="23" t="s">
        <v>141</v>
      </c>
      <c r="D9" s="23" t="s">
        <v>142</v>
      </c>
      <c r="E9" s="23" t="s">
        <v>143</v>
      </c>
      <c r="F9" s="22" t="s">
        <v>144</v>
      </c>
      <c r="G9" s="22" t="s">
        <v>145</v>
      </c>
      <c r="H9" s="22" t="s">
        <v>146</v>
      </c>
      <c r="I9" s="23" t="s">
        <v>147</v>
      </c>
      <c r="J9" s="24" t="str">
        <f aca="false">IFERROR(VLOOKUP(VALUE(LEFT(C9,2)),Справочники!$A$2:$B$16,2,FALSE()),"не определён")</f>
        <v>Самарская область</v>
      </c>
      <c r="K9" s="24" t="str">
        <f aca="false">IF(TRIM(C9)="","ИНН не указан",IF(LEN(C9)&lt;&gt;10,"ИНН: должно быть 10 цифр",IF(NOT(ISNUMBER(IFERROR(VALUE(C9),"x"))),"ИНН: есть нецифровые символы",IF(MOD(MOD(SUMPRODUCT(--MID(C9,{1,2,3,4,5,6,7,8,9},1),{2,4,10,3,5,9,4,6,8}),11),10)=VALUE(RIGHT(C9,1)),"","ИНН: неверная контрольная цифра"))))</f>
        <v>ИНН: неверная контрольная цифра</v>
      </c>
      <c r="L9" s="24" t="str">
        <f aca="false">IF(TRIM(D9)="","ОГРН не указан",IF(LEN(D9)&lt;&gt;13,"ОГРН: должно быть 13 цифр",IF(NOT(ISNUMBER(IFERROR(VALUE(D9),"x"))),"ОГРН: есть нецифровые символы",IF(MOD(VALUE(LEFT(D9,12))-11*INT(VALUE(LEFT(D9,12))/11),10)=VALUE(RIGHT(D9,1)),"","ОГРН: неверная контрольная цифра"))))</f>
        <v/>
      </c>
      <c r="M9" s="24" t="str">
        <f aca="false">IF(TRIM(E9)="","КПП не указан",IF(LEN(E9)&lt;&gt;9,"КПП: должно быть 9 знаков",IF(NOT(AND(ISNUMBER(IFERROR(VALUE(LEFT(E9,4)),"x")),ISNUMBER(IFERROR(VALUE(RIGHT(E9,3)),"x")))),"КПП: неверный формат",IF(LEFT(E9,2)&lt;&gt;LEFT(C9,2),"КПП: код региона не совпадает с ИНН",""))))</f>
        <v/>
      </c>
      <c r="N9" s="24" t="str">
        <f aca="false">IF(TRIM(C9)="","",IF(COUNTIF($C$2:$C$401,C9)&gt;1,"Дубликат ИНН в реестре",""))</f>
        <v/>
      </c>
      <c r="O9" s="24" t="str">
        <f aca="false">IF(TRIM(H9)="","Email не указан",IF(AND(ISNUMBER(FIND("@",H9)),ISNUMBER(FIND(".",H9,IFERROR(FIND("@",H9),1))),ISERROR(FIND(" ",H9)),LEFT(H9,1)&lt;&gt;"@",RIGHT(H9,1)&lt;&gt;".",LEN(H9)-LEN(SUBSTITUTE(H9,"@",""))=1),"","Email: неверный формат"))</f>
        <v>Email: неверный формат</v>
      </c>
      <c r="P9" s="24" t="str">
        <f aca="false">IF(TRIM(I9)="","Телефон не указан",IF(AND(LEN(SUBSTITUTE(SUBSTITUTE(SUBSTITUTE(SUBSTITUTE(SUBSTITUTE(I9," ",""),"-",""),"(",""),")",""),"+",""))=11,OR(LEFT(SUBSTITUTE(SUBSTITUTE(SUBSTITUTE(SUBSTITUTE(SUBSTITUTE(I9," ",""),"-",""),"(",""),")",""),"+",""),1)="7",LEFT(SUBSTITUTE(SUBSTITUTE(SUBSTITUTE(SUBSTITUTE(SUBSTITUTE(I9," ",""),"-",""),"(",""),")",""),"+",""),1)="8"),ISNUMBER(IFERROR(VALUE(SUBSTITUTE(SUBSTITUTE(SUBSTITUTE(SUBSTITUTE(SUBSTITUTE(I9," ",""),"-",""),"(",""),")",""),"+","")),"x"))),"","Телефон: неверный формат"))</f>
        <v/>
      </c>
      <c r="Q9" s="24" t="str">
        <f aca="false">TRIM(IF(TRIM(B9)="","Нет наименования. ","")&amp;IF(TRIM(F9)="","Нет адреса. ","")&amp;IF(TRIM(G9)="","Нет контактного лица.",""))</f>
        <v/>
      </c>
      <c r="R9" s="21" t="n">
        <f aca="false">SUMPRODUCT(--(LEN(K9:Q9)&gt;0))</f>
        <v>2</v>
      </c>
      <c r="S9" s="24" t="str">
        <f aca="false">IF(R9=0,"Готово к передаче","Требует исправления")</f>
        <v>Требует исправления</v>
      </c>
      <c r="T9" s="24" t="str">
        <f aca="false">IF(R9=0,"",_xlfn.TEXTJOIN("; ",TRUE(),K9:Q9))</f>
        <v>ИНН: неверная контрольная цифра; Email: неверный формат</v>
      </c>
      <c r="U9" s="24" t="str">
        <f aca="false">IF(R9=0,"","Здравствуйте! В данных организации «"&amp;B9&amp;"» обнаружены ошибки: "&amp;T9&amp;". Просим проверить и прислать исправленную информацию.")</f>
        <v>Здравствуйте! В данных организации «ООО «Вектор Проект»» обнаружены ошибки: ИНН: неверная контрольная цифра; Email: неверный формат. Просим проверить и прислать исправленную информацию.</v>
      </c>
      <c r="V9" s="21" t="n">
        <f aca="false">IF(R9&gt;0,COUNTIF($R$2:R9,"&gt;0"),"")</f>
        <v>2</v>
      </c>
      <c r="W9" s="21" t="str">
        <f aca="false">IF(R9=0,COUNTIF($R$2:R9,0),"")</f>
        <v/>
      </c>
    </row>
    <row r="10" customFormat="false" ht="15" hidden="false" customHeight="false" outlineLevel="0" collapsed="false">
      <c r="A10" s="21" t="n">
        <v>9</v>
      </c>
      <c r="B10" s="22" t="s">
        <v>148</v>
      </c>
      <c r="C10" s="23" t="s">
        <v>149</v>
      </c>
      <c r="D10" s="23" t="s">
        <v>150</v>
      </c>
      <c r="E10" s="23" t="s">
        <v>151</v>
      </c>
      <c r="F10" s="22" t="s">
        <v>152</v>
      </c>
      <c r="G10" s="22" t="s">
        <v>153</v>
      </c>
      <c r="H10" s="22" t="s">
        <v>154</v>
      </c>
      <c r="I10" s="23" t="s">
        <v>155</v>
      </c>
      <c r="J10" s="24" t="str">
        <f aca="false">IFERROR(VLOOKUP(VALUE(LEFT(C10,2)),Справочники!$A$2:$B$16,2,FALSE()),"не определён")</f>
        <v>Свердловская область</v>
      </c>
      <c r="K10" s="24" t="str">
        <f aca="false">IF(TRIM(C10)="","ИНН не указан",IF(LEN(C10)&lt;&gt;10,"ИНН: должно быть 10 цифр",IF(NOT(ISNUMBER(IFERROR(VALUE(C10),"x"))),"ИНН: есть нецифровые символы",IF(MOD(MOD(SUMPRODUCT(--MID(C10,{1,2,3,4,5,6,7,8,9},1),{2,4,10,3,5,9,4,6,8}),11),10)=VALUE(RIGHT(C10,1)),"","ИНН: неверная контрольная цифра"))))</f>
        <v/>
      </c>
      <c r="L10" s="24" t="str">
        <f aca="false">IF(TRIM(D10)="","ОГРН не указан",IF(LEN(D10)&lt;&gt;13,"ОГРН: должно быть 13 цифр",IF(NOT(ISNUMBER(IFERROR(VALUE(D10),"x"))),"ОГРН: есть нецифровые символы",IF(MOD(VALUE(LEFT(D10,12))-11*INT(VALUE(LEFT(D10,12))/11),10)=VALUE(RIGHT(D10,1)),"","ОГРН: неверная контрольная цифра"))))</f>
        <v/>
      </c>
      <c r="M10" s="24" t="str">
        <f aca="false">IF(TRIM(E10)="","КПП не указан",IF(LEN(E10)&lt;&gt;9,"КПП: должно быть 9 знаков",IF(NOT(AND(ISNUMBER(IFERROR(VALUE(LEFT(E10,4)),"x")),ISNUMBER(IFERROR(VALUE(RIGHT(E10,3)),"x")))),"КПП: неверный формат",IF(LEFT(E10,2)&lt;&gt;LEFT(C10,2),"КПП: код региона не совпадает с ИНН",""))))</f>
        <v/>
      </c>
      <c r="N10" s="24" t="str">
        <f aca="false">IF(TRIM(C10)="","",IF(COUNTIF($C$2:$C$401,C10)&gt;1,"Дубликат ИНН в реестре",""))</f>
        <v/>
      </c>
      <c r="O10" s="24" t="str">
        <f aca="false">IF(TRIM(H10)="","Email не указан",IF(AND(ISNUMBER(FIND("@",H10)),ISNUMBER(FIND(".",H10,IFERROR(FIND("@",H10),1))),ISERROR(FIND(" ",H10)),LEFT(H10,1)&lt;&gt;"@",RIGHT(H10,1)&lt;&gt;".",LEN(H10)-LEN(SUBSTITUTE(H10,"@",""))=1),"","Email: неверный формат"))</f>
        <v/>
      </c>
      <c r="P10" s="24" t="str">
        <f aca="false">IF(TRIM(I10)="","Телефон не указан",IF(AND(LEN(SUBSTITUTE(SUBSTITUTE(SUBSTITUTE(SUBSTITUTE(SUBSTITUTE(I10," ",""),"-",""),"(",""),")",""),"+",""))=11,OR(LEFT(SUBSTITUTE(SUBSTITUTE(SUBSTITUTE(SUBSTITUTE(SUBSTITUTE(I10," ",""),"-",""),"(",""),")",""),"+",""),1)="7",LEFT(SUBSTITUTE(SUBSTITUTE(SUBSTITUTE(SUBSTITUTE(SUBSTITUTE(I10," ",""),"-",""),"(",""),")",""),"+",""),1)="8"),ISNUMBER(IFERROR(VALUE(SUBSTITUTE(SUBSTITUTE(SUBSTITUTE(SUBSTITUTE(SUBSTITUTE(I10," ",""),"-",""),"(",""),")",""),"+","")),"x"))),"","Телефон: неверный формат"))</f>
        <v/>
      </c>
      <c r="Q10" s="24" t="str">
        <f aca="false">TRIM(IF(TRIM(B10)="","Нет наименования. ","")&amp;IF(TRIM(F10)="","Нет адреса. ","")&amp;IF(TRIM(G10)="","Нет контактного лица.",""))</f>
        <v/>
      </c>
      <c r="R10" s="21" t="n">
        <f aca="false">SUMPRODUCT(--(LEN(K10:Q10)&gt;0))</f>
        <v>0</v>
      </c>
      <c r="S10" s="24" t="str">
        <f aca="false">IF(R10=0,"Готово к передаче","Требует исправления")</f>
        <v>Готово к передаче</v>
      </c>
      <c r="T10" s="24" t="str">
        <f aca="false">IF(R10=0,"",_xlfn.TEXTJOIN("; ",TRUE(),K10:Q10))</f>
        <v/>
      </c>
      <c r="U10" s="24" t="str">
        <f aca="false">IF(R10=0,"","Здравствуйте! В данных организации «"&amp;B10&amp;"» обнаружены ошибки: "&amp;T10&amp;". Просим проверить и прислать исправленную информацию.")</f>
        <v/>
      </c>
      <c r="V10" s="21" t="str">
        <f aca="false">IF(R10&gt;0,COUNTIF($R$2:R10,"&gt;0"),"")</f>
        <v/>
      </c>
      <c r="W10" s="21" t="n">
        <f aca="false">IF(R10=0,COUNTIF($R$2:R10,0),"")</f>
        <v>7</v>
      </c>
    </row>
    <row r="11" customFormat="false" ht="15" hidden="false" customHeight="false" outlineLevel="0" collapsed="false">
      <c r="A11" s="21" t="n">
        <v>10</v>
      </c>
      <c r="B11" s="22" t="s">
        <v>156</v>
      </c>
      <c r="C11" s="23" t="s">
        <v>157</v>
      </c>
      <c r="D11" s="23" t="s">
        <v>158</v>
      </c>
      <c r="E11" s="23" t="s">
        <v>159</v>
      </c>
      <c r="F11" s="22" t="s">
        <v>160</v>
      </c>
      <c r="G11" s="22" t="s">
        <v>161</v>
      </c>
      <c r="H11" s="22" t="s">
        <v>162</v>
      </c>
      <c r="I11" s="23" t="s">
        <v>163</v>
      </c>
      <c r="J11" s="24" t="str">
        <f aca="false">IFERROR(VLOOKUP(VALUE(LEFT(C11,2)),Справочники!$A$2:$B$16,2,FALSE()),"не определён")</f>
        <v>г. Санкт-Петербург</v>
      </c>
      <c r="K11" s="24" t="str">
        <f aca="false">IF(TRIM(C11)="","ИНН не указан",IF(LEN(C11)&lt;&gt;10,"ИНН: должно быть 10 цифр",IF(NOT(ISNUMBER(IFERROR(VALUE(C11),"x"))),"ИНН: есть нецифровые символы",IF(MOD(MOD(SUMPRODUCT(--MID(C11,{1,2,3,4,5,6,7,8,9},1),{2,4,10,3,5,9,4,6,8}),11),10)=VALUE(RIGHT(C11,1)),"","ИНН: неверная контрольная цифра"))))</f>
        <v>ИНН: должно быть 10 цифр</v>
      </c>
      <c r="L11" s="24" t="str">
        <f aca="false">IF(TRIM(D11)="","ОГРН не указан",IF(LEN(D11)&lt;&gt;13,"ОГРН: должно быть 13 цифр",IF(NOT(ISNUMBER(IFERROR(VALUE(D11),"x"))),"ОГРН: есть нецифровые символы",IF(MOD(VALUE(LEFT(D11,12))-11*INT(VALUE(LEFT(D11,12))/11),10)=VALUE(RIGHT(D11,1)),"","ОГРН: неверная контрольная цифра"))))</f>
        <v/>
      </c>
      <c r="M11" s="24" t="str">
        <f aca="false">IF(TRIM(E11)="","КПП не указан",IF(LEN(E11)&lt;&gt;9,"КПП: должно быть 9 знаков",IF(NOT(AND(ISNUMBER(IFERROR(VALUE(LEFT(E11,4)),"x")),ISNUMBER(IFERROR(VALUE(RIGHT(E11,3)),"x")))),"КПП: неверный формат",IF(LEFT(E11,2)&lt;&gt;LEFT(C11,2),"КПП: код региона не совпадает с ИНН",""))))</f>
        <v/>
      </c>
      <c r="N11" s="24" t="str">
        <f aca="false">IF(TRIM(C11)="","",IF(COUNTIF($C$2:$C$401,C11)&gt;1,"Дубликат ИНН в реестре",""))</f>
        <v/>
      </c>
      <c r="O11" s="24" t="str">
        <f aca="false">IF(TRIM(H11)="","Email не указан",IF(AND(ISNUMBER(FIND("@",H11)),ISNUMBER(FIND(".",H11,IFERROR(FIND("@",H11),1))),ISERROR(FIND(" ",H11)),LEFT(H11,1)&lt;&gt;"@",RIGHT(H11,1)&lt;&gt;".",LEN(H11)-LEN(SUBSTITUTE(H11,"@",""))=1),"","Email: неверный формат"))</f>
        <v/>
      </c>
      <c r="P11" s="24" t="str">
        <f aca="false">IF(TRIM(I11)="","Телефон не указан",IF(AND(LEN(SUBSTITUTE(SUBSTITUTE(SUBSTITUTE(SUBSTITUTE(SUBSTITUTE(I11," ",""),"-",""),"(",""),")",""),"+",""))=11,OR(LEFT(SUBSTITUTE(SUBSTITUTE(SUBSTITUTE(SUBSTITUTE(SUBSTITUTE(I11," ",""),"-",""),"(",""),")",""),"+",""),1)="7",LEFT(SUBSTITUTE(SUBSTITUTE(SUBSTITUTE(SUBSTITUTE(SUBSTITUTE(I11," ",""),"-",""),"(",""),")",""),"+",""),1)="8"),ISNUMBER(IFERROR(VALUE(SUBSTITUTE(SUBSTITUTE(SUBSTITUTE(SUBSTITUTE(SUBSTITUTE(I11," ",""),"-",""),"(",""),")",""),"+","")),"x"))),"","Телефон: неверный формат"))</f>
        <v/>
      </c>
      <c r="Q11" s="24" t="str">
        <f aca="false">TRIM(IF(TRIM(B11)="","Нет наименования. ","")&amp;IF(TRIM(F11)="","Нет адреса. ","")&amp;IF(TRIM(G11)="","Нет контактного лица.",""))</f>
        <v/>
      </c>
      <c r="R11" s="21" t="n">
        <f aca="false">SUMPRODUCT(--(LEN(K11:Q11)&gt;0))</f>
        <v>1</v>
      </c>
      <c r="S11" s="24" t="str">
        <f aca="false">IF(R11=0,"Готово к передаче","Требует исправления")</f>
        <v>Требует исправления</v>
      </c>
      <c r="T11" s="24" t="str">
        <f aca="false">IF(R11=0,"",_xlfn.TEXTJOIN("; ",TRUE(),K11:Q11))</f>
        <v>ИНН: должно быть 10 цифр</v>
      </c>
      <c r="U11" s="24" t="str">
        <f aca="false">IF(R11=0,"","Здравствуйте! В данных организации «"&amp;B11&amp;"» обнаружены ошибки: "&amp;T11&amp;". Просим проверить и прислать исправленную информацию.")</f>
        <v>Здравствуйте! В данных организации «АО «Эталон Проект»» обнаружены ошибки: ИНН: должно быть 10 цифр. Просим проверить и прислать исправленную информацию.</v>
      </c>
      <c r="V11" s="21" t="n">
        <f aca="false">IF(R11&gt;0,COUNTIF($R$2:R11,"&gt;0"),"")</f>
        <v>3</v>
      </c>
      <c r="W11" s="21" t="str">
        <f aca="false">IF(R11=0,COUNTIF($R$2:R11,0),"")</f>
        <v/>
      </c>
    </row>
    <row r="12" customFormat="false" ht="15" hidden="false" customHeight="false" outlineLevel="0" collapsed="false">
      <c r="A12" s="21" t="n">
        <v>11</v>
      </c>
      <c r="B12" s="22" t="s">
        <v>164</v>
      </c>
      <c r="C12" s="23" t="s">
        <v>165</v>
      </c>
      <c r="D12" s="23" t="s">
        <v>166</v>
      </c>
      <c r="E12" s="23" t="s">
        <v>167</v>
      </c>
      <c r="F12" s="22" t="s">
        <v>168</v>
      </c>
      <c r="G12" s="22" t="s">
        <v>169</v>
      </c>
      <c r="H12" s="22" t="s">
        <v>170</v>
      </c>
      <c r="I12" s="23" t="s">
        <v>171</v>
      </c>
      <c r="J12" s="24" t="str">
        <f aca="false">IFERROR(VLOOKUP(VALUE(LEFT(C12,2)),Справочники!$A$2:$B$16,2,FALSE()),"не определён")</f>
        <v>Самарская область</v>
      </c>
      <c r="K12" s="24" t="str">
        <f aca="false">IF(TRIM(C12)="","ИНН не указан",IF(LEN(C12)&lt;&gt;10,"ИНН: должно быть 10 цифр",IF(NOT(ISNUMBER(IFERROR(VALUE(C12),"x"))),"ИНН: есть нецифровые символы",IF(MOD(MOD(SUMPRODUCT(--MID(C12,{1,2,3,4,5,6,7,8,9},1),{2,4,10,3,5,9,4,6,8}),11),10)=VALUE(RIGHT(C12,1)),"","ИНН: неверная контрольная цифра"))))</f>
        <v/>
      </c>
      <c r="L12" s="24" t="str">
        <f aca="false">IF(TRIM(D12)="","ОГРН не указан",IF(LEN(D12)&lt;&gt;13,"ОГРН: должно быть 13 цифр",IF(NOT(ISNUMBER(IFERROR(VALUE(D12),"x"))),"ОГРН: есть нецифровые символы",IF(MOD(VALUE(LEFT(D12,12))-11*INT(VALUE(LEFT(D12,12))/11),10)=VALUE(RIGHT(D12,1)),"","ОГРН: неверная контрольная цифра"))))</f>
        <v/>
      </c>
      <c r="M12" s="24" t="str">
        <f aca="false">IF(TRIM(E12)="","КПП не указан",IF(LEN(E12)&lt;&gt;9,"КПП: должно быть 9 знаков",IF(NOT(AND(ISNUMBER(IFERROR(VALUE(LEFT(E12,4)),"x")),ISNUMBER(IFERROR(VALUE(RIGHT(E12,3)),"x")))),"КПП: неверный формат",IF(LEFT(E12,2)&lt;&gt;LEFT(C12,2),"КПП: код региона не совпадает с ИНН",""))))</f>
        <v/>
      </c>
      <c r="N12" s="24" t="str">
        <f aca="false">IF(TRIM(C12)="","",IF(COUNTIF($C$2:$C$401,C12)&gt;1,"Дубликат ИНН в реестре",""))</f>
        <v/>
      </c>
      <c r="O12" s="24" t="str">
        <f aca="false">IF(TRIM(H12)="","Email не указан",IF(AND(ISNUMBER(FIND("@",H12)),ISNUMBER(FIND(".",H12,IFERROR(FIND("@",H12),1))),ISERROR(FIND(" ",H12)),LEFT(H12,1)&lt;&gt;"@",RIGHT(H12,1)&lt;&gt;".",LEN(H12)-LEN(SUBSTITUTE(H12,"@",""))=1),"","Email: неверный формат"))</f>
        <v/>
      </c>
      <c r="P12" s="24" t="str">
        <f aca="false">IF(TRIM(I12)="","Телефон не указан",IF(AND(LEN(SUBSTITUTE(SUBSTITUTE(SUBSTITUTE(SUBSTITUTE(SUBSTITUTE(I12," ",""),"-",""),"(",""),")",""),"+",""))=11,OR(LEFT(SUBSTITUTE(SUBSTITUTE(SUBSTITUTE(SUBSTITUTE(SUBSTITUTE(I12," ",""),"-",""),"(",""),")",""),"+",""),1)="7",LEFT(SUBSTITUTE(SUBSTITUTE(SUBSTITUTE(SUBSTITUTE(SUBSTITUTE(I12," ",""),"-",""),"(",""),")",""),"+",""),1)="8"),ISNUMBER(IFERROR(VALUE(SUBSTITUTE(SUBSTITUTE(SUBSTITUTE(SUBSTITUTE(SUBSTITUTE(I12," ",""),"-",""),"(",""),")",""),"+","")),"x"))),"","Телефон: неверный формат"))</f>
        <v/>
      </c>
      <c r="Q12" s="24" t="str">
        <f aca="false">TRIM(IF(TRIM(B12)="","Нет наименования. ","")&amp;IF(TRIM(F12)="","Нет адреса. ","")&amp;IF(TRIM(G12)="","Нет контактного лица.",""))</f>
        <v/>
      </c>
      <c r="R12" s="21" t="n">
        <f aca="false">SUMPRODUCT(--(LEN(K12:Q12)&gt;0))</f>
        <v>0</v>
      </c>
      <c r="S12" s="24" t="str">
        <f aca="false">IF(R12=0,"Готово к передаче","Требует исправления")</f>
        <v>Готово к передаче</v>
      </c>
      <c r="T12" s="24" t="str">
        <f aca="false">IF(R12=0,"",_xlfn.TEXTJOIN("; ",TRUE(),K12:Q12))</f>
        <v/>
      </c>
      <c r="U12" s="24" t="str">
        <f aca="false">IF(R12=0,"","Здравствуйте! В данных организации «"&amp;B12&amp;"» обнаружены ошибки: "&amp;T12&amp;". Просим проверить и прислать исправленную информацию.")</f>
        <v/>
      </c>
      <c r="V12" s="21" t="str">
        <f aca="false">IF(R12&gt;0,COUNTIF($R$2:R12,"&gt;0"),"")</f>
        <v/>
      </c>
      <c r="W12" s="21" t="n">
        <f aca="false">IF(R12=0,COUNTIF($R$2:R12,0),"")</f>
        <v>8</v>
      </c>
    </row>
    <row r="13" customFormat="false" ht="15" hidden="false" customHeight="false" outlineLevel="0" collapsed="false">
      <c r="A13" s="21" t="n">
        <v>12</v>
      </c>
      <c r="B13" s="22" t="s">
        <v>172</v>
      </c>
      <c r="C13" s="23" t="s">
        <v>173</v>
      </c>
      <c r="D13" s="23" t="s">
        <v>174</v>
      </c>
      <c r="E13" s="23" t="s">
        <v>175</v>
      </c>
      <c r="F13" s="22" t="s">
        <v>176</v>
      </c>
      <c r="G13" s="22" t="s">
        <v>177</v>
      </c>
      <c r="H13" s="22" t="s">
        <v>178</v>
      </c>
      <c r="I13" s="23" t="s">
        <v>179</v>
      </c>
      <c r="J13" s="24" t="str">
        <f aca="false">IFERROR(VLOOKUP(VALUE(LEFT(C13,2)),Справочники!$A$2:$B$16,2,FALSE()),"не определён")</f>
        <v>Республика Татарстан</v>
      </c>
      <c r="K13" s="24" t="str">
        <f aca="false">IF(TRIM(C13)="","ИНН не указан",IF(LEN(C13)&lt;&gt;10,"ИНН: должно быть 10 цифр",IF(NOT(ISNUMBER(IFERROR(VALUE(C13),"x"))),"ИНН: есть нецифровые символы",IF(MOD(MOD(SUMPRODUCT(--MID(C13,{1,2,3,4,5,6,7,8,9},1),{2,4,10,3,5,9,4,6,8}),11),10)=VALUE(RIGHT(C13,1)),"","ИНН: неверная контрольная цифра"))))</f>
        <v/>
      </c>
      <c r="L13" s="24" t="str">
        <f aca="false">IF(TRIM(D13)="","ОГРН не указан",IF(LEN(D13)&lt;&gt;13,"ОГРН: должно быть 13 цифр",IF(NOT(ISNUMBER(IFERROR(VALUE(D13),"x"))),"ОГРН: есть нецифровые символы",IF(MOD(VALUE(LEFT(D13,12))-11*INT(VALUE(LEFT(D13,12))/11),10)=VALUE(RIGHT(D13,1)),"","ОГРН: неверная контрольная цифра"))))</f>
        <v/>
      </c>
      <c r="M13" s="24" t="str">
        <f aca="false">IF(TRIM(E13)="","КПП не указан",IF(LEN(E13)&lt;&gt;9,"КПП: должно быть 9 знаков",IF(NOT(AND(ISNUMBER(IFERROR(VALUE(LEFT(E13,4)),"x")),ISNUMBER(IFERROR(VALUE(RIGHT(E13,3)),"x")))),"КПП: неверный формат",IF(LEFT(E13,2)&lt;&gt;LEFT(C13,2),"КПП: код региона не совпадает с ИНН",""))))</f>
        <v/>
      </c>
      <c r="N13" s="24" t="str">
        <f aca="false">IF(TRIM(C13)="","",IF(COUNTIF($C$2:$C$401,C13)&gt;1,"Дубликат ИНН в реестре",""))</f>
        <v/>
      </c>
      <c r="O13" s="24" t="str">
        <f aca="false">IF(TRIM(H13)="","Email не указан",IF(AND(ISNUMBER(FIND("@",H13)),ISNUMBER(FIND(".",H13,IFERROR(FIND("@",H13),1))),ISERROR(FIND(" ",H13)),LEFT(H13,1)&lt;&gt;"@",RIGHT(H13,1)&lt;&gt;".",LEN(H13)-LEN(SUBSTITUTE(H13,"@",""))=1),"","Email: неверный формат"))</f>
        <v>Email: неверный формат</v>
      </c>
      <c r="P13" s="24" t="str">
        <f aca="false">IF(TRIM(I13)="","Телефон не указан",IF(AND(LEN(SUBSTITUTE(SUBSTITUTE(SUBSTITUTE(SUBSTITUTE(SUBSTITUTE(I13," ",""),"-",""),"(",""),")",""),"+",""))=11,OR(LEFT(SUBSTITUTE(SUBSTITUTE(SUBSTITUTE(SUBSTITUTE(SUBSTITUTE(I13," ",""),"-",""),"(",""),")",""),"+",""),1)="7",LEFT(SUBSTITUTE(SUBSTITUTE(SUBSTITUTE(SUBSTITUTE(SUBSTITUTE(I13," ",""),"-",""),"(",""),")",""),"+",""),1)="8"),ISNUMBER(IFERROR(VALUE(SUBSTITUTE(SUBSTITUTE(SUBSTITUTE(SUBSTITUTE(SUBSTITUTE(I13," ",""),"-",""),"(",""),")",""),"+","")),"x"))),"","Телефон: неверный формат"))</f>
        <v/>
      </c>
      <c r="Q13" s="24" t="str">
        <f aca="false">TRIM(IF(TRIM(B13)="","Нет наименования. ","")&amp;IF(TRIM(F13)="","Нет адреса. ","")&amp;IF(TRIM(G13)="","Нет контактного лица.",""))</f>
        <v/>
      </c>
      <c r="R13" s="21" t="n">
        <f aca="false">SUMPRODUCT(--(LEN(K13:Q13)&gt;0))</f>
        <v>1</v>
      </c>
      <c r="S13" s="24" t="str">
        <f aca="false">IF(R13=0,"Готово к передаче","Требует исправления")</f>
        <v>Требует исправления</v>
      </c>
      <c r="T13" s="24" t="str">
        <f aca="false">IF(R13=0,"",_xlfn.TEXTJOIN("; ",TRUE(),K13:Q13))</f>
        <v>Email: неверный формат</v>
      </c>
      <c r="U13" s="24" t="str">
        <f aca="false">IF(R13=0,"","Здравствуйте! В данных организации «"&amp;B13&amp;"» обнаружены ошибки: "&amp;T13&amp;". Просим проверить и прислать исправленную информацию.")</f>
        <v>Здравствуйте! В данных организации «ООО «Эталон Технологии»» обнаружены ошибки: Email: неверный формат. Просим проверить и прислать исправленную информацию.</v>
      </c>
      <c r="V13" s="21" t="n">
        <f aca="false">IF(R13&gt;0,COUNTIF($R$2:R13,"&gt;0"),"")</f>
        <v>4</v>
      </c>
      <c r="W13" s="21" t="str">
        <f aca="false">IF(R13=0,COUNTIF($R$2:R13,0),"")</f>
        <v/>
      </c>
    </row>
    <row r="14" customFormat="false" ht="15" hidden="false" customHeight="false" outlineLevel="0" collapsed="false">
      <c r="A14" s="21" t="n">
        <v>13</v>
      </c>
      <c r="B14" s="22" t="s">
        <v>180</v>
      </c>
      <c r="C14" s="23" t="s">
        <v>181</v>
      </c>
      <c r="D14" s="23" t="s">
        <v>182</v>
      </c>
      <c r="E14" s="23" t="s">
        <v>183</v>
      </c>
      <c r="F14" s="22" t="s">
        <v>184</v>
      </c>
      <c r="G14" s="22" t="s">
        <v>185</v>
      </c>
      <c r="H14" s="22" t="s">
        <v>186</v>
      </c>
      <c r="I14" s="23" t="s">
        <v>187</v>
      </c>
      <c r="J14" s="24" t="str">
        <f aca="false">IFERROR(VLOOKUP(VALUE(LEFT(C14,2)),Справочники!$A$2:$B$16,2,FALSE()),"не определён")</f>
        <v>Новосибирская область</v>
      </c>
      <c r="K14" s="24" t="str">
        <f aca="false">IF(TRIM(C14)="","ИНН не указан",IF(LEN(C14)&lt;&gt;10,"ИНН: должно быть 10 цифр",IF(NOT(ISNUMBER(IFERROR(VALUE(C14),"x"))),"ИНН: есть нецифровые символы",IF(MOD(MOD(SUMPRODUCT(--MID(C14,{1,2,3,4,5,6,7,8,9},1),{2,4,10,3,5,9,4,6,8}),11),10)=VALUE(RIGHT(C14,1)),"","ИНН: неверная контрольная цифра"))))</f>
        <v/>
      </c>
      <c r="L14" s="24" t="str">
        <f aca="false">IF(TRIM(D14)="","ОГРН не указан",IF(LEN(D14)&lt;&gt;13,"ОГРН: должно быть 13 цифр",IF(NOT(ISNUMBER(IFERROR(VALUE(D14),"x"))),"ОГРН: есть нецифровые символы",IF(MOD(VALUE(LEFT(D14,12))-11*INT(VALUE(LEFT(D14,12))/11),10)=VALUE(RIGHT(D14,1)),"","ОГРН: неверная контрольная цифра"))))</f>
        <v/>
      </c>
      <c r="M14" s="24" t="str">
        <f aca="false">IF(TRIM(E14)="","КПП не указан",IF(LEN(E14)&lt;&gt;9,"КПП: должно быть 9 знаков",IF(NOT(AND(ISNUMBER(IFERROR(VALUE(LEFT(E14,4)),"x")),ISNUMBER(IFERROR(VALUE(RIGHT(E14,3)),"x")))),"КПП: неверный формат",IF(LEFT(E14,2)&lt;&gt;LEFT(C14,2),"КПП: код региона не совпадает с ИНН",""))))</f>
        <v>КПП: должно быть 9 знаков</v>
      </c>
      <c r="N14" s="24" t="str">
        <f aca="false">IF(TRIM(C14)="","",IF(COUNTIF($C$2:$C$401,C14)&gt;1,"Дубликат ИНН в реестре",""))</f>
        <v/>
      </c>
      <c r="O14" s="24" t="str">
        <f aca="false">IF(TRIM(H14)="","Email не указан",IF(AND(ISNUMBER(FIND("@",H14)),ISNUMBER(FIND(".",H14,IFERROR(FIND("@",H14),1))),ISERROR(FIND(" ",H14)),LEFT(H14,1)&lt;&gt;"@",RIGHT(H14,1)&lt;&gt;".",LEN(H14)-LEN(SUBSTITUTE(H14,"@",""))=1),"","Email: неверный формат"))</f>
        <v/>
      </c>
      <c r="P14" s="24" t="str">
        <f aca="false">IF(TRIM(I14)="","Телефон не указан",IF(AND(LEN(SUBSTITUTE(SUBSTITUTE(SUBSTITUTE(SUBSTITUTE(SUBSTITUTE(I14," ",""),"-",""),"(",""),")",""),"+",""))=11,OR(LEFT(SUBSTITUTE(SUBSTITUTE(SUBSTITUTE(SUBSTITUTE(SUBSTITUTE(I14," ",""),"-",""),"(",""),")",""),"+",""),1)="7",LEFT(SUBSTITUTE(SUBSTITUTE(SUBSTITUTE(SUBSTITUTE(SUBSTITUTE(I14," ",""),"-",""),"(",""),")",""),"+",""),1)="8"),ISNUMBER(IFERROR(VALUE(SUBSTITUTE(SUBSTITUTE(SUBSTITUTE(SUBSTITUTE(SUBSTITUTE(I14," ",""),"-",""),"(",""),")",""),"+","")),"x"))),"","Телефон: неверный формат"))</f>
        <v/>
      </c>
      <c r="Q14" s="24" t="str">
        <f aca="false">TRIM(IF(TRIM(B14)="","Нет наименования. ","")&amp;IF(TRIM(F14)="","Нет адреса. ","")&amp;IF(TRIM(G14)="","Нет контактного лица.",""))</f>
        <v/>
      </c>
      <c r="R14" s="21" t="n">
        <f aca="false">SUMPRODUCT(--(LEN(K14:Q14)&gt;0))</f>
        <v>1</v>
      </c>
      <c r="S14" s="24" t="str">
        <f aca="false">IF(R14=0,"Готово к передаче","Требует исправления")</f>
        <v>Требует исправления</v>
      </c>
      <c r="T14" s="24" t="str">
        <f aca="false">IF(R14=0,"",_xlfn.TEXTJOIN("; ",TRUE(),K14:Q14))</f>
        <v>КПП: должно быть 9 знаков</v>
      </c>
      <c r="U14" s="24" t="str">
        <f aca="false">IF(R14=0,"","Здравствуйте! В данных организации «"&amp;B14&amp;"» обнаружены ошибки: "&amp;T14&amp;". Просим проверить и прислать исправленную информацию.")</f>
        <v>Здравствуйте! В данных организации «ООО «Дельта Технологии»» обнаружены ошибки: КПП: должно быть 9 знаков. Просим проверить и прислать исправленную информацию.</v>
      </c>
      <c r="V14" s="21" t="n">
        <f aca="false">IF(R14&gt;0,COUNTIF($R$2:R14,"&gt;0"),"")</f>
        <v>5</v>
      </c>
      <c r="W14" s="21" t="str">
        <f aca="false">IF(R14=0,COUNTIF($R$2:R14,0),"")</f>
        <v/>
      </c>
    </row>
    <row r="15" customFormat="false" ht="15" hidden="false" customHeight="false" outlineLevel="0" collapsed="false">
      <c r="A15" s="21" t="n">
        <v>14</v>
      </c>
      <c r="B15" s="22" t="s">
        <v>188</v>
      </c>
      <c r="C15" s="23" t="s">
        <v>189</v>
      </c>
      <c r="D15" s="23" t="s">
        <v>190</v>
      </c>
      <c r="E15" s="23" t="s">
        <v>191</v>
      </c>
      <c r="F15" s="22" t="s">
        <v>192</v>
      </c>
      <c r="G15" s="22" t="s">
        <v>193</v>
      </c>
      <c r="H15" s="22" t="s">
        <v>194</v>
      </c>
      <c r="I15" s="23"/>
      <c r="J15" s="24" t="str">
        <f aca="false">IFERROR(VLOOKUP(VALUE(LEFT(C15,2)),Справочники!$A$2:$B$16,2,FALSE()),"не определён")</f>
        <v>г. Севастополь</v>
      </c>
      <c r="K15" s="24" t="str">
        <f aca="false">IF(TRIM(C15)="","ИНН не указан",IF(LEN(C15)&lt;&gt;10,"ИНН: должно быть 10 цифр",IF(NOT(ISNUMBER(IFERROR(VALUE(C15),"x"))),"ИНН: есть нецифровые символы",IF(MOD(MOD(SUMPRODUCT(--MID(C15,{1,2,3,4,5,6,7,8,9},1),{2,4,10,3,5,9,4,6,8}),11),10)=VALUE(RIGHT(C15,1)),"","ИНН: неверная контрольная цифра"))))</f>
        <v/>
      </c>
      <c r="L15" s="24" t="str">
        <f aca="false">IF(TRIM(D15)="","ОГРН не указан",IF(LEN(D15)&lt;&gt;13,"ОГРН: должно быть 13 цифр",IF(NOT(ISNUMBER(IFERROR(VALUE(D15),"x"))),"ОГРН: есть нецифровые символы",IF(MOD(VALUE(LEFT(D15,12))-11*INT(VALUE(LEFT(D15,12))/11),10)=VALUE(RIGHT(D15,1)),"","ОГРН: неверная контрольная цифра"))))</f>
        <v/>
      </c>
      <c r="M15" s="24" t="str">
        <f aca="false">IF(TRIM(E15)="","КПП не указан",IF(LEN(E15)&lt;&gt;9,"КПП: должно быть 9 знаков",IF(NOT(AND(ISNUMBER(IFERROR(VALUE(LEFT(E15,4)),"x")),ISNUMBER(IFERROR(VALUE(RIGHT(E15,3)),"x")))),"КПП: неверный формат",IF(LEFT(E15,2)&lt;&gt;LEFT(C15,2),"КПП: код региона не совпадает с ИНН",""))))</f>
        <v/>
      </c>
      <c r="N15" s="24" t="str">
        <f aca="false">IF(TRIM(C15)="","",IF(COUNTIF($C$2:$C$401,C15)&gt;1,"Дубликат ИНН в реестре",""))</f>
        <v/>
      </c>
      <c r="O15" s="24" t="str">
        <f aca="false">IF(TRIM(H15)="","Email не указан",IF(AND(ISNUMBER(FIND("@",H15)),ISNUMBER(FIND(".",H15,IFERROR(FIND("@",H15),1))),ISERROR(FIND(" ",H15)),LEFT(H15,1)&lt;&gt;"@",RIGHT(H15,1)&lt;&gt;".",LEN(H15)-LEN(SUBSTITUTE(H15,"@",""))=1),"","Email: неверный формат"))</f>
        <v/>
      </c>
      <c r="P15" s="24" t="str">
        <f aca="false">IF(TRIM(I15)="","Телефон не указан",IF(AND(LEN(SUBSTITUTE(SUBSTITUTE(SUBSTITUTE(SUBSTITUTE(SUBSTITUTE(I15," ",""),"-",""),"(",""),")",""),"+",""))=11,OR(LEFT(SUBSTITUTE(SUBSTITUTE(SUBSTITUTE(SUBSTITUTE(SUBSTITUTE(I15," ",""),"-",""),"(",""),")",""),"+",""),1)="7",LEFT(SUBSTITUTE(SUBSTITUTE(SUBSTITUTE(SUBSTITUTE(SUBSTITUTE(I15," ",""),"-",""),"(",""),")",""),"+",""),1)="8"),ISNUMBER(IFERROR(VALUE(SUBSTITUTE(SUBSTITUTE(SUBSTITUTE(SUBSTITUTE(SUBSTITUTE(I15," ",""),"-",""),"(",""),")",""),"+","")),"x"))),"","Телефон: неверный формат"))</f>
        <v>Телефон не указан</v>
      </c>
      <c r="Q15" s="24" t="str">
        <f aca="false">TRIM(IF(TRIM(B15)="","Нет наименования. ","")&amp;IF(TRIM(F15)="","Нет адреса. ","")&amp;IF(TRIM(G15)="","Нет контактного лица.",""))</f>
        <v/>
      </c>
      <c r="R15" s="21" t="n">
        <f aca="false">SUMPRODUCT(--(LEN(K15:Q15)&gt;0))</f>
        <v>1</v>
      </c>
      <c r="S15" s="24" t="str">
        <f aca="false">IF(R15=0,"Готово к передаче","Требует исправления")</f>
        <v>Требует исправления</v>
      </c>
      <c r="T15" s="24" t="str">
        <f aca="false">IF(R15=0,"",_xlfn.TEXTJOIN("; ",TRUE(),K15:Q15))</f>
        <v>Телефон не указан</v>
      </c>
      <c r="U15" s="24" t="str">
        <f aca="false">IF(R15=0,"","Здравствуйте! В данных организации «"&amp;B15&amp;"» обнаружены ошибки: "&amp;T15&amp;". Просим проверить и прислать исправленную информацию.")</f>
        <v>Здравствуйте! В данных организации «АО «Вектор Групп»» обнаружены ошибки: Телефон не указан. Просим проверить и прислать исправленную информацию.</v>
      </c>
      <c r="V15" s="21" t="n">
        <f aca="false">IF(R15&gt;0,COUNTIF($R$2:R15,"&gt;0"),"")</f>
        <v>6</v>
      </c>
      <c r="W15" s="21" t="str">
        <f aca="false">IF(R15=0,COUNTIF($R$2:R15,0),"")</f>
        <v/>
      </c>
    </row>
    <row r="16" customFormat="false" ht="15" hidden="false" customHeight="false" outlineLevel="0" collapsed="false">
      <c r="A16" s="21" t="n">
        <v>15</v>
      </c>
      <c r="B16" s="22" t="s">
        <v>195</v>
      </c>
      <c r="C16" s="23" t="s">
        <v>196</v>
      </c>
      <c r="D16" s="23" t="s">
        <v>197</v>
      </c>
      <c r="E16" s="23" t="s">
        <v>198</v>
      </c>
      <c r="F16" s="22" t="s">
        <v>199</v>
      </c>
      <c r="G16" s="22" t="s">
        <v>200</v>
      </c>
      <c r="H16" s="22" t="s">
        <v>201</v>
      </c>
      <c r="I16" s="23" t="s">
        <v>202</v>
      </c>
      <c r="J16" s="24" t="str">
        <f aca="false">IFERROR(VLOOKUP(VALUE(LEFT(C16,2)),Справочники!$A$2:$B$16,2,FALSE()),"не определён")</f>
        <v>Ростовская область</v>
      </c>
      <c r="K16" s="24" t="str">
        <f aca="false">IF(TRIM(C16)="","ИНН не указан",IF(LEN(C16)&lt;&gt;10,"ИНН: должно быть 10 цифр",IF(NOT(ISNUMBER(IFERROR(VALUE(C16),"x"))),"ИНН: есть нецифровые символы",IF(MOD(MOD(SUMPRODUCT(--MID(C16,{1,2,3,4,5,6,7,8,9},1),{2,4,10,3,5,9,4,6,8}),11),10)=VALUE(RIGHT(C16,1)),"","ИНН: неверная контрольная цифра"))))</f>
        <v>ИНН: неверная контрольная цифра</v>
      </c>
      <c r="L16" s="24" t="str">
        <f aca="false">IF(TRIM(D16)="","ОГРН не указан",IF(LEN(D16)&lt;&gt;13,"ОГРН: должно быть 13 цифр",IF(NOT(ISNUMBER(IFERROR(VALUE(D16),"x"))),"ОГРН: есть нецифровые символы",IF(MOD(VALUE(LEFT(D16,12))-11*INT(VALUE(LEFT(D16,12))/11),10)=VALUE(RIGHT(D16,1)),"","ОГРН: неверная контрольная цифра"))))</f>
        <v/>
      </c>
      <c r="M16" s="24" t="str">
        <f aca="false">IF(TRIM(E16)="","КПП не указан",IF(LEN(E16)&lt;&gt;9,"КПП: должно быть 9 знаков",IF(NOT(AND(ISNUMBER(IFERROR(VALUE(LEFT(E16,4)),"x")),ISNUMBER(IFERROR(VALUE(RIGHT(E16,3)),"x")))),"КПП: неверный формат",IF(LEFT(E16,2)&lt;&gt;LEFT(C16,2),"КПП: код региона не совпадает с ИНН",""))))</f>
        <v/>
      </c>
      <c r="N16" s="24" t="str">
        <f aca="false">IF(TRIM(C16)="","",IF(COUNTIF($C$2:$C$401,C16)&gt;1,"Дубликат ИНН в реестре",""))</f>
        <v/>
      </c>
      <c r="O16" s="24" t="str">
        <f aca="false">IF(TRIM(H16)="","Email не указан",IF(AND(ISNUMBER(FIND("@",H16)),ISNUMBER(FIND(".",H16,IFERROR(FIND("@",H16),1))),ISERROR(FIND(" ",H16)),LEFT(H16,1)&lt;&gt;"@",RIGHT(H16,1)&lt;&gt;".",LEN(H16)-LEN(SUBSTITUTE(H16,"@",""))=1),"","Email: неверный формат"))</f>
        <v/>
      </c>
      <c r="P16" s="24" t="str">
        <f aca="false">IF(TRIM(I16)="","Телефон не указан",IF(AND(LEN(SUBSTITUTE(SUBSTITUTE(SUBSTITUTE(SUBSTITUTE(SUBSTITUTE(I16," ",""),"-",""),"(",""),")",""),"+",""))=11,OR(LEFT(SUBSTITUTE(SUBSTITUTE(SUBSTITUTE(SUBSTITUTE(SUBSTITUTE(I16," ",""),"-",""),"(",""),")",""),"+",""),1)="7",LEFT(SUBSTITUTE(SUBSTITUTE(SUBSTITUTE(SUBSTITUTE(SUBSTITUTE(I16," ",""),"-",""),"(",""),")",""),"+",""),1)="8"),ISNUMBER(IFERROR(VALUE(SUBSTITUTE(SUBSTITUTE(SUBSTITUTE(SUBSTITUTE(SUBSTITUTE(I16," ",""),"-",""),"(",""),")",""),"+","")),"x"))),"","Телефон: неверный формат"))</f>
        <v/>
      </c>
      <c r="Q16" s="24" t="str">
        <f aca="false">TRIM(IF(TRIM(B16)="","Нет наименования. ","")&amp;IF(TRIM(F16)="","Нет адреса. ","")&amp;IF(TRIM(G16)="","Нет контактного лица.",""))</f>
        <v/>
      </c>
      <c r="R16" s="21" t="n">
        <f aca="false">SUMPRODUCT(--(LEN(K16:Q16)&gt;0))</f>
        <v>1</v>
      </c>
      <c r="S16" s="24" t="str">
        <f aca="false">IF(R16=0,"Готово к передаче","Требует исправления")</f>
        <v>Требует исправления</v>
      </c>
      <c r="T16" s="24" t="str">
        <f aca="false">IF(R16=0,"",_xlfn.TEXTJOIN("; ",TRUE(),K16:Q16))</f>
        <v>ИНН: неверная контрольная цифра</v>
      </c>
      <c r="U16" s="24" t="str">
        <f aca="false">IF(R16=0,"","Здравствуйте! В данных организации «"&amp;B16&amp;"» обнаружены ошибки: "&amp;T16&amp;". Просим проверить и прислать исправленную информацию.")</f>
        <v>Здравствуйте! В данных организации «ООО «Эталон Энерго»» обнаружены ошибки: ИНН: неверная контрольная цифра. Просим проверить и прислать исправленную информацию.</v>
      </c>
      <c r="V16" s="21" t="n">
        <f aca="false">IF(R16&gt;0,COUNTIF($R$2:R16,"&gt;0"),"")</f>
        <v>7</v>
      </c>
      <c r="W16" s="21" t="str">
        <f aca="false">IF(R16=0,COUNTIF($R$2:R16,0),"")</f>
        <v/>
      </c>
    </row>
    <row r="17" customFormat="false" ht="15" hidden="false" customHeight="false" outlineLevel="0" collapsed="false">
      <c r="A17" s="21" t="n">
        <v>16</v>
      </c>
      <c r="B17" s="22" t="s">
        <v>203</v>
      </c>
      <c r="C17" s="23" t="s">
        <v>204</v>
      </c>
      <c r="D17" s="23" t="s">
        <v>205</v>
      </c>
      <c r="E17" s="23" t="s">
        <v>206</v>
      </c>
      <c r="F17" s="22" t="s">
        <v>207</v>
      </c>
      <c r="G17" s="22" t="s">
        <v>208</v>
      </c>
      <c r="H17" s="22" t="s">
        <v>209</v>
      </c>
      <c r="I17" s="23" t="s">
        <v>210</v>
      </c>
      <c r="J17" s="24" t="str">
        <f aca="false">IFERROR(VLOOKUP(VALUE(LEFT(C17,2)),Справочники!$A$2:$B$16,2,FALSE()),"не определён")</f>
        <v>Республика Татарстан</v>
      </c>
      <c r="K17" s="24" t="str">
        <f aca="false">IF(TRIM(C17)="","ИНН не указан",IF(LEN(C17)&lt;&gt;10,"ИНН: должно быть 10 цифр",IF(NOT(ISNUMBER(IFERROR(VALUE(C17),"x"))),"ИНН: есть нецифровые символы",IF(MOD(MOD(SUMPRODUCT(--MID(C17,{1,2,3,4,5,6,7,8,9},1),{2,4,10,3,5,9,4,6,8}),11),10)=VALUE(RIGHT(C17,1)),"","ИНН: неверная контрольная цифра"))))</f>
        <v/>
      </c>
      <c r="L17" s="24" t="str">
        <f aca="false">IF(TRIM(D17)="","ОГРН не указан",IF(LEN(D17)&lt;&gt;13,"ОГРН: должно быть 13 цифр",IF(NOT(ISNUMBER(IFERROR(VALUE(D17),"x"))),"ОГРН: есть нецифровые символы",IF(MOD(VALUE(LEFT(D17,12))-11*INT(VALUE(LEFT(D17,12))/11),10)=VALUE(RIGHT(D17,1)),"","ОГРН: неверная контрольная цифра"))))</f>
        <v/>
      </c>
      <c r="M17" s="24" t="str">
        <f aca="false">IF(TRIM(E17)="","КПП не указан",IF(LEN(E17)&lt;&gt;9,"КПП: должно быть 9 знаков",IF(NOT(AND(ISNUMBER(IFERROR(VALUE(LEFT(E17,4)),"x")),ISNUMBER(IFERROR(VALUE(RIGHT(E17,3)),"x")))),"КПП: неверный формат",IF(LEFT(E17,2)&lt;&gt;LEFT(C17,2),"КПП: код региона не совпадает с ИНН",""))))</f>
        <v/>
      </c>
      <c r="N17" s="24" t="str">
        <f aca="false">IF(TRIM(C17)="","",IF(COUNTIF($C$2:$C$401,C17)&gt;1,"Дубликат ИНН в реестре",""))</f>
        <v/>
      </c>
      <c r="O17" s="24" t="str">
        <f aca="false">IF(TRIM(H17)="","Email не указан",IF(AND(ISNUMBER(FIND("@",H17)),ISNUMBER(FIND(".",H17,IFERROR(FIND("@",H17),1))),ISERROR(FIND(" ",H17)),LEFT(H17,1)&lt;&gt;"@",RIGHT(H17,1)&lt;&gt;".",LEN(H17)-LEN(SUBSTITUTE(H17,"@",""))=1),"","Email: неверный формат"))</f>
        <v/>
      </c>
      <c r="P17" s="24" t="str">
        <f aca="false">IF(TRIM(I17)="","Телефон не указан",IF(AND(LEN(SUBSTITUTE(SUBSTITUTE(SUBSTITUTE(SUBSTITUTE(SUBSTITUTE(I17," ",""),"-",""),"(",""),")",""),"+",""))=11,OR(LEFT(SUBSTITUTE(SUBSTITUTE(SUBSTITUTE(SUBSTITUTE(SUBSTITUTE(I17," ",""),"-",""),"(",""),")",""),"+",""),1)="7",LEFT(SUBSTITUTE(SUBSTITUTE(SUBSTITUTE(SUBSTITUTE(SUBSTITUTE(I17," ",""),"-",""),"(",""),")",""),"+",""),1)="8"),ISNUMBER(IFERROR(VALUE(SUBSTITUTE(SUBSTITUTE(SUBSTITUTE(SUBSTITUTE(SUBSTITUTE(I17," ",""),"-",""),"(",""),")",""),"+","")),"x"))),"","Телефон: неверный формат"))</f>
        <v/>
      </c>
      <c r="Q17" s="24" t="str">
        <f aca="false">TRIM(IF(TRIM(B17)="","Нет наименования. ","")&amp;IF(TRIM(F17)="","Нет адреса. ","")&amp;IF(TRIM(G17)="","Нет контактного лица.",""))</f>
        <v/>
      </c>
      <c r="R17" s="21" t="n">
        <f aca="false">SUMPRODUCT(--(LEN(K17:Q17)&gt;0))</f>
        <v>0</v>
      </c>
      <c r="S17" s="24" t="str">
        <f aca="false">IF(R17=0,"Готово к передаче","Требует исправления")</f>
        <v>Готово к передаче</v>
      </c>
      <c r="T17" s="24" t="str">
        <f aca="false">IF(R17=0,"",_xlfn.TEXTJOIN("; ",TRUE(),K17:Q17))</f>
        <v/>
      </c>
      <c r="U17" s="24" t="str">
        <f aca="false">IF(R17=0,"","Здравствуйте! В данных организации «"&amp;B17&amp;"» обнаружены ошибки: "&amp;T17&amp;". Просим проверить и прислать исправленную информацию.")</f>
        <v/>
      </c>
      <c r="V17" s="21" t="str">
        <f aca="false">IF(R17&gt;0,COUNTIF($R$2:R17,"&gt;0"),"")</f>
        <v/>
      </c>
      <c r="W17" s="21" t="n">
        <f aca="false">IF(R17=0,COUNTIF($R$2:R17,0),"")</f>
        <v>9</v>
      </c>
    </row>
    <row r="18" customFormat="false" ht="15" hidden="false" customHeight="false" outlineLevel="0" collapsed="false">
      <c r="A18" s="21" t="n">
        <v>17</v>
      </c>
      <c r="B18" s="22" t="s">
        <v>211</v>
      </c>
      <c r="C18" s="23" t="s">
        <v>212</v>
      </c>
      <c r="D18" s="23" t="s">
        <v>213</v>
      </c>
      <c r="E18" s="23" t="s">
        <v>214</v>
      </c>
      <c r="F18" s="22" t="s">
        <v>215</v>
      </c>
      <c r="G18" s="22" t="s">
        <v>216</v>
      </c>
      <c r="H18" s="22" t="s">
        <v>217</v>
      </c>
      <c r="I18" s="23" t="s">
        <v>218</v>
      </c>
      <c r="J18" s="24" t="str">
        <f aca="false">IFERROR(VLOOKUP(VALUE(LEFT(C18,2)),Справочники!$A$2:$B$16,2,FALSE()),"не определён")</f>
        <v>г. Санкт-Петербург</v>
      </c>
      <c r="K18" s="24" t="str">
        <f aca="false">IF(TRIM(C18)="","ИНН не указан",IF(LEN(C18)&lt;&gt;10,"ИНН: должно быть 10 цифр",IF(NOT(ISNUMBER(IFERROR(VALUE(C18),"x"))),"ИНН: есть нецифровые символы",IF(MOD(MOD(SUMPRODUCT(--MID(C18,{1,2,3,4,5,6,7,8,9},1),{2,4,10,3,5,9,4,6,8}),11),10)=VALUE(RIGHT(C18,1)),"","ИНН: неверная контрольная цифра"))))</f>
        <v>ИНН: есть нецифровые символы</v>
      </c>
      <c r="L18" s="24" t="str">
        <f aca="false">IF(TRIM(D18)="","ОГРН не указан",IF(LEN(D18)&lt;&gt;13,"ОГРН: должно быть 13 цифр",IF(NOT(ISNUMBER(IFERROR(VALUE(D18),"x"))),"ОГРН: есть нецифровые символы",IF(MOD(VALUE(LEFT(D18,12))-11*INT(VALUE(LEFT(D18,12))/11),10)=VALUE(RIGHT(D18,1)),"","ОГРН: неверная контрольная цифра"))))</f>
        <v/>
      </c>
      <c r="M18" s="24" t="str">
        <f aca="false">IF(TRIM(E18)="","КПП не указан",IF(LEN(E18)&lt;&gt;9,"КПП: должно быть 9 знаков",IF(NOT(AND(ISNUMBER(IFERROR(VALUE(LEFT(E18,4)),"x")),ISNUMBER(IFERROR(VALUE(RIGHT(E18,3)),"x")))),"КПП: неверный формат",IF(LEFT(E18,2)&lt;&gt;LEFT(C18,2),"КПП: код региона не совпадает с ИНН",""))))</f>
        <v/>
      </c>
      <c r="N18" s="24" t="str">
        <f aca="false">IF(TRIM(C18)="","",IF(COUNTIF($C$2:$C$401,C18)&gt;1,"Дубликат ИНН в реестре",""))</f>
        <v/>
      </c>
      <c r="O18" s="24" t="str">
        <f aca="false">IF(TRIM(H18)="","Email не указан",IF(AND(ISNUMBER(FIND("@",H18)),ISNUMBER(FIND(".",H18,IFERROR(FIND("@",H18),1))),ISERROR(FIND(" ",H18)),LEFT(H18,1)&lt;&gt;"@",RIGHT(H18,1)&lt;&gt;".",LEN(H18)-LEN(SUBSTITUTE(H18,"@",""))=1),"","Email: неверный формат"))</f>
        <v/>
      </c>
      <c r="P18" s="24" t="str">
        <f aca="false">IF(TRIM(I18)="","Телефон не указан",IF(AND(LEN(SUBSTITUTE(SUBSTITUTE(SUBSTITUTE(SUBSTITUTE(SUBSTITUTE(I18," ",""),"-",""),"(",""),")",""),"+",""))=11,OR(LEFT(SUBSTITUTE(SUBSTITUTE(SUBSTITUTE(SUBSTITUTE(SUBSTITUTE(I18," ",""),"-",""),"(",""),")",""),"+",""),1)="7",LEFT(SUBSTITUTE(SUBSTITUTE(SUBSTITUTE(SUBSTITUTE(SUBSTITUTE(I18," ",""),"-",""),"(",""),")",""),"+",""),1)="8"),ISNUMBER(IFERROR(VALUE(SUBSTITUTE(SUBSTITUTE(SUBSTITUTE(SUBSTITUTE(SUBSTITUTE(I18," ",""),"-",""),"(",""),")",""),"+","")),"x"))),"","Телефон: неверный формат"))</f>
        <v/>
      </c>
      <c r="Q18" s="24" t="str">
        <f aca="false">TRIM(IF(TRIM(B18)="","Нет наименования. ","")&amp;IF(TRIM(F18)="","Нет адреса. ","")&amp;IF(TRIM(G18)="","Нет контактного лица.",""))</f>
        <v/>
      </c>
      <c r="R18" s="21" t="n">
        <f aca="false">SUMPRODUCT(--(LEN(K18:Q18)&gt;0))</f>
        <v>1</v>
      </c>
      <c r="S18" s="24" t="str">
        <f aca="false">IF(R18=0,"Готово к передаче","Требует исправления")</f>
        <v>Требует исправления</v>
      </c>
      <c r="T18" s="24" t="str">
        <f aca="false">IF(R18=0,"",_xlfn.TEXTJOIN("; ",TRUE(),K18:Q18))</f>
        <v>ИНН: есть нецифровые символы</v>
      </c>
      <c r="U18" s="24" t="str">
        <f aca="false">IF(R18=0,"","Здравствуйте! В данных организации «"&amp;B18&amp;"» обнаружены ошибки: "&amp;T18&amp;". Просим проверить и прислать исправленную информацию.")</f>
        <v>Здравствуйте! В данных организации «ООО «Импульс Фуд»» обнаружены ошибки: ИНН: есть нецифровые символы. Просим проверить и прислать исправленную информацию.</v>
      </c>
      <c r="V18" s="21" t="n">
        <f aca="false">IF(R18&gt;0,COUNTIF($R$2:R18,"&gt;0"),"")</f>
        <v>8</v>
      </c>
      <c r="W18" s="21" t="str">
        <f aca="false">IF(R18=0,COUNTIF($R$2:R18,0),"")</f>
        <v/>
      </c>
    </row>
    <row r="19" customFormat="false" ht="15" hidden="false" customHeight="false" outlineLevel="0" collapsed="false">
      <c r="A19" s="21" t="n">
        <v>18</v>
      </c>
      <c r="B19" s="22" t="s">
        <v>219</v>
      </c>
      <c r="C19" s="23" t="s">
        <v>220</v>
      </c>
      <c r="D19" s="23" t="s">
        <v>221</v>
      </c>
      <c r="E19" s="23" t="s">
        <v>222</v>
      </c>
      <c r="F19" s="22" t="s">
        <v>223</v>
      </c>
      <c r="G19" s="22" t="s">
        <v>224</v>
      </c>
      <c r="H19" s="22" t="s">
        <v>225</v>
      </c>
      <c r="I19" s="23" t="s">
        <v>226</v>
      </c>
      <c r="J19" s="24" t="str">
        <f aca="false">IFERROR(VLOOKUP(VALUE(LEFT(C19,2)),Справочники!$A$2:$B$16,2,FALSE()),"не определён")</f>
        <v>Свердловская область</v>
      </c>
      <c r="K19" s="24" t="str">
        <f aca="false">IF(TRIM(C19)="","ИНН не указан",IF(LEN(C19)&lt;&gt;10,"ИНН: должно быть 10 цифр",IF(NOT(ISNUMBER(IFERROR(VALUE(C19),"x"))),"ИНН: есть нецифровые символы",IF(MOD(MOD(SUMPRODUCT(--MID(C19,{1,2,3,4,5,6,7,8,9},1),{2,4,10,3,5,9,4,6,8}),11),10)=VALUE(RIGHT(C19,1)),"","ИНН: неверная контрольная цифра"))))</f>
        <v/>
      </c>
      <c r="L19" s="24" t="str">
        <f aca="false">IF(TRIM(D19)="","ОГРН не указан",IF(LEN(D19)&lt;&gt;13,"ОГРН: должно быть 13 цифр",IF(NOT(ISNUMBER(IFERROR(VALUE(D19),"x"))),"ОГРН: есть нецифровые символы",IF(MOD(VALUE(LEFT(D19,12))-11*INT(VALUE(LEFT(D19,12))/11),10)=VALUE(RIGHT(D19,1)),"","ОГРН: неверная контрольная цифра"))))</f>
        <v>ОГРН: должно быть 13 цифр</v>
      </c>
      <c r="M19" s="24" t="str">
        <f aca="false">IF(TRIM(E19)="","КПП не указан",IF(LEN(E19)&lt;&gt;9,"КПП: должно быть 9 знаков",IF(NOT(AND(ISNUMBER(IFERROR(VALUE(LEFT(E19,4)),"x")),ISNUMBER(IFERROR(VALUE(RIGHT(E19,3)),"x")))),"КПП: неверный формат",IF(LEFT(E19,2)&lt;&gt;LEFT(C19,2),"КПП: код региона не совпадает с ИНН",""))))</f>
        <v/>
      </c>
      <c r="N19" s="24" t="str">
        <f aca="false">IF(TRIM(C19)="","",IF(COUNTIF($C$2:$C$401,C19)&gt;1,"Дубликат ИНН в реестре",""))</f>
        <v/>
      </c>
      <c r="O19" s="24" t="str">
        <f aca="false">IF(TRIM(H19)="","Email не указан",IF(AND(ISNUMBER(FIND("@",H19)),ISNUMBER(FIND(".",H19,IFERROR(FIND("@",H19),1))),ISERROR(FIND(" ",H19)),LEFT(H19,1)&lt;&gt;"@",RIGHT(H19,1)&lt;&gt;".",LEN(H19)-LEN(SUBSTITUTE(H19,"@",""))=1),"","Email: неверный формат"))</f>
        <v/>
      </c>
      <c r="P19" s="24" t="str">
        <f aca="false">IF(TRIM(I19)="","Телефон не указан",IF(AND(LEN(SUBSTITUTE(SUBSTITUTE(SUBSTITUTE(SUBSTITUTE(SUBSTITUTE(I19," ",""),"-",""),"(",""),")",""),"+",""))=11,OR(LEFT(SUBSTITUTE(SUBSTITUTE(SUBSTITUTE(SUBSTITUTE(SUBSTITUTE(I19," ",""),"-",""),"(",""),")",""),"+",""),1)="7",LEFT(SUBSTITUTE(SUBSTITUTE(SUBSTITUTE(SUBSTITUTE(SUBSTITUTE(I19," ",""),"-",""),"(",""),")",""),"+",""),1)="8"),ISNUMBER(IFERROR(VALUE(SUBSTITUTE(SUBSTITUTE(SUBSTITUTE(SUBSTITUTE(SUBSTITUTE(I19," ",""),"-",""),"(",""),")",""),"+","")),"x"))),"","Телефон: неверный формат"))</f>
        <v/>
      </c>
      <c r="Q19" s="24" t="str">
        <f aca="false">TRIM(IF(TRIM(B19)="","Нет наименования. ","")&amp;IF(TRIM(F19)="","Нет адреса. ","")&amp;IF(TRIM(G19)="","Нет контактного лица.",""))</f>
        <v/>
      </c>
      <c r="R19" s="21" t="n">
        <f aca="false">SUMPRODUCT(--(LEN(K19:Q19)&gt;0))</f>
        <v>1</v>
      </c>
      <c r="S19" s="24" t="str">
        <f aca="false">IF(R19=0,"Готово к передаче","Требует исправления")</f>
        <v>Требует исправления</v>
      </c>
      <c r="T19" s="24" t="str">
        <f aca="false">IF(R19=0,"",_xlfn.TEXTJOIN("; ",TRUE(),K19:Q19))</f>
        <v>ОГРН: должно быть 13 цифр</v>
      </c>
      <c r="U19" s="24" t="str">
        <f aca="false">IF(R19=0,"","Здравствуйте! В данных организации «"&amp;B19&amp;"» обнаружены ошибки: "&amp;T19&amp;". Просим проверить и прислать исправленную информацию.")</f>
        <v>Здравствуйте! В данных организации «АО «Горизонт Агро»» обнаружены ошибки: ОГРН: должно быть 13 цифр. Просим проверить и прислать исправленную информацию.</v>
      </c>
      <c r="V19" s="21" t="n">
        <f aca="false">IF(R19&gt;0,COUNTIF($R$2:R19,"&gt;0"),"")</f>
        <v>9</v>
      </c>
      <c r="W19" s="21" t="str">
        <f aca="false">IF(R19=0,COUNTIF($R$2:R19,0),"")</f>
        <v/>
      </c>
    </row>
    <row r="20" customFormat="false" ht="15" hidden="false" customHeight="false" outlineLevel="0" collapsed="false">
      <c r="A20" s="21" t="n">
        <v>19</v>
      </c>
      <c r="B20" s="22" t="s">
        <v>227</v>
      </c>
      <c r="C20" s="23" t="s">
        <v>228</v>
      </c>
      <c r="D20" s="23" t="s">
        <v>229</v>
      </c>
      <c r="E20" s="23" t="s">
        <v>230</v>
      </c>
      <c r="F20" s="22" t="s">
        <v>231</v>
      </c>
      <c r="G20" s="22" t="s">
        <v>232</v>
      </c>
      <c r="H20" s="22" t="s">
        <v>233</v>
      </c>
      <c r="I20" s="23" t="s">
        <v>234</v>
      </c>
      <c r="J20" s="24" t="str">
        <f aca="false">IFERROR(VLOOKUP(VALUE(LEFT(C20,2)),Справочники!$A$2:$B$16,2,FALSE()),"не определён")</f>
        <v>Ростовская область</v>
      </c>
      <c r="K20" s="24" t="str">
        <f aca="false">IF(TRIM(C20)="","ИНН не указан",IF(LEN(C20)&lt;&gt;10,"ИНН: должно быть 10 цифр",IF(NOT(ISNUMBER(IFERROR(VALUE(C20),"x"))),"ИНН: есть нецифровые символы",IF(MOD(MOD(SUMPRODUCT(--MID(C20,{1,2,3,4,5,6,7,8,9},1),{2,4,10,3,5,9,4,6,8}),11),10)=VALUE(RIGHT(C20,1)),"","ИНН: неверная контрольная цифра"))))</f>
        <v>ИНН: неверная контрольная цифра</v>
      </c>
      <c r="L20" s="24" t="str">
        <f aca="false">IF(TRIM(D20)="","ОГРН не указан",IF(LEN(D20)&lt;&gt;13,"ОГРН: должно быть 13 цифр",IF(NOT(ISNUMBER(IFERROR(VALUE(D20),"x"))),"ОГРН: есть нецифровые символы",IF(MOD(VALUE(LEFT(D20,12))-11*INT(VALUE(LEFT(D20,12))/11),10)=VALUE(RIGHT(D20,1)),"","ОГРН: неверная контрольная цифра"))))</f>
        <v/>
      </c>
      <c r="M20" s="24" t="str">
        <f aca="false">IF(TRIM(E20)="","КПП не указан",IF(LEN(E20)&lt;&gt;9,"КПП: должно быть 9 знаков",IF(NOT(AND(ISNUMBER(IFERROR(VALUE(LEFT(E20,4)),"x")),ISNUMBER(IFERROR(VALUE(RIGHT(E20,3)),"x")))),"КПП: неверный формат",IF(LEFT(E20,2)&lt;&gt;LEFT(C20,2),"КПП: код региона не совпадает с ИНН",""))))</f>
        <v/>
      </c>
      <c r="N20" s="24" t="str">
        <f aca="false">IF(TRIM(C20)="","",IF(COUNTIF($C$2:$C$401,C20)&gt;1,"Дубликат ИНН в реестре",""))</f>
        <v/>
      </c>
      <c r="O20" s="24" t="str">
        <f aca="false">IF(TRIM(H20)="","Email не указан",IF(AND(ISNUMBER(FIND("@",H20)),ISNUMBER(FIND(".",H20,IFERROR(FIND("@",H20),1))),ISERROR(FIND(" ",H20)),LEFT(H20,1)&lt;&gt;"@",RIGHT(H20,1)&lt;&gt;".",LEN(H20)-LEN(SUBSTITUTE(H20,"@",""))=1),"","Email: неверный формат"))</f>
        <v/>
      </c>
      <c r="P20" s="24" t="str">
        <f aca="false">IF(TRIM(I20)="","Телефон не указан",IF(AND(LEN(SUBSTITUTE(SUBSTITUTE(SUBSTITUTE(SUBSTITUTE(SUBSTITUTE(I20," ",""),"-",""),"(",""),")",""),"+",""))=11,OR(LEFT(SUBSTITUTE(SUBSTITUTE(SUBSTITUTE(SUBSTITUTE(SUBSTITUTE(I20," ",""),"-",""),"(",""),")",""),"+",""),1)="7",LEFT(SUBSTITUTE(SUBSTITUTE(SUBSTITUTE(SUBSTITUTE(SUBSTITUTE(I20," ",""),"-",""),"(",""),")",""),"+",""),1)="8"),ISNUMBER(IFERROR(VALUE(SUBSTITUTE(SUBSTITUTE(SUBSTITUTE(SUBSTITUTE(SUBSTITUTE(I20," ",""),"-",""),"(",""),")",""),"+","")),"x"))),"","Телефон: неверный формат"))</f>
        <v/>
      </c>
      <c r="Q20" s="24" t="str">
        <f aca="false">TRIM(IF(TRIM(B20)="","Нет наименования. ","")&amp;IF(TRIM(F20)="","Нет адреса. ","")&amp;IF(TRIM(G20)="","Нет контактного лица.",""))</f>
        <v/>
      </c>
      <c r="R20" s="21" t="n">
        <f aca="false">SUMPRODUCT(--(LEN(K20:Q20)&gt;0))</f>
        <v>1</v>
      </c>
      <c r="S20" s="24" t="str">
        <f aca="false">IF(R20=0,"Готово к передаче","Требует исправления")</f>
        <v>Требует исправления</v>
      </c>
      <c r="T20" s="24" t="str">
        <f aca="false">IF(R20=0,"",_xlfn.TEXTJOIN("; ",TRUE(),K20:Q20))</f>
        <v>ИНН: неверная контрольная цифра</v>
      </c>
      <c r="U20" s="24" t="str">
        <f aca="false">IF(R20=0,"","Здравствуйте! В данных организации «"&amp;B20&amp;"» обнаружены ошибки: "&amp;T20&amp;". Просим проверить и прислать исправленную информацию.")</f>
        <v>Здравствуйте! В данных организации «ООО «Эталон Торг»» обнаружены ошибки: ИНН: неверная контрольная цифра. Просим проверить и прислать исправленную информацию.</v>
      </c>
      <c r="V20" s="21" t="n">
        <f aca="false">IF(R20&gt;0,COUNTIF($R$2:R20,"&gt;0"),"")</f>
        <v>10</v>
      </c>
      <c r="W20" s="21" t="str">
        <f aca="false">IF(R20=0,COUNTIF($R$2:R20,0),"")</f>
        <v/>
      </c>
    </row>
    <row r="21" customFormat="false" ht="15" hidden="false" customHeight="false" outlineLevel="0" collapsed="false">
      <c r="A21" s="21" t="n">
        <v>20</v>
      </c>
      <c r="B21" s="22" t="s">
        <v>235</v>
      </c>
      <c r="C21" s="23" t="s">
        <v>236</v>
      </c>
      <c r="D21" s="23" t="s">
        <v>237</v>
      </c>
      <c r="E21" s="23" t="s">
        <v>238</v>
      </c>
      <c r="F21" s="22" t="s">
        <v>239</v>
      </c>
      <c r="G21" s="22" t="s">
        <v>240</v>
      </c>
      <c r="H21" s="22" t="s">
        <v>241</v>
      </c>
      <c r="I21" s="23" t="s">
        <v>242</v>
      </c>
      <c r="J21" s="24" t="str">
        <f aca="false">IFERROR(VLOOKUP(VALUE(LEFT(C21,2)),Справочники!$A$2:$B$16,2,FALSE()),"не определён")</f>
        <v>Московская область</v>
      </c>
      <c r="K21" s="24" t="str">
        <f aca="false">IF(TRIM(C21)="","ИНН не указан",IF(LEN(C21)&lt;&gt;10,"ИНН: должно быть 10 цифр",IF(NOT(ISNUMBER(IFERROR(VALUE(C21),"x"))),"ИНН: есть нецифровые символы",IF(MOD(MOD(SUMPRODUCT(--MID(C21,{1,2,3,4,5,6,7,8,9},1),{2,4,10,3,5,9,4,6,8}),11),10)=VALUE(RIGHT(C21,1)),"","ИНН: неверная контрольная цифра"))))</f>
        <v/>
      </c>
      <c r="L21" s="24" t="str">
        <f aca="false">IF(TRIM(D21)="","ОГРН не указан",IF(LEN(D21)&lt;&gt;13,"ОГРН: должно быть 13 цифр",IF(NOT(ISNUMBER(IFERROR(VALUE(D21),"x"))),"ОГРН: есть нецифровые символы",IF(MOD(VALUE(LEFT(D21,12))-11*INT(VALUE(LEFT(D21,12))/11),10)=VALUE(RIGHT(D21,1)),"","ОГРН: неверная контрольная цифра"))))</f>
        <v/>
      </c>
      <c r="M21" s="24" t="str">
        <f aca="false">IF(TRIM(E21)="","КПП не указан",IF(LEN(E21)&lt;&gt;9,"КПП: должно быть 9 знаков",IF(NOT(AND(ISNUMBER(IFERROR(VALUE(LEFT(E21,4)),"x")),ISNUMBER(IFERROR(VALUE(RIGHT(E21,3)),"x")))),"КПП: неверный формат",IF(LEFT(E21,2)&lt;&gt;LEFT(C21,2),"КПП: код региона не совпадает с ИНН",""))))</f>
        <v/>
      </c>
      <c r="N21" s="24" t="str">
        <f aca="false">IF(TRIM(C21)="","",IF(COUNTIF($C$2:$C$401,C21)&gt;1,"Дубликат ИНН в реестре",""))</f>
        <v/>
      </c>
      <c r="O21" s="24" t="str">
        <f aca="false">IF(TRIM(H21)="","Email не указан",IF(AND(ISNUMBER(FIND("@",H21)),ISNUMBER(FIND(".",H21,IFERROR(FIND("@",H21),1))),ISERROR(FIND(" ",H21)),LEFT(H21,1)&lt;&gt;"@",RIGHT(H21,1)&lt;&gt;".",LEN(H21)-LEN(SUBSTITUTE(H21,"@",""))=1),"","Email: неверный формат"))</f>
        <v/>
      </c>
      <c r="P21" s="24" t="str">
        <f aca="false">IF(TRIM(I21)="","Телефон не указан",IF(AND(LEN(SUBSTITUTE(SUBSTITUTE(SUBSTITUTE(SUBSTITUTE(SUBSTITUTE(I21," ",""),"-",""),"(",""),")",""),"+",""))=11,OR(LEFT(SUBSTITUTE(SUBSTITUTE(SUBSTITUTE(SUBSTITUTE(SUBSTITUTE(I21," ",""),"-",""),"(",""),")",""),"+",""),1)="7",LEFT(SUBSTITUTE(SUBSTITUTE(SUBSTITUTE(SUBSTITUTE(SUBSTITUTE(I21," ",""),"-",""),"(",""),")",""),"+",""),1)="8"),ISNUMBER(IFERROR(VALUE(SUBSTITUTE(SUBSTITUTE(SUBSTITUTE(SUBSTITUTE(SUBSTITUTE(I21," ",""),"-",""),"(",""),")",""),"+","")),"x"))),"","Телефон: неверный формат"))</f>
        <v/>
      </c>
      <c r="Q21" s="24" t="str">
        <f aca="false">TRIM(IF(TRIM(B21)="","Нет наименования. ","")&amp;IF(TRIM(F21)="","Нет адреса. ","")&amp;IF(TRIM(G21)="","Нет контактного лица.",""))</f>
        <v/>
      </c>
      <c r="R21" s="21" t="n">
        <f aca="false">SUMPRODUCT(--(LEN(K21:Q21)&gt;0))</f>
        <v>0</v>
      </c>
      <c r="S21" s="24" t="str">
        <f aca="false">IF(R21=0,"Готово к передаче","Требует исправления")</f>
        <v>Готово к передаче</v>
      </c>
      <c r="T21" s="24" t="str">
        <f aca="false">IF(R21=0,"",_xlfn.TEXTJOIN("; ",TRUE(),K21:Q21))</f>
        <v/>
      </c>
      <c r="U21" s="24" t="str">
        <f aca="false">IF(R21=0,"","Здравствуйте! В данных организации «"&amp;B21&amp;"» обнаружены ошибки: "&amp;T21&amp;". Просим проверить и прислать исправленную информацию.")</f>
        <v/>
      </c>
      <c r="V21" s="21" t="str">
        <f aca="false">IF(R21&gt;0,COUNTIF($R$2:R21,"&gt;0"),"")</f>
        <v/>
      </c>
      <c r="W21" s="21" t="n">
        <f aca="false">IF(R21=0,COUNTIF($R$2:R21,0),"")</f>
        <v>10</v>
      </c>
    </row>
    <row r="22" customFormat="false" ht="15" hidden="false" customHeight="false" outlineLevel="0" collapsed="false">
      <c r="A22" s="21" t="n">
        <v>21</v>
      </c>
      <c r="B22" s="22" t="s">
        <v>243</v>
      </c>
      <c r="C22" s="23" t="s">
        <v>244</v>
      </c>
      <c r="D22" s="23" t="s">
        <v>245</v>
      </c>
      <c r="E22" s="23" t="s">
        <v>246</v>
      </c>
      <c r="F22" s="22" t="s">
        <v>247</v>
      </c>
      <c r="G22" s="22" t="s">
        <v>248</v>
      </c>
      <c r="H22" s="22" t="s">
        <v>249</v>
      </c>
      <c r="I22" s="23" t="s">
        <v>250</v>
      </c>
      <c r="J22" s="24" t="str">
        <f aca="false">IFERROR(VLOOKUP(VALUE(LEFT(C22,2)),Справочники!$A$2:$B$16,2,FALSE()),"не определён")</f>
        <v>г. Москва</v>
      </c>
      <c r="K22" s="24" t="str">
        <f aca="false">IF(TRIM(C22)="","ИНН не указан",IF(LEN(C22)&lt;&gt;10,"ИНН: должно быть 10 цифр",IF(NOT(ISNUMBER(IFERROR(VALUE(C22),"x"))),"ИНН: есть нецифровые символы",IF(MOD(MOD(SUMPRODUCT(--MID(C22,{1,2,3,4,5,6,7,8,9},1),{2,4,10,3,5,9,4,6,8}),11),10)=VALUE(RIGHT(C22,1)),"","ИНН: неверная контрольная цифра"))))</f>
        <v/>
      </c>
      <c r="L22" s="24" t="str">
        <f aca="false">IF(TRIM(D22)="","ОГРН не указан",IF(LEN(D22)&lt;&gt;13,"ОГРН: должно быть 13 цифр",IF(NOT(ISNUMBER(IFERROR(VALUE(D22),"x"))),"ОГРН: есть нецифровые символы",IF(MOD(VALUE(LEFT(D22,12))-11*INT(VALUE(LEFT(D22,12))/11),10)=VALUE(RIGHT(D22,1)),"","ОГРН: неверная контрольная цифра"))))</f>
        <v/>
      </c>
      <c r="M22" s="24" t="str">
        <f aca="false">IF(TRIM(E22)="","КПП не указан",IF(LEN(E22)&lt;&gt;9,"КПП: должно быть 9 знаков",IF(NOT(AND(ISNUMBER(IFERROR(VALUE(LEFT(E22,4)),"x")),ISNUMBER(IFERROR(VALUE(RIGHT(E22,3)),"x")))),"КПП: неверный формат",IF(LEFT(E22,2)&lt;&gt;LEFT(C22,2),"КПП: код региона не совпадает с ИНН",""))))</f>
        <v/>
      </c>
      <c r="N22" s="24" t="str">
        <f aca="false">IF(TRIM(C22)="","",IF(COUNTIF($C$2:$C$401,C22)&gt;1,"Дубликат ИНН в реестре",""))</f>
        <v>Дубликат ИНН в реестре</v>
      </c>
      <c r="O22" s="24" t="str">
        <f aca="false">IF(TRIM(H22)="","Email не указан",IF(AND(ISNUMBER(FIND("@",H22)),ISNUMBER(FIND(".",H22,IFERROR(FIND("@",H22),1))),ISERROR(FIND(" ",H22)),LEFT(H22,1)&lt;&gt;"@",RIGHT(H22,1)&lt;&gt;".",LEN(H22)-LEN(SUBSTITUTE(H22,"@",""))=1),"","Email: неверный формат"))</f>
        <v/>
      </c>
      <c r="P22" s="24" t="str">
        <f aca="false">IF(TRIM(I22)="","Телефон не указан",IF(AND(LEN(SUBSTITUTE(SUBSTITUTE(SUBSTITUTE(SUBSTITUTE(SUBSTITUTE(I22," ",""),"-",""),"(",""),")",""),"+",""))=11,OR(LEFT(SUBSTITUTE(SUBSTITUTE(SUBSTITUTE(SUBSTITUTE(SUBSTITUTE(I22," ",""),"-",""),"(",""),")",""),"+",""),1)="7",LEFT(SUBSTITUTE(SUBSTITUTE(SUBSTITUTE(SUBSTITUTE(SUBSTITUTE(I22," ",""),"-",""),"(",""),")",""),"+",""),1)="8"),ISNUMBER(IFERROR(VALUE(SUBSTITUTE(SUBSTITUTE(SUBSTITUTE(SUBSTITUTE(SUBSTITUTE(I22," ",""),"-",""),"(",""),")",""),"+","")),"x"))),"","Телефон: неверный формат"))</f>
        <v/>
      </c>
      <c r="Q22" s="24" t="str">
        <f aca="false">TRIM(IF(TRIM(B22)="","Нет наименования. ","")&amp;IF(TRIM(F22)="","Нет адреса. ","")&amp;IF(TRIM(G22)="","Нет контактного лица.",""))</f>
        <v/>
      </c>
      <c r="R22" s="21" t="n">
        <f aca="false">SUMPRODUCT(--(LEN(K22:Q22)&gt;0))</f>
        <v>1</v>
      </c>
      <c r="S22" s="24" t="str">
        <f aca="false">IF(R22=0,"Готово к передаче","Требует исправления")</f>
        <v>Требует исправления</v>
      </c>
      <c r="T22" s="24" t="str">
        <f aca="false">IF(R22=0,"",_xlfn.TEXTJOIN("; ",TRUE(),K22:Q22))</f>
        <v>Дубликат ИНН в реестре</v>
      </c>
      <c r="U22" s="24" t="str">
        <f aca="false">IF(R22=0,"","Здравствуйте! В данных организации «"&amp;B22&amp;"» обнаружены ошибки: "&amp;T22&amp;". Просим проверить и прислать исправленную информацию.")</f>
        <v>Здравствуйте! В данных организации «ООО «Альфа Энерго»» обнаружены ошибки: Дубликат ИНН в реестре. Просим проверить и прислать исправленную информацию.</v>
      </c>
      <c r="V22" s="21" t="n">
        <f aca="false">IF(R22&gt;0,COUNTIF($R$2:R22,"&gt;0"),"")</f>
        <v>11</v>
      </c>
      <c r="W22" s="21" t="str">
        <f aca="false">IF(R22=0,COUNTIF($R$2:R22,0),"")</f>
        <v/>
      </c>
    </row>
    <row r="23" customFormat="false" ht="15" hidden="false" customHeight="false" outlineLevel="0" collapsed="false">
      <c r="A23" s="21" t="n">
        <v>22</v>
      </c>
      <c r="B23" s="22" t="s">
        <v>251</v>
      </c>
      <c r="C23" s="23" t="s">
        <v>252</v>
      </c>
      <c r="D23" s="23" t="s">
        <v>253</v>
      </c>
      <c r="E23" s="23" t="s">
        <v>254</v>
      </c>
      <c r="F23" s="22" t="s">
        <v>255</v>
      </c>
      <c r="G23" s="22" t="s">
        <v>256</v>
      </c>
      <c r="H23" s="22" t="s">
        <v>257</v>
      </c>
      <c r="I23" s="23" t="s">
        <v>258</v>
      </c>
      <c r="J23" s="24" t="str">
        <f aca="false">IFERROR(VLOOKUP(VALUE(LEFT(C23,2)),Справочники!$A$2:$B$16,2,FALSE()),"не определён")</f>
        <v>Челябинская область</v>
      </c>
      <c r="K23" s="24" t="str">
        <f aca="false">IF(TRIM(C23)="","ИНН не указан",IF(LEN(C23)&lt;&gt;10,"ИНН: должно быть 10 цифр",IF(NOT(ISNUMBER(IFERROR(VALUE(C23),"x"))),"ИНН: есть нецифровые символы",IF(MOD(MOD(SUMPRODUCT(--MID(C23,{1,2,3,4,5,6,7,8,9},1),{2,4,10,3,5,9,4,6,8}),11),10)=VALUE(RIGHT(C23,1)),"","ИНН: неверная контрольная цифра"))))</f>
        <v/>
      </c>
      <c r="L23" s="24" t="str">
        <f aca="false">IF(TRIM(D23)="","ОГРН не указан",IF(LEN(D23)&lt;&gt;13,"ОГРН: должно быть 13 цифр",IF(NOT(ISNUMBER(IFERROR(VALUE(D23),"x"))),"ОГРН: есть нецифровые символы",IF(MOD(VALUE(LEFT(D23,12))-11*INT(VALUE(LEFT(D23,12))/11),10)=VALUE(RIGHT(D23,1)),"","ОГРН: неверная контрольная цифра"))))</f>
        <v/>
      </c>
      <c r="M23" s="24" t="str">
        <f aca="false">IF(TRIM(E23)="","КПП не указан",IF(LEN(E23)&lt;&gt;9,"КПП: должно быть 9 знаков",IF(NOT(AND(ISNUMBER(IFERROR(VALUE(LEFT(E23,4)),"x")),ISNUMBER(IFERROR(VALUE(RIGHT(E23,3)),"x")))),"КПП: неверный формат",IF(LEFT(E23,2)&lt;&gt;LEFT(C23,2),"КПП: код региона не совпадает с ИНН",""))))</f>
        <v/>
      </c>
      <c r="N23" s="24" t="str">
        <f aca="false">IF(TRIM(C23)="","",IF(COUNTIF($C$2:$C$401,C23)&gt;1,"Дубликат ИНН в реестре",""))</f>
        <v/>
      </c>
      <c r="O23" s="24" t="str">
        <f aca="false">IF(TRIM(H23)="","Email не указан",IF(AND(ISNUMBER(FIND("@",H23)),ISNUMBER(FIND(".",H23,IFERROR(FIND("@",H23),1))),ISERROR(FIND(" ",H23)),LEFT(H23,1)&lt;&gt;"@",RIGHT(H23,1)&lt;&gt;".",LEN(H23)-LEN(SUBSTITUTE(H23,"@",""))=1),"","Email: неверный формат"))</f>
        <v/>
      </c>
      <c r="P23" s="24" t="str">
        <f aca="false">IF(TRIM(I23)="","Телефон не указан",IF(AND(LEN(SUBSTITUTE(SUBSTITUTE(SUBSTITUTE(SUBSTITUTE(SUBSTITUTE(I23," ",""),"-",""),"(",""),")",""),"+",""))=11,OR(LEFT(SUBSTITUTE(SUBSTITUTE(SUBSTITUTE(SUBSTITUTE(SUBSTITUTE(I23," ",""),"-",""),"(",""),")",""),"+",""),1)="7",LEFT(SUBSTITUTE(SUBSTITUTE(SUBSTITUTE(SUBSTITUTE(SUBSTITUTE(I23," ",""),"-",""),"(",""),")",""),"+",""),1)="8"),ISNUMBER(IFERROR(VALUE(SUBSTITUTE(SUBSTITUTE(SUBSTITUTE(SUBSTITUTE(SUBSTITUTE(I23," ",""),"-",""),"(",""),")",""),"+","")),"x"))),"","Телефон: неверный формат"))</f>
        <v/>
      </c>
      <c r="Q23" s="24" t="str">
        <f aca="false">TRIM(IF(TRIM(B23)="","Нет наименования. ","")&amp;IF(TRIM(F23)="","Нет адреса. ","")&amp;IF(TRIM(G23)="","Нет контактного лица.",""))</f>
        <v/>
      </c>
      <c r="R23" s="21" t="n">
        <f aca="false">SUMPRODUCT(--(LEN(K23:Q23)&gt;0))</f>
        <v>0</v>
      </c>
      <c r="S23" s="24" t="str">
        <f aca="false">IF(R23=0,"Готово к передаче","Требует исправления")</f>
        <v>Готово к передаче</v>
      </c>
      <c r="T23" s="24" t="str">
        <f aca="false">IF(R23=0,"",_xlfn.TEXTJOIN("; ",TRUE(),K23:Q23))</f>
        <v/>
      </c>
      <c r="U23" s="24" t="str">
        <f aca="false">IF(R23=0,"","Здравствуйте! В данных организации «"&amp;B23&amp;"» обнаружены ошибки: "&amp;T23&amp;". Просим проверить и прислать исправленную информацию.")</f>
        <v/>
      </c>
      <c r="V23" s="21" t="str">
        <f aca="false">IF(R23&gt;0,COUNTIF($R$2:R23,"&gt;0"),"")</f>
        <v/>
      </c>
      <c r="W23" s="21" t="n">
        <f aca="false">IF(R23=0,COUNTIF($R$2:R23,0),"")</f>
        <v>11</v>
      </c>
    </row>
    <row r="24" customFormat="false" ht="15" hidden="false" customHeight="false" outlineLevel="0" collapsed="false">
      <c r="A24" s="21" t="n">
        <v>23</v>
      </c>
      <c r="B24" s="22" t="s">
        <v>259</v>
      </c>
      <c r="C24" s="23" t="s">
        <v>260</v>
      </c>
      <c r="D24" s="23"/>
      <c r="E24" s="23" t="s">
        <v>261</v>
      </c>
      <c r="F24" s="22" t="s">
        <v>262</v>
      </c>
      <c r="G24" s="22" t="s">
        <v>263</v>
      </c>
      <c r="H24" s="22" t="s">
        <v>264</v>
      </c>
      <c r="I24" s="23" t="s">
        <v>265</v>
      </c>
      <c r="J24" s="24" t="str">
        <f aca="false">IFERROR(VLOOKUP(VALUE(LEFT(C24,2)),Справочники!$A$2:$B$16,2,FALSE()),"не определён")</f>
        <v>Республика Татарстан</v>
      </c>
      <c r="K24" s="24" t="str">
        <f aca="false">IF(TRIM(C24)="","ИНН не указан",IF(LEN(C24)&lt;&gt;10,"ИНН: должно быть 10 цифр",IF(NOT(ISNUMBER(IFERROR(VALUE(C24),"x"))),"ИНН: есть нецифровые символы",IF(MOD(MOD(SUMPRODUCT(--MID(C24,{1,2,3,4,5,6,7,8,9},1),{2,4,10,3,5,9,4,6,8}),11),10)=VALUE(RIGHT(C24,1)),"","ИНН: неверная контрольная цифра"))))</f>
        <v/>
      </c>
      <c r="L24" s="24" t="str">
        <f aca="false">IF(TRIM(D24)="","ОГРН не указан",IF(LEN(D24)&lt;&gt;13,"ОГРН: должно быть 13 цифр",IF(NOT(ISNUMBER(IFERROR(VALUE(D24),"x"))),"ОГРН: есть нецифровые символы",IF(MOD(VALUE(LEFT(D24,12))-11*INT(VALUE(LEFT(D24,12))/11),10)=VALUE(RIGHT(D24,1)),"","ОГРН: неверная контрольная цифра"))))</f>
        <v>ОГРН не указан</v>
      </c>
      <c r="M24" s="24" t="str">
        <f aca="false">IF(TRIM(E24)="","КПП не указан",IF(LEN(E24)&lt;&gt;9,"КПП: должно быть 9 знаков",IF(NOT(AND(ISNUMBER(IFERROR(VALUE(LEFT(E24,4)),"x")),ISNUMBER(IFERROR(VALUE(RIGHT(E24,3)),"x")))),"КПП: неверный формат",IF(LEFT(E24,2)&lt;&gt;LEFT(C24,2),"КПП: код региона не совпадает с ИНН",""))))</f>
        <v/>
      </c>
      <c r="N24" s="24" t="str">
        <f aca="false">IF(TRIM(C24)="","",IF(COUNTIF($C$2:$C$401,C24)&gt;1,"Дубликат ИНН в реестре",""))</f>
        <v>Дубликат ИНН в реестре</v>
      </c>
      <c r="O24" s="24" t="str">
        <f aca="false">IF(TRIM(H24)="","Email не указан",IF(AND(ISNUMBER(FIND("@",H24)),ISNUMBER(FIND(".",H24,IFERROR(FIND("@",H24),1))),ISERROR(FIND(" ",H24)),LEFT(H24,1)&lt;&gt;"@",RIGHT(H24,1)&lt;&gt;".",LEN(H24)-LEN(SUBSTITUTE(H24,"@",""))=1),"","Email: неверный формат"))</f>
        <v/>
      </c>
      <c r="P24" s="24" t="str">
        <f aca="false">IF(TRIM(I24)="","Телефон не указан",IF(AND(LEN(SUBSTITUTE(SUBSTITUTE(SUBSTITUTE(SUBSTITUTE(SUBSTITUTE(I24," ",""),"-",""),"(",""),")",""),"+",""))=11,OR(LEFT(SUBSTITUTE(SUBSTITUTE(SUBSTITUTE(SUBSTITUTE(SUBSTITUTE(I24," ",""),"-",""),"(",""),")",""),"+",""),1)="7",LEFT(SUBSTITUTE(SUBSTITUTE(SUBSTITUTE(SUBSTITUTE(SUBSTITUTE(I24," ",""),"-",""),"(",""),")",""),"+",""),1)="8"),ISNUMBER(IFERROR(VALUE(SUBSTITUTE(SUBSTITUTE(SUBSTITUTE(SUBSTITUTE(SUBSTITUTE(I24," ",""),"-",""),"(",""),")",""),"+","")),"x"))),"","Телефон: неверный формат"))</f>
        <v/>
      </c>
      <c r="Q24" s="24" t="str">
        <f aca="false">TRIM(IF(TRIM(B24)="","Нет наименования. ","")&amp;IF(TRIM(F24)="","Нет адреса. ","")&amp;IF(TRIM(G24)="","Нет контактного лица.",""))</f>
        <v/>
      </c>
      <c r="R24" s="21" t="n">
        <f aca="false">SUMPRODUCT(--(LEN(K24:Q24)&gt;0))</f>
        <v>2</v>
      </c>
      <c r="S24" s="24" t="str">
        <f aca="false">IF(R24=0,"Готово к передаче","Требует исправления")</f>
        <v>Требует исправления</v>
      </c>
      <c r="T24" s="24" t="str">
        <f aca="false">IF(R24=0,"",_xlfn.TEXTJOIN("; ",TRUE(),K24:Q24))</f>
        <v>ОГРН не указан; Дубликат ИНН в реестре</v>
      </c>
      <c r="U24" s="24" t="str">
        <f aca="false">IF(R24=0,"","Здравствуйте! В данных организации «"&amp;B24&amp;"» обнаружены ошибки: "&amp;T24&amp;". Просим проверить и прислать исправленную информацию.")</f>
        <v>Здравствуйте! В данных организации «ООО «Берег Принт»» обнаружены ошибки: ОГРН не указан; Дубликат ИНН в реестре. Просим проверить и прислать исправленную информацию.</v>
      </c>
      <c r="V24" s="21" t="n">
        <f aca="false">IF(R24&gt;0,COUNTIF($R$2:R24,"&gt;0"),"")</f>
        <v>12</v>
      </c>
      <c r="W24" s="21" t="str">
        <f aca="false">IF(R24=0,COUNTIF($R$2:R24,0),"")</f>
        <v/>
      </c>
    </row>
    <row r="25" customFormat="false" ht="15" hidden="false" customHeight="false" outlineLevel="0" collapsed="false">
      <c r="A25" s="21" t="n">
        <v>24</v>
      </c>
      <c r="B25" s="22" t="s">
        <v>266</v>
      </c>
      <c r="C25" s="23" t="s">
        <v>267</v>
      </c>
      <c r="D25" s="23" t="s">
        <v>268</v>
      </c>
      <c r="E25" s="23" t="s">
        <v>269</v>
      </c>
      <c r="F25" s="22" t="s">
        <v>270</v>
      </c>
      <c r="G25" s="22" t="s">
        <v>271</v>
      </c>
      <c r="H25" s="22" t="s">
        <v>272</v>
      </c>
      <c r="I25" s="23" t="s">
        <v>273</v>
      </c>
      <c r="J25" s="24" t="str">
        <f aca="false">IFERROR(VLOOKUP(VALUE(LEFT(C25,2)),Справочники!$A$2:$B$16,2,FALSE()),"не определён")</f>
        <v>г. Севастополь</v>
      </c>
      <c r="K25" s="24" t="str">
        <f aca="false">IF(TRIM(C25)="","ИНН не указан",IF(LEN(C25)&lt;&gt;10,"ИНН: должно быть 10 цифр",IF(NOT(ISNUMBER(IFERROR(VALUE(C25),"x"))),"ИНН: есть нецифровые символы",IF(MOD(MOD(SUMPRODUCT(--MID(C25,{1,2,3,4,5,6,7,8,9},1),{2,4,10,3,5,9,4,6,8}),11),10)=VALUE(RIGHT(C25,1)),"","ИНН: неверная контрольная цифра"))))</f>
        <v>ИНН: должно быть 10 цифр</v>
      </c>
      <c r="L25" s="24" t="str">
        <f aca="false">IF(TRIM(D25)="","ОГРН не указан",IF(LEN(D25)&lt;&gt;13,"ОГРН: должно быть 13 цифр",IF(NOT(ISNUMBER(IFERROR(VALUE(D25),"x"))),"ОГРН: есть нецифровые символы",IF(MOD(VALUE(LEFT(D25,12))-11*INT(VALUE(LEFT(D25,12))/11),10)=VALUE(RIGHT(D25,1)),"","ОГРН: неверная контрольная цифра"))))</f>
        <v/>
      </c>
      <c r="M25" s="24" t="str">
        <f aca="false">IF(TRIM(E25)="","КПП не указан",IF(LEN(E25)&lt;&gt;9,"КПП: должно быть 9 знаков",IF(NOT(AND(ISNUMBER(IFERROR(VALUE(LEFT(E25,4)),"x")),ISNUMBER(IFERROR(VALUE(RIGHT(E25,3)),"x")))),"КПП: неверный формат",IF(LEFT(E25,2)&lt;&gt;LEFT(C25,2),"КПП: код региона не совпадает с ИНН",""))))</f>
        <v/>
      </c>
      <c r="N25" s="24" t="str">
        <f aca="false">IF(TRIM(C25)="","",IF(COUNTIF($C$2:$C$401,C25)&gt;1,"Дубликат ИНН в реестре",""))</f>
        <v/>
      </c>
      <c r="O25" s="24" t="str">
        <f aca="false">IF(TRIM(H25)="","Email не указан",IF(AND(ISNUMBER(FIND("@",H25)),ISNUMBER(FIND(".",H25,IFERROR(FIND("@",H25),1))),ISERROR(FIND(" ",H25)),LEFT(H25,1)&lt;&gt;"@",RIGHT(H25,1)&lt;&gt;".",LEN(H25)-LEN(SUBSTITUTE(H25,"@",""))=1),"","Email: неверный формат"))</f>
        <v/>
      </c>
      <c r="P25" s="24" t="str">
        <f aca="false">IF(TRIM(I25)="","Телефон не указан",IF(AND(LEN(SUBSTITUTE(SUBSTITUTE(SUBSTITUTE(SUBSTITUTE(SUBSTITUTE(I25," ",""),"-",""),"(",""),")",""),"+",""))=11,OR(LEFT(SUBSTITUTE(SUBSTITUTE(SUBSTITUTE(SUBSTITUTE(SUBSTITUTE(I25," ",""),"-",""),"(",""),")",""),"+",""),1)="7",LEFT(SUBSTITUTE(SUBSTITUTE(SUBSTITUTE(SUBSTITUTE(SUBSTITUTE(I25," ",""),"-",""),"(",""),")",""),"+",""),1)="8"),ISNUMBER(IFERROR(VALUE(SUBSTITUTE(SUBSTITUTE(SUBSTITUTE(SUBSTITUTE(SUBSTITUTE(I25," ",""),"-",""),"(",""),")",""),"+","")),"x"))),"","Телефон: неверный формат"))</f>
        <v/>
      </c>
      <c r="Q25" s="24" t="str">
        <f aca="false">TRIM(IF(TRIM(B25)="","Нет наименования. ","")&amp;IF(TRIM(F25)="","Нет адреса. ","")&amp;IF(TRIM(G25)="","Нет контактного лица.",""))</f>
        <v/>
      </c>
      <c r="R25" s="21" t="n">
        <f aca="false">SUMPRODUCT(--(LEN(K25:Q25)&gt;0))</f>
        <v>1</v>
      </c>
      <c r="S25" s="24" t="str">
        <f aca="false">IF(R25=0,"Готово к передаче","Требует исправления")</f>
        <v>Требует исправления</v>
      </c>
      <c r="T25" s="24" t="str">
        <f aca="false">IF(R25=0,"",_xlfn.TEXTJOIN("; ",TRUE(),K25:Q25))</f>
        <v>ИНН: должно быть 10 цифр</v>
      </c>
      <c r="U25" s="24" t="str">
        <f aca="false">IF(R25=0,"","Здравствуйте! В данных организации «"&amp;B25&amp;"» обнаружены ошибки: "&amp;T25&amp;". Просим проверить и прислать исправленную информацию.")</f>
        <v>Здравствуйте! В данных организации «АО «Гранит Сервис»» обнаружены ошибки: ИНН: должно быть 10 цифр. Просим проверить и прислать исправленную информацию.</v>
      </c>
      <c r="V25" s="21" t="n">
        <f aca="false">IF(R25&gt;0,COUNTIF($R$2:R25,"&gt;0"),"")</f>
        <v>13</v>
      </c>
      <c r="W25" s="21" t="str">
        <f aca="false">IF(R25=0,COUNTIF($R$2:R25,0),"")</f>
        <v/>
      </c>
    </row>
    <row r="26" customFormat="false" ht="15" hidden="false" customHeight="false" outlineLevel="0" collapsed="false">
      <c r="A26" s="21" t="n">
        <v>25</v>
      </c>
      <c r="B26" s="22" t="s">
        <v>274</v>
      </c>
      <c r="C26" s="23" t="s">
        <v>275</v>
      </c>
      <c r="D26" s="23" t="s">
        <v>276</v>
      </c>
      <c r="E26" s="23" t="s">
        <v>277</v>
      </c>
      <c r="F26" s="22" t="s">
        <v>278</v>
      </c>
      <c r="G26" s="22" t="s">
        <v>279</v>
      </c>
      <c r="H26" s="22" t="s">
        <v>280</v>
      </c>
      <c r="I26" s="23" t="s">
        <v>281</v>
      </c>
      <c r="J26" s="24" t="str">
        <f aca="false">IFERROR(VLOOKUP(VALUE(LEFT(C26,2)),Справочники!$A$2:$B$16,2,FALSE()),"не определён")</f>
        <v>Республика Крым</v>
      </c>
      <c r="K26" s="24" t="str">
        <f aca="false">IF(TRIM(C26)="","ИНН не указан",IF(LEN(C26)&lt;&gt;10,"ИНН: должно быть 10 цифр",IF(NOT(ISNUMBER(IFERROR(VALUE(C26),"x"))),"ИНН: есть нецифровые символы",IF(MOD(MOD(SUMPRODUCT(--MID(C26,{1,2,3,4,5,6,7,8,9},1),{2,4,10,3,5,9,4,6,8}),11),10)=VALUE(RIGHT(C26,1)),"","ИНН: неверная контрольная цифра"))))</f>
        <v>ИНН: неверная контрольная цифра</v>
      </c>
      <c r="L26" s="24" t="str">
        <f aca="false">IF(TRIM(D26)="","ОГРН не указан",IF(LEN(D26)&lt;&gt;13,"ОГРН: должно быть 13 цифр",IF(NOT(ISNUMBER(IFERROR(VALUE(D26),"x"))),"ОГРН: есть нецифровые символы",IF(MOD(VALUE(LEFT(D26,12))-11*INT(VALUE(LEFT(D26,12))/11),10)=VALUE(RIGHT(D26,1)),"","ОГРН: неверная контрольная цифра"))))</f>
        <v/>
      </c>
      <c r="M26" s="24" t="str">
        <f aca="false">IF(TRIM(E26)="","КПП не указан",IF(LEN(E26)&lt;&gt;9,"КПП: должно быть 9 знаков",IF(NOT(AND(ISNUMBER(IFERROR(VALUE(LEFT(E26,4)),"x")),ISNUMBER(IFERROR(VALUE(RIGHT(E26,3)),"x")))),"КПП: неверный формат",IF(LEFT(E26,2)&lt;&gt;LEFT(C26,2),"КПП: код региона не совпадает с ИНН",""))))</f>
        <v/>
      </c>
      <c r="N26" s="24" t="str">
        <f aca="false">IF(TRIM(C26)="","",IF(COUNTIF($C$2:$C$401,C26)&gt;1,"Дубликат ИНН в реестре",""))</f>
        <v/>
      </c>
      <c r="O26" s="24" t="str">
        <f aca="false">IF(TRIM(H26)="","Email не указан",IF(AND(ISNUMBER(FIND("@",H26)),ISNUMBER(FIND(".",H26,IFERROR(FIND("@",H26),1))),ISERROR(FIND(" ",H26)),LEFT(H26,1)&lt;&gt;"@",RIGHT(H26,1)&lt;&gt;".",LEN(H26)-LEN(SUBSTITUTE(H26,"@",""))=1),"","Email: неверный формат"))</f>
        <v/>
      </c>
      <c r="P26" s="24" t="str">
        <f aca="false">IF(TRIM(I26)="","Телефон не указан",IF(AND(LEN(SUBSTITUTE(SUBSTITUTE(SUBSTITUTE(SUBSTITUTE(SUBSTITUTE(I26," ",""),"-",""),"(",""),")",""),"+",""))=11,OR(LEFT(SUBSTITUTE(SUBSTITUTE(SUBSTITUTE(SUBSTITUTE(SUBSTITUTE(I26," ",""),"-",""),"(",""),")",""),"+",""),1)="7",LEFT(SUBSTITUTE(SUBSTITUTE(SUBSTITUTE(SUBSTITUTE(SUBSTITUTE(I26," ",""),"-",""),"(",""),")",""),"+",""),1)="8"),ISNUMBER(IFERROR(VALUE(SUBSTITUTE(SUBSTITUTE(SUBSTITUTE(SUBSTITUTE(SUBSTITUTE(I26," ",""),"-",""),"(",""),")",""),"+","")),"x"))),"","Телефон: неверный формат"))</f>
        <v/>
      </c>
      <c r="Q26" s="24" t="str">
        <f aca="false">TRIM(IF(TRIM(B26)="","Нет наименования. ","")&amp;IF(TRIM(F26)="","Нет адреса. ","")&amp;IF(TRIM(G26)="","Нет контактного лица.",""))</f>
        <v/>
      </c>
      <c r="R26" s="21" t="n">
        <f aca="false">SUMPRODUCT(--(LEN(K26:Q26)&gt;0))</f>
        <v>1</v>
      </c>
      <c r="S26" s="24" t="str">
        <f aca="false">IF(R26=0,"Готово к передаче","Требует исправления")</f>
        <v>Требует исправления</v>
      </c>
      <c r="T26" s="24" t="str">
        <f aca="false">IF(R26=0,"",_xlfn.TEXTJOIN("; ",TRUE(),K26:Q26))</f>
        <v>ИНН: неверная контрольная цифра</v>
      </c>
      <c r="U26" s="24" t="str">
        <f aca="false">IF(R26=0,"","Здравствуйте! В данных организации «"&amp;B26&amp;"» обнаружены ошибки: "&amp;T26&amp;". Просим проверить и прислать исправленную информацию.")</f>
        <v>Здравствуйте! В данных организации «ООО «Феникс Торг»» обнаружены ошибки: ИНН: неверная контрольная цифра. Просим проверить и прислать исправленную информацию.</v>
      </c>
      <c r="V26" s="21" t="n">
        <f aca="false">IF(R26&gt;0,COUNTIF($R$2:R26,"&gt;0"),"")</f>
        <v>14</v>
      </c>
      <c r="W26" s="21" t="str">
        <f aca="false">IF(R26=0,COUNTIF($R$2:R26,0),"")</f>
        <v/>
      </c>
    </row>
    <row r="27" customFormat="false" ht="15" hidden="false" customHeight="false" outlineLevel="0" collapsed="false">
      <c r="A27" s="21" t="n">
        <v>26</v>
      </c>
      <c r="B27" s="22" t="s">
        <v>282</v>
      </c>
      <c r="C27" s="23" t="s">
        <v>283</v>
      </c>
      <c r="D27" s="23" t="s">
        <v>284</v>
      </c>
      <c r="E27" s="23" t="s">
        <v>285</v>
      </c>
      <c r="F27" s="22" t="s">
        <v>286</v>
      </c>
      <c r="G27" s="22" t="s">
        <v>287</v>
      </c>
      <c r="H27" s="22" t="s">
        <v>288</v>
      </c>
      <c r="I27" s="23" t="s">
        <v>289</v>
      </c>
      <c r="J27" s="24" t="str">
        <f aca="false">IFERROR(VLOOKUP(VALUE(LEFT(C27,2)),Справочники!$A$2:$B$16,2,FALSE()),"не определён")</f>
        <v>Республика Татарстан</v>
      </c>
      <c r="K27" s="24" t="str">
        <f aca="false">IF(TRIM(C27)="","ИНН не указан",IF(LEN(C27)&lt;&gt;10,"ИНН: должно быть 10 цифр",IF(NOT(ISNUMBER(IFERROR(VALUE(C27),"x"))),"ИНН: есть нецифровые символы",IF(MOD(MOD(SUMPRODUCT(--MID(C27,{1,2,3,4,5,6,7,8,9},1),{2,4,10,3,5,9,4,6,8}),11),10)=VALUE(RIGHT(C27,1)),"","ИНН: неверная контрольная цифра"))))</f>
        <v/>
      </c>
      <c r="L27" s="24" t="str">
        <f aca="false">IF(TRIM(D27)="","ОГРН не указан",IF(LEN(D27)&lt;&gt;13,"ОГРН: должно быть 13 цифр",IF(NOT(ISNUMBER(IFERROR(VALUE(D27),"x"))),"ОГРН: есть нецифровые символы",IF(MOD(VALUE(LEFT(D27,12))-11*INT(VALUE(LEFT(D27,12))/11),10)=VALUE(RIGHT(D27,1)),"","ОГРН: неверная контрольная цифра"))))</f>
        <v/>
      </c>
      <c r="M27" s="24" t="str">
        <f aca="false">IF(TRIM(E27)="","КПП не указан",IF(LEN(E27)&lt;&gt;9,"КПП: должно быть 9 знаков",IF(NOT(AND(ISNUMBER(IFERROR(VALUE(LEFT(E27,4)),"x")),ISNUMBER(IFERROR(VALUE(RIGHT(E27,3)),"x")))),"КПП: неверный формат",IF(LEFT(E27,2)&lt;&gt;LEFT(C27,2),"КПП: код региона не совпадает с ИНН",""))))</f>
        <v/>
      </c>
      <c r="N27" s="24" t="str">
        <f aca="false">IF(TRIM(C27)="","",IF(COUNTIF($C$2:$C$401,C27)&gt;1,"Дубликат ИНН в реестре",""))</f>
        <v>Дубликат ИНН в реестре</v>
      </c>
      <c r="O27" s="24" t="str">
        <f aca="false">IF(TRIM(H27)="","Email не указан",IF(AND(ISNUMBER(FIND("@",H27)),ISNUMBER(FIND(".",H27,IFERROR(FIND("@",H27),1))),ISERROR(FIND(" ",H27)),LEFT(H27,1)&lt;&gt;"@",RIGHT(H27,1)&lt;&gt;".",LEN(H27)-LEN(SUBSTITUTE(H27,"@",""))=1),"","Email: неверный формат"))</f>
        <v/>
      </c>
      <c r="P27" s="24" t="str">
        <f aca="false">IF(TRIM(I27)="","Телефон не указан",IF(AND(LEN(SUBSTITUTE(SUBSTITUTE(SUBSTITUTE(SUBSTITUTE(SUBSTITUTE(I27," ",""),"-",""),"(",""),")",""),"+",""))=11,OR(LEFT(SUBSTITUTE(SUBSTITUTE(SUBSTITUTE(SUBSTITUTE(SUBSTITUTE(I27," ",""),"-",""),"(",""),")",""),"+",""),1)="7",LEFT(SUBSTITUTE(SUBSTITUTE(SUBSTITUTE(SUBSTITUTE(SUBSTITUTE(I27," ",""),"-",""),"(",""),")",""),"+",""),1)="8"),ISNUMBER(IFERROR(VALUE(SUBSTITUTE(SUBSTITUTE(SUBSTITUTE(SUBSTITUTE(SUBSTITUTE(I27," ",""),"-",""),"(",""),")",""),"+","")),"x"))),"","Телефон: неверный формат"))</f>
        <v/>
      </c>
      <c r="Q27" s="24" t="str">
        <f aca="false">TRIM(IF(TRIM(B27)="","Нет наименования. ","")&amp;IF(TRIM(F27)="","Нет адреса. ","")&amp;IF(TRIM(G27)="","Нет контактного лица.",""))</f>
        <v/>
      </c>
      <c r="R27" s="21" t="n">
        <f aca="false">SUMPRODUCT(--(LEN(K27:Q27)&gt;0))</f>
        <v>1</v>
      </c>
      <c r="S27" s="24" t="str">
        <f aca="false">IF(R27=0,"Готово к передаче","Требует исправления")</f>
        <v>Требует исправления</v>
      </c>
      <c r="T27" s="24" t="str">
        <f aca="false">IF(R27=0,"",_xlfn.TEXTJOIN("; ",TRUE(),K27:Q27))</f>
        <v>Дубликат ИНН в реестре</v>
      </c>
      <c r="U27" s="24" t="str">
        <f aca="false">IF(R27=0,"","Здравствуйте! В данных организации «"&amp;B27&amp;"» обнаружены ошибки: "&amp;T27&amp;". Просим проверить и прислать исправленную информацию.")</f>
        <v>Здравствуйте! В данных организации «ООО «Юпитер Трейд»» обнаружены ошибки: Дубликат ИНН в реестре. Просим проверить и прислать исправленную информацию.</v>
      </c>
      <c r="V27" s="21" t="n">
        <f aca="false">IF(R27&gt;0,COUNTIF($R$2:R27,"&gt;0"),"")</f>
        <v>15</v>
      </c>
      <c r="W27" s="21" t="str">
        <f aca="false">IF(R27=0,COUNTIF($R$2:R27,0),"")</f>
        <v/>
      </c>
    </row>
    <row r="28" customFormat="false" ht="15" hidden="false" customHeight="false" outlineLevel="0" collapsed="false">
      <c r="A28" s="21" t="n">
        <v>27</v>
      </c>
      <c r="B28" s="22" t="s">
        <v>290</v>
      </c>
      <c r="C28" s="23" t="s">
        <v>291</v>
      </c>
      <c r="D28" s="23" t="s">
        <v>292</v>
      </c>
      <c r="E28" s="23" t="s">
        <v>293</v>
      </c>
      <c r="F28" s="22" t="s">
        <v>294</v>
      </c>
      <c r="G28" s="22" t="s">
        <v>295</v>
      </c>
      <c r="H28" s="22" t="s">
        <v>296</v>
      </c>
      <c r="I28" s="23" t="s">
        <v>297</v>
      </c>
      <c r="J28" s="24" t="str">
        <f aca="false">IFERROR(VLOOKUP(VALUE(LEFT(C28,2)),Справочники!$A$2:$B$16,2,FALSE()),"не определён")</f>
        <v>Ростовская область</v>
      </c>
      <c r="K28" s="24" t="str">
        <f aca="false">IF(TRIM(C28)="","ИНН не указан",IF(LEN(C28)&lt;&gt;10,"ИНН: должно быть 10 цифр",IF(NOT(ISNUMBER(IFERROR(VALUE(C28),"x"))),"ИНН: есть нецифровые символы",IF(MOD(MOD(SUMPRODUCT(--MID(C28,{1,2,3,4,5,6,7,8,9},1),{2,4,10,3,5,9,4,6,8}),11),10)=VALUE(RIGHT(C28,1)),"","ИНН: неверная контрольная цифра"))))</f>
        <v/>
      </c>
      <c r="L28" s="24" t="str">
        <f aca="false">IF(TRIM(D28)="","ОГРН не указан",IF(LEN(D28)&lt;&gt;13,"ОГРН: должно быть 13 цифр",IF(NOT(ISNUMBER(IFERROR(VALUE(D28),"x"))),"ОГРН: есть нецифровые символы",IF(MOD(VALUE(LEFT(D28,12))-11*INT(VALUE(LEFT(D28,12))/11),10)=VALUE(RIGHT(D28,1)),"","ОГРН: неверная контрольная цифра"))))</f>
        <v/>
      </c>
      <c r="M28" s="24" t="str">
        <f aca="false">IF(TRIM(E28)="","КПП не указан",IF(LEN(E28)&lt;&gt;9,"КПП: должно быть 9 знаков",IF(NOT(AND(ISNUMBER(IFERROR(VALUE(LEFT(E28,4)),"x")),ISNUMBER(IFERROR(VALUE(RIGHT(E28,3)),"x")))),"КПП: неверный формат",IF(LEFT(E28,2)&lt;&gt;LEFT(C28,2),"КПП: код региона не совпадает с ИНН",""))))</f>
        <v/>
      </c>
      <c r="N28" s="24" t="str">
        <f aca="false">IF(TRIM(C28)="","",IF(COUNTIF($C$2:$C$401,C28)&gt;1,"Дубликат ИНН в реестре",""))</f>
        <v/>
      </c>
      <c r="O28" s="24" t="str">
        <f aca="false">IF(TRIM(H28)="","Email не указан",IF(AND(ISNUMBER(FIND("@",H28)),ISNUMBER(FIND(".",H28,IFERROR(FIND("@",H28),1))),ISERROR(FIND(" ",H28)),LEFT(H28,1)&lt;&gt;"@",RIGHT(H28,1)&lt;&gt;".",LEN(H28)-LEN(SUBSTITUTE(H28,"@",""))=1),"","Email: неверный формат"))</f>
        <v/>
      </c>
      <c r="P28" s="24" t="str">
        <f aca="false">IF(TRIM(I28)="","Телефон не указан",IF(AND(LEN(SUBSTITUTE(SUBSTITUTE(SUBSTITUTE(SUBSTITUTE(SUBSTITUTE(I28," ",""),"-",""),"(",""),")",""),"+",""))=11,OR(LEFT(SUBSTITUTE(SUBSTITUTE(SUBSTITUTE(SUBSTITUTE(SUBSTITUTE(I28," ",""),"-",""),"(",""),")",""),"+",""),1)="7",LEFT(SUBSTITUTE(SUBSTITUTE(SUBSTITUTE(SUBSTITUTE(SUBSTITUTE(I28," ",""),"-",""),"(",""),")",""),"+",""),1)="8"),ISNUMBER(IFERROR(VALUE(SUBSTITUTE(SUBSTITUTE(SUBSTITUTE(SUBSTITUTE(SUBSTITUTE(I28," ",""),"-",""),"(",""),")",""),"+","")),"x"))),"","Телефон: неверный формат"))</f>
        <v/>
      </c>
      <c r="Q28" s="24" t="str">
        <f aca="false">TRIM(IF(TRIM(B28)="","Нет наименования. ","")&amp;IF(TRIM(F28)="","Нет адреса. ","")&amp;IF(TRIM(G28)="","Нет контактного лица.",""))</f>
        <v/>
      </c>
      <c r="R28" s="21" t="n">
        <f aca="false">SUMPRODUCT(--(LEN(K28:Q28)&gt;0))</f>
        <v>0</v>
      </c>
      <c r="S28" s="24" t="str">
        <f aca="false">IF(R28=0,"Готово к передаче","Требует исправления")</f>
        <v>Готово к передаче</v>
      </c>
      <c r="T28" s="24" t="str">
        <f aca="false">IF(R28=0,"",_xlfn.TEXTJOIN("; ",TRUE(),K28:Q28))</f>
        <v/>
      </c>
      <c r="U28" s="24" t="str">
        <f aca="false">IF(R28=0,"","Здравствуйте! В данных организации «"&amp;B28&amp;"» обнаружены ошибки: "&amp;T28&amp;". Просим проверить и прислать исправленную информацию.")</f>
        <v/>
      </c>
      <c r="V28" s="21" t="str">
        <f aca="false">IF(R28&gt;0,COUNTIF($R$2:R28,"&gt;0"),"")</f>
        <v/>
      </c>
      <c r="W28" s="21" t="n">
        <f aca="false">IF(R28=0,COUNTIF($R$2:R28,0),"")</f>
        <v>12</v>
      </c>
    </row>
    <row r="29" customFormat="false" ht="15" hidden="false" customHeight="false" outlineLevel="0" collapsed="false">
      <c r="A29" s="21" t="n">
        <v>28</v>
      </c>
      <c r="B29" s="22" t="s">
        <v>298</v>
      </c>
      <c r="C29" s="23" t="s">
        <v>299</v>
      </c>
      <c r="D29" s="23" t="s">
        <v>300</v>
      </c>
      <c r="E29" s="23" t="s">
        <v>301</v>
      </c>
      <c r="F29" s="22" t="s">
        <v>302</v>
      </c>
      <c r="G29" s="22" t="s">
        <v>303</v>
      </c>
      <c r="H29" s="22" t="s">
        <v>304</v>
      </c>
      <c r="I29" s="23" t="s">
        <v>305</v>
      </c>
      <c r="J29" s="24" t="str">
        <f aca="false">IFERROR(VLOOKUP(VALUE(LEFT(C29,2)),Справочники!$A$2:$B$16,2,FALSE()),"не определён")</f>
        <v>г. Москва</v>
      </c>
      <c r="K29" s="24" t="str">
        <f aca="false">IF(TRIM(C29)="","ИНН не указан",IF(LEN(C29)&lt;&gt;10,"ИНН: должно быть 10 цифр",IF(NOT(ISNUMBER(IFERROR(VALUE(C29),"x"))),"ИНН: есть нецифровые символы",IF(MOD(MOD(SUMPRODUCT(--MID(C29,{1,2,3,4,5,6,7,8,9},1),{2,4,10,3,5,9,4,6,8}),11),10)=VALUE(RIGHT(C29,1)),"","ИНН: неверная контрольная цифра"))))</f>
        <v/>
      </c>
      <c r="L29" s="24" t="str">
        <f aca="false">IF(TRIM(D29)="","ОГРН не указан",IF(LEN(D29)&lt;&gt;13,"ОГРН: должно быть 13 цифр",IF(NOT(ISNUMBER(IFERROR(VALUE(D29),"x"))),"ОГРН: есть нецифровые символы",IF(MOD(VALUE(LEFT(D29,12))-11*INT(VALUE(LEFT(D29,12))/11),10)=VALUE(RIGHT(D29,1)),"","ОГРН: неверная контрольная цифра"))))</f>
        <v/>
      </c>
      <c r="M29" s="24" t="str">
        <f aca="false">IF(TRIM(E29)="","КПП не указан",IF(LEN(E29)&lt;&gt;9,"КПП: должно быть 9 знаков",IF(NOT(AND(ISNUMBER(IFERROR(VALUE(LEFT(E29,4)),"x")),ISNUMBER(IFERROR(VALUE(RIGHT(E29,3)),"x")))),"КПП: неверный формат",IF(LEFT(E29,2)&lt;&gt;LEFT(C29,2),"КПП: код региона не совпадает с ИНН",""))))</f>
        <v/>
      </c>
      <c r="N29" s="24" t="str">
        <f aca="false">IF(TRIM(C29)="","",IF(COUNTIF($C$2:$C$401,C29)&gt;1,"Дубликат ИНН в реестре",""))</f>
        <v/>
      </c>
      <c r="O29" s="24" t="str">
        <f aca="false">IF(TRIM(H29)="","Email не указан",IF(AND(ISNUMBER(FIND("@",H29)),ISNUMBER(FIND(".",H29,IFERROR(FIND("@",H29),1))),ISERROR(FIND(" ",H29)),LEFT(H29,1)&lt;&gt;"@",RIGHT(H29,1)&lt;&gt;".",LEN(H29)-LEN(SUBSTITUTE(H29,"@",""))=1),"","Email: неверный формат"))</f>
        <v/>
      </c>
      <c r="P29" s="24" t="str">
        <f aca="false">IF(TRIM(I29)="","Телефон не указан",IF(AND(LEN(SUBSTITUTE(SUBSTITUTE(SUBSTITUTE(SUBSTITUTE(SUBSTITUTE(I29," ",""),"-",""),"(",""),")",""),"+",""))=11,OR(LEFT(SUBSTITUTE(SUBSTITUTE(SUBSTITUTE(SUBSTITUTE(SUBSTITUTE(I29," ",""),"-",""),"(",""),")",""),"+",""),1)="7",LEFT(SUBSTITUTE(SUBSTITUTE(SUBSTITUTE(SUBSTITUTE(SUBSTITUTE(I29," ",""),"-",""),"(",""),")",""),"+",""),1)="8"),ISNUMBER(IFERROR(VALUE(SUBSTITUTE(SUBSTITUTE(SUBSTITUTE(SUBSTITUTE(SUBSTITUTE(I29," ",""),"-",""),"(",""),")",""),"+","")),"x"))),"","Телефон: неверный формат"))</f>
        <v/>
      </c>
      <c r="Q29" s="24" t="str">
        <f aca="false">TRIM(IF(TRIM(B29)="","Нет наименования. ","")&amp;IF(TRIM(F29)="","Нет адреса. ","")&amp;IF(TRIM(G29)="","Нет контактного лица.",""))</f>
        <v/>
      </c>
      <c r="R29" s="21" t="n">
        <f aca="false">SUMPRODUCT(--(LEN(K29:Q29)&gt;0))</f>
        <v>0</v>
      </c>
      <c r="S29" s="24" t="str">
        <f aca="false">IF(R29=0,"Готово к передаче","Требует исправления")</f>
        <v>Готово к передаче</v>
      </c>
      <c r="T29" s="24" t="str">
        <f aca="false">IF(R29=0,"",_xlfn.TEXTJOIN("; ",TRUE(),K29:Q29))</f>
        <v/>
      </c>
      <c r="U29" s="24" t="str">
        <f aca="false">IF(R29=0,"","Здравствуйте! В данных организации «"&amp;B29&amp;"» обнаружены ошибки: "&amp;T29&amp;". Просим проверить и прислать исправленную информацию.")</f>
        <v/>
      </c>
      <c r="V29" s="21" t="str">
        <f aca="false">IF(R29&gt;0,COUNTIF($R$2:R29,"&gt;0"),"")</f>
        <v/>
      </c>
      <c r="W29" s="21" t="n">
        <f aca="false">IF(R29=0,COUNTIF($R$2:R29,0),"")</f>
        <v>13</v>
      </c>
    </row>
    <row r="30" customFormat="false" ht="15" hidden="false" customHeight="false" outlineLevel="0" collapsed="false">
      <c r="A30" s="21" t="n">
        <v>29</v>
      </c>
      <c r="B30" s="22" t="s">
        <v>306</v>
      </c>
      <c r="C30" s="23" t="s">
        <v>307</v>
      </c>
      <c r="D30" s="23" t="s">
        <v>308</v>
      </c>
      <c r="E30" s="23" t="s">
        <v>309</v>
      </c>
      <c r="F30" s="22" t="s">
        <v>310</v>
      </c>
      <c r="G30" s="22" t="s">
        <v>311</v>
      </c>
      <c r="H30" s="22" t="s">
        <v>312</v>
      </c>
      <c r="I30" s="23" t="s">
        <v>313</v>
      </c>
      <c r="J30" s="24" t="str">
        <f aca="false">IFERROR(VLOOKUP(VALUE(LEFT(C30,2)),Справочники!$A$2:$B$16,2,FALSE()),"не определён")</f>
        <v>г. Москва</v>
      </c>
      <c r="K30" s="24" t="str">
        <f aca="false">IF(TRIM(C30)="","ИНН не указан",IF(LEN(C30)&lt;&gt;10,"ИНН: должно быть 10 цифр",IF(NOT(ISNUMBER(IFERROR(VALUE(C30),"x"))),"ИНН: есть нецифровые символы",IF(MOD(MOD(SUMPRODUCT(--MID(C30,{1,2,3,4,5,6,7,8,9},1),{2,4,10,3,5,9,4,6,8}),11),10)=VALUE(RIGHT(C30,1)),"","ИНН: неверная контрольная цифра"))))</f>
        <v/>
      </c>
      <c r="L30" s="24" t="str">
        <f aca="false">IF(TRIM(D30)="","ОГРН не указан",IF(LEN(D30)&lt;&gt;13,"ОГРН: должно быть 13 цифр",IF(NOT(ISNUMBER(IFERROR(VALUE(D30),"x"))),"ОГРН: есть нецифровые символы",IF(MOD(VALUE(LEFT(D30,12))-11*INT(VALUE(LEFT(D30,12))/11),10)=VALUE(RIGHT(D30,1)),"","ОГРН: неверная контрольная цифра"))))</f>
        <v/>
      </c>
      <c r="M30" s="24" t="str">
        <f aca="false">IF(TRIM(E30)="","КПП не указан",IF(LEN(E30)&lt;&gt;9,"КПП: должно быть 9 знаков",IF(NOT(AND(ISNUMBER(IFERROR(VALUE(LEFT(E30,4)),"x")),ISNUMBER(IFERROR(VALUE(RIGHT(E30,3)),"x")))),"КПП: неверный формат",IF(LEFT(E30,2)&lt;&gt;LEFT(C30,2),"КПП: код региона не совпадает с ИНН",""))))</f>
        <v/>
      </c>
      <c r="N30" s="24" t="str">
        <f aca="false">IF(TRIM(C30)="","",IF(COUNTIF($C$2:$C$401,C30)&gt;1,"Дубликат ИНН в реестре",""))</f>
        <v/>
      </c>
      <c r="O30" s="24" t="str">
        <f aca="false">IF(TRIM(H30)="","Email не указан",IF(AND(ISNUMBER(FIND("@",H30)),ISNUMBER(FIND(".",H30,IFERROR(FIND("@",H30),1))),ISERROR(FIND(" ",H30)),LEFT(H30,1)&lt;&gt;"@",RIGHT(H30,1)&lt;&gt;".",LEN(H30)-LEN(SUBSTITUTE(H30,"@",""))=1),"","Email: неверный формат"))</f>
        <v/>
      </c>
      <c r="P30" s="24" t="str">
        <f aca="false">IF(TRIM(I30)="","Телефон не указан",IF(AND(LEN(SUBSTITUTE(SUBSTITUTE(SUBSTITUTE(SUBSTITUTE(SUBSTITUTE(I30," ",""),"-",""),"(",""),")",""),"+",""))=11,OR(LEFT(SUBSTITUTE(SUBSTITUTE(SUBSTITUTE(SUBSTITUTE(SUBSTITUTE(I30," ",""),"-",""),"(",""),")",""),"+",""),1)="7",LEFT(SUBSTITUTE(SUBSTITUTE(SUBSTITUTE(SUBSTITUTE(SUBSTITUTE(I30," ",""),"-",""),"(",""),")",""),"+",""),1)="8"),ISNUMBER(IFERROR(VALUE(SUBSTITUTE(SUBSTITUTE(SUBSTITUTE(SUBSTITUTE(SUBSTITUTE(I30," ",""),"-",""),"(",""),")",""),"+","")),"x"))),"","Телефон: неверный формат"))</f>
        <v/>
      </c>
      <c r="Q30" s="24" t="str">
        <f aca="false">TRIM(IF(TRIM(B30)="","Нет наименования. ","")&amp;IF(TRIM(F30)="","Нет адреса. ","")&amp;IF(TRIM(G30)="","Нет контактного лица.",""))</f>
        <v/>
      </c>
      <c r="R30" s="21" t="n">
        <f aca="false">SUMPRODUCT(--(LEN(K30:Q30)&gt;0))</f>
        <v>0</v>
      </c>
      <c r="S30" s="24" t="str">
        <f aca="false">IF(R30=0,"Готово к передаче","Требует исправления")</f>
        <v>Готово к передаче</v>
      </c>
      <c r="T30" s="24" t="str">
        <f aca="false">IF(R30=0,"",_xlfn.TEXTJOIN("; ",TRUE(),K30:Q30))</f>
        <v/>
      </c>
      <c r="U30" s="24" t="str">
        <f aca="false">IF(R30=0,"","Здравствуйте! В данных организации «"&amp;B30&amp;"» обнаружены ошибки: "&amp;T30&amp;". Просим проверить и прислать исправленную информацию.")</f>
        <v/>
      </c>
      <c r="V30" s="21" t="str">
        <f aca="false">IF(R30&gt;0,COUNTIF($R$2:R30,"&gt;0"),"")</f>
        <v/>
      </c>
      <c r="W30" s="21" t="n">
        <f aca="false">IF(R30=0,COUNTIF($R$2:R30,0),"")</f>
        <v>14</v>
      </c>
    </row>
    <row r="31" customFormat="false" ht="15" hidden="false" customHeight="false" outlineLevel="0" collapsed="false">
      <c r="A31" s="21" t="n">
        <v>30</v>
      </c>
      <c r="B31" s="22" t="s">
        <v>314</v>
      </c>
      <c r="C31" s="23" t="s">
        <v>315</v>
      </c>
      <c r="D31" s="23" t="s">
        <v>316</v>
      </c>
      <c r="E31" s="23" t="s">
        <v>317</v>
      </c>
      <c r="F31" s="22" t="s">
        <v>318</v>
      </c>
      <c r="G31" s="22" t="s">
        <v>319</v>
      </c>
      <c r="H31" s="22" t="s">
        <v>320</v>
      </c>
      <c r="I31" s="23" t="s">
        <v>321</v>
      </c>
      <c r="J31" s="24" t="str">
        <f aca="false">IFERROR(VLOOKUP(VALUE(LEFT(C31,2)),Справочники!$A$2:$B$16,2,FALSE()),"не определён")</f>
        <v>Ростовская область</v>
      </c>
      <c r="K31" s="24" t="str">
        <f aca="false">IF(TRIM(C31)="","ИНН не указан",IF(LEN(C31)&lt;&gt;10,"ИНН: должно быть 10 цифр",IF(NOT(ISNUMBER(IFERROR(VALUE(C31),"x"))),"ИНН: есть нецифровые символы",IF(MOD(MOD(SUMPRODUCT(--MID(C31,{1,2,3,4,5,6,7,8,9},1),{2,4,10,3,5,9,4,6,8}),11),10)=VALUE(RIGHT(C31,1)),"","ИНН: неверная контрольная цифра"))))</f>
        <v/>
      </c>
      <c r="L31" s="24" t="str">
        <f aca="false">IF(TRIM(D31)="","ОГРН не указан",IF(LEN(D31)&lt;&gt;13,"ОГРН: должно быть 13 цифр",IF(NOT(ISNUMBER(IFERROR(VALUE(D31),"x"))),"ОГРН: есть нецифровые символы",IF(MOD(VALUE(LEFT(D31,12))-11*INT(VALUE(LEFT(D31,12))/11),10)=VALUE(RIGHT(D31,1)),"","ОГРН: неверная контрольная цифра"))))</f>
        <v/>
      </c>
      <c r="M31" s="24" t="str">
        <f aca="false">IF(TRIM(E31)="","КПП не указан",IF(LEN(E31)&lt;&gt;9,"КПП: должно быть 9 знаков",IF(NOT(AND(ISNUMBER(IFERROR(VALUE(LEFT(E31,4)),"x")),ISNUMBER(IFERROR(VALUE(RIGHT(E31,3)),"x")))),"КПП: неверный формат",IF(LEFT(E31,2)&lt;&gt;LEFT(C31,2),"КПП: код региона не совпадает с ИНН",""))))</f>
        <v/>
      </c>
      <c r="N31" s="24" t="str">
        <f aca="false">IF(TRIM(C31)="","",IF(COUNTIF($C$2:$C$401,C31)&gt;1,"Дубликат ИНН в реестре",""))</f>
        <v/>
      </c>
      <c r="O31" s="24" t="str">
        <f aca="false">IF(TRIM(H31)="","Email не указан",IF(AND(ISNUMBER(FIND("@",H31)),ISNUMBER(FIND(".",H31,IFERROR(FIND("@",H31),1))),ISERROR(FIND(" ",H31)),LEFT(H31,1)&lt;&gt;"@",RIGHT(H31,1)&lt;&gt;".",LEN(H31)-LEN(SUBSTITUTE(H31,"@",""))=1),"","Email: неверный формат"))</f>
        <v>Email: неверный формат</v>
      </c>
      <c r="P31" s="24" t="str">
        <f aca="false">IF(TRIM(I31)="","Телефон не указан",IF(AND(LEN(SUBSTITUTE(SUBSTITUTE(SUBSTITUTE(SUBSTITUTE(SUBSTITUTE(I31," ",""),"-",""),"(",""),")",""),"+",""))=11,OR(LEFT(SUBSTITUTE(SUBSTITUTE(SUBSTITUTE(SUBSTITUTE(SUBSTITUTE(I31," ",""),"-",""),"(",""),")",""),"+",""),1)="7",LEFT(SUBSTITUTE(SUBSTITUTE(SUBSTITUTE(SUBSTITUTE(SUBSTITUTE(I31," ",""),"-",""),"(",""),")",""),"+",""),1)="8"),ISNUMBER(IFERROR(VALUE(SUBSTITUTE(SUBSTITUTE(SUBSTITUTE(SUBSTITUTE(SUBSTITUTE(I31," ",""),"-",""),"(",""),")",""),"+","")),"x"))),"","Телефон: неверный формат"))</f>
        <v/>
      </c>
      <c r="Q31" s="24" t="str">
        <f aca="false">TRIM(IF(TRIM(B31)="","Нет наименования. ","")&amp;IF(TRIM(F31)="","Нет адреса. ","")&amp;IF(TRIM(G31)="","Нет контактного лица.",""))</f>
        <v/>
      </c>
      <c r="R31" s="21" t="n">
        <f aca="false">SUMPRODUCT(--(LEN(K31:Q31)&gt;0))</f>
        <v>1</v>
      </c>
      <c r="S31" s="24" t="str">
        <f aca="false">IF(R31=0,"Готово к передаче","Требует исправления")</f>
        <v>Требует исправления</v>
      </c>
      <c r="T31" s="24" t="str">
        <f aca="false">IF(R31=0,"",_xlfn.TEXTJOIN("; ",TRUE(),K31:Q31))</f>
        <v>Email: неверный формат</v>
      </c>
      <c r="U31" s="24" t="str">
        <f aca="false">IF(R31=0,"","Здравствуйте! В данных организации «"&amp;B31&amp;"» обнаружены ошибки: "&amp;T31&amp;". Просим проверить и прислать исправленную информацию.")</f>
        <v>Здравствуйте! В данных организации «АО «Альфа Монтаж»» обнаружены ошибки: Email: неверный формат. Просим проверить и прислать исправленную информацию.</v>
      </c>
      <c r="V31" s="21" t="n">
        <f aca="false">IF(R31&gt;0,COUNTIF($R$2:R31,"&gt;0"),"")</f>
        <v>16</v>
      </c>
      <c r="W31" s="21" t="str">
        <f aca="false">IF(R31=0,COUNTIF($R$2:R31,0),"")</f>
        <v/>
      </c>
    </row>
    <row r="32" customFormat="false" ht="15" hidden="false" customHeight="false" outlineLevel="0" collapsed="false">
      <c r="A32" s="21" t="n">
        <v>31</v>
      </c>
      <c r="B32" s="22" t="s">
        <v>322</v>
      </c>
      <c r="C32" s="23" t="s">
        <v>323</v>
      </c>
      <c r="D32" s="23" t="s">
        <v>324</v>
      </c>
      <c r="E32" s="23" t="s">
        <v>325</v>
      </c>
      <c r="F32" s="22" t="s">
        <v>326</v>
      </c>
      <c r="G32" s="22" t="s">
        <v>327</v>
      </c>
      <c r="H32" s="22" t="s">
        <v>328</v>
      </c>
      <c r="I32" s="23" t="s">
        <v>329</v>
      </c>
      <c r="J32" s="24" t="str">
        <f aca="false">IFERROR(VLOOKUP(VALUE(LEFT(C32,2)),Справочники!$A$2:$B$16,2,FALSE()),"не определён")</f>
        <v>г. Москва</v>
      </c>
      <c r="K32" s="24" t="str">
        <f aca="false">IF(TRIM(C32)="","ИНН не указан",IF(LEN(C32)&lt;&gt;10,"ИНН: должно быть 10 цифр",IF(NOT(ISNUMBER(IFERROR(VALUE(C32),"x"))),"ИНН: есть нецифровые символы",IF(MOD(MOD(SUMPRODUCT(--MID(C32,{1,2,3,4,5,6,7,8,9},1),{2,4,10,3,5,9,4,6,8}),11),10)=VALUE(RIGHT(C32,1)),"","ИНН: неверная контрольная цифра"))))</f>
        <v>ИНН: должно быть 10 цифр</v>
      </c>
      <c r="L32" s="24" t="str">
        <f aca="false">IF(TRIM(D32)="","ОГРН не указан",IF(LEN(D32)&lt;&gt;13,"ОГРН: должно быть 13 цифр",IF(NOT(ISNUMBER(IFERROR(VALUE(D32),"x"))),"ОГРН: есть нецифровые символы",IF(MOD(VALUE(LEFT(D32,12))-11*INT(VALUE(LEFT(D32,12))/11),10)=VALUE(RIGHT(D32,1)),"","ОГРН: неверная контрольная цифра"))))</f>
        <v/>
      </c>
      <c r="M32" s="24" t="str">
        <f aca="false">IF(TRIM(E32)="","КПП не указан",IF(LEN(E32)&lt;&gt;9,"КПП: должно быть 9 знаков",IF(NOT(AND(ISNUMBER(IFERROR(VALUE(LEFT(E32,4)),"x")),ISNUMBER(IFERROR(VALUE(RIGHT(E32,3)),"x")))),"КПП: неверный формат",IF(LEFT(E32,2)&lt;&gt;LEFT(C32,2),"КПП: код региона не совпадает с ИНН",""))))</f>
        <v/>
      </c>
      <c r="N32" s="24" t="str">
        <f aca="false">IF(TRIM(C32)="","",IF(COUNTIF($C$2:$C$401,C32)&gt;1,"Дубликат ИНН в реестре",""))</f>
        <v/>
      </c>
      <c r="O32" s="24" t="str">
        <f aca="false">IF(TRIM(H32)="","Email не указан",IF(AND(ISNUMBER(FIND("@",H32)),ISNUMBER(FIND(".",H32,IFERROR(FIND("@",H32),1))),ISERROR(FIND(" ",H32)),LEFT(H32,1)&lt;&gt;"@",RIGHT(H32,1)&lt;&gt;".",LEN(H32)-LEN(SUBSTITUTE(H32,"@",""))=1),"","Email: неверный формат"))</f>
        <v/>
      </c>
      <c r="P32" s="24" t="str">
        <f aca="false">IF(TRIM(I32)="","Телефон не указан",IF(AND(LEN(SUBSTITUTE(SUBSTITUTE(SUBSTITUTE(SUBSTITUTE(SUBSTITUTE(I32," ",""),"-",""),"(",""),")",""),"+",""))=11,OR(LEFT(SUBSTITUTE(SUBSTITUTE(SUBSTITUTE(SUBSTITUTE(SUBSTITUTE(I32," ",""),"-",""),"(",""),")",""),"+",""),1)="7",LEFT(SUBSTITUTE(SUBSTITUTE(SUBSTITUTE(SUBSTITUTE(SUBSTITUTE(I32," ",""),"-",""),"(",""),")",""),"+",""),1)="8"),ISNUMBER(IFERROR(VALUE(SUBSTITUTE(SUBSTITUTE(SUBSTITUTE(SUBSTITUTE(SUBSTITUTE(I32," ",""),"-",""),"(",""),")",""),"+","")),"x"))),"","Телефон: неверный формат"))</f>
        <v/>
      </c>
      <c r="Q32" s="24" t="str">
        <f aca="false">TRIM(IF(TRIM(B32)="","Нет наименования. ","")&amp;IF(TRIM(F32)="","Нет адреса. ","")&amp;IF(TRIM(G32)="","Нет контактного лица.",""))</f>
        <v/>
      </c>
      <c r="R32" s="21" t="n">
        <f aca="false">SUMPRODUCT(--(LEN(K32:Q32)&gt;0))</f>
        <v>1</v>
      </c>
      <c r="S32" s="24" t="str">
        <f aca="false">IF(R32=0,"Готово к передаче","Требует исправления")</f>
        <v>Требует исправления</v>
      </c>
      <c r="T32" s="24" t="str">
        <f aca="false">IF(R32=0,"",_xlfn.TEXTJOIN("; ",TRUE(),K32:Q32))</f>
        <v>ИНН: должно быть 10 цифр</v>
      </c>
      <c r="U32" s="24" t="str">
        <f aca="false">IF(R32=0,"","Здравствуйте! В данных организации «"&amp;B32&amp;"» обнаружены ошибки: "&amp;T32&amp;". Просим проверить и прислать исправленную информацию.")</f>
        <v>Здравствуйте! В данных организации «ООО «Меридиан Консалт»» обнаружены ошибки: ИНН: должно быть 10 цифр. Просим проверить и прислать исправленную информацию.</v>
      </c>
      <c r="V32" s="21" t="n">
        <f aca="false">IF(R32&gt;0,COUNTIF($R$2:R32,"&gt;0"),"")</f>
        <v>17</v>
      </c>
      <c r="W32" s="21" t="str">
        <f aca="false">IF(R32=0,COUNTIF($R$2:R32,0),"")</f>
        <v/>
      </c>
    </row>
    <row r="33" customFormat="false" ht="15" hidden="false" customHeight="false" outlineLevel="0" collapsed="false">
      <c r="A33" s="21" t="n">
        <v>32</v>
      </c>
      <c r="B33" s="22" t="s">
        <v>330</v>
      </c>
      <c r="C33" s="23" t="s">
        <v>331</v>
      </c>
      <c r="D33" s="23" t="s">
        <v>332</v>
      </c>
      <c r="E33" s="23" t="s">
        <v>333</v>
      </c>
      <c r="F33" s="22" t="s">
        <v>334</v>
      </c>
      <c r="G33" s="22" t="s">
        <v>335</v>
      </c>
      <c r="H33" s="22" t="s">
        <v>336</v>
      </c>
      <c r="I33" s="23" t="s">
        <v>337</v>
      </c>
      <c r="J33" s="24" t="str">
        <f aca="false">IFERROR(VLOOKUP(VALUE(LEFT(C33,2)),Справочники!$A$2:$B$16,2,FALSE()),"не определён")</f>
        <v>Республика Татарстан</v>
      </c>
      <c r="K33" s="24" t="str">
        <f aca="false">IF(TRIM(C33)="","ИНН не указан",IF(LEN(C33)&lt;&gt;10,"ИНН: должно быть 10 цифр",IF(NOT(ISNUMBER(IFERROR(VALUE(C33),"x"))),"ИНН: есть нецифровые символы",IF(MOD(MOD(SUMPRODUCT(--MID(C33,{1,2,3,4,5,6,7,8,9},1),{2,4,10,3,5,9,4,6,8}),11),10)=VALUE(RIGHT(C33,1)),"","ИНН: неверная контрольная цифра"))))</f>
        <v/>
      </c>
      <c r="L33" s="24" t="str">
        <f aca="false">IF(TRIM(D33)="","ОГРН не указан",IF(LEN(D33)&lt;&gt;13,"ОГРН: должно быть 13 цифр",IF(NOT(ISNUMBER(IFERROR(VALUE(D33),"x"))),"ОГРН: есть нецифровые символы",IF(MOD(VALUE(LEFT(D33,12))-11*INT(VALUE(LEFT(D33,12))/11),10)=VALUE(RIGHT(D33,1)),"","ОГРН: неверная контрольная цифра"))))</f>
        <v/>
      </c>
      <c r="M33" s="24" t="str">
        <f aca="false">IF(TRIM(E33)="","КПП не указан",IF(LEN(E33)&lt;&gt;9,"КПП: должно быть 9 знаков",IF(NOT(AND(ISNUMBER(IFERROR(VALUE(LEFT(E33,4)),"x")),ISNUMBER(IFERROR(VALUE(RIGHT(E33,3)),"x")))),"КПП: неверный формат",IF(LEFT(E33,2)&lt;&gt;LEFT(C33,2),"КПП: код региона не совпадает с ИНН",""))))</f>
        <v/>
      </c>
      <c r="N33" s="24" t="str">
        <f aca="false">IF(TRIM(C33)="","",IF(COUNTIF($C$2:$C$401,C33)&gt;1,"Дубликат ИНН в реестре",""))</f>
        <v/>
      </c>
      <c r="O33" s="24" t="str">
        <f aca="false">IF(TRIM(H33)="","Email не указан",IF(AND(ISNUMBER(FIND("@",H33)),ISNUMBER(FIND(".",H33,IFERROR(FIND("@",H33),1))),ISERROR(FIND(" ",H33)),LEFT(H33,1)&lt;&gt;"@",RIGHT(H33,1)&lt;&gt;".",LEN(H33)-LEN(SUBSTITUTE(H33,"@",""))=1),"","Email: неверный формат"))</f>
        <v/>
      </c>
      <c r="P33" s="24" t="str">
        <f aca="false">IF(TRIM(I33)="","Телефон не указан",IF(AND(LEN(SUBSTITUTE(SUBSTITUTE(SUBSTITUTE(SUBSTITUTE(SUBSTITUTE(I33," ",""),"-",""),"(",""),")",""),"+",""))=11,OR(LEFT(SUBSTITUTE(SUBSTITUTE(SUBSTITUTE(SUBSTITUTE(SUBSTITUTE(I33," ",""),"-",""),"(",""),")",""),"+",""),1)="7",LEFT(SUBSTITUTE(SUBSTITUTE(SUBSTITUTE(SUBSTITUTE(SUBSTITUTE(I33," ",""),"-",""),"(",""),")",""),"+",""),1)="8"),ISNUMBER(IFERROR(VALUE(SUBSTITUTE(SUBSTITUTE(SUBSTITUTE(SUBSTITUTE(SUBSTITUTE(I33," ",""),"-",""),"(",""),")",""),"+","")),"x"))),"","Телефон: неверный формат"))</f>
        <v/>
      </c>
      <c r="Q33" s="24" t="str">
        <f aca="false">TRIM(IF(TRIM(B33)="","Нет наименования. ","")&amp;IF(TRIM(F33)="","Нет адреса. ","")&amp;IF(TRIM(G33)="","Нет контактного лица.",""))</f>
        <v/>
      </c>
      <c r="R33" s="21" t="n">
        <f aca="false">SUMPRODUCT(--(LEN(K33:Q33)&gt;0))</f>
        <v>0</v>
      </c>
      <c r="S33" s="24" t="str">
        <f aca="false">IF(R33=0,"Готово к передаче","Требует исправления")</f>
        <v>Готово к передаче</v>
      </c>
      <c r="T33" s="24" t="str">
        <f aca="false">IF(R33=0,"",_xlfn.TEXTJOIN("; ",TRUE(),K33:Q33))</f>
        <v/>
      </c>
      <c r="U33" s="24" t="str">
        <f aca="false">IF(R33=0,"","Здравствуйте! В данных организации «"&amp;B33&amp;"» обнаружены ошибки: "&amp;T33&amp;". Просим проверить и прислать исправленную информацию.")</f>
        <v/>
      </c>
      <c r="V33" s="21" t="str">
        <f aca="false">IF(R33&gt;0,COUNTIF($R$2:R33,"&gt;0"),"")</f>
        <v/>
      </c>
      <c r="W33" s="21" t="n">
        <f aca="false">IF(R33=0,COUNTIF($R$2:R33,0),"")</f>
        <v>15</v>
      </c>
    </row>
    <row r="34" customFormat="false" ht="15" hidden="false" customHeight="false" outlineLevel="0" collapsed="false">
      <c r="A34" s="21" t="n">
        <v>33</v>
      </c>
      <c r="B34" s="22" t="s">
        <v>338</v>
      </c>
      <c r="C34" s="23" t="s">
        <v>339</v>
      </c>
      <c r="D34" s="23" t="s">
        <v>340</v>
      </c>
      <c r="E34" s="23" t="s">
        <v>341</v>
      </c>
      <c r="F34" s="22" t="s">
        <v>342</v>
      </c>
      <c r="G34" s="22" t="s">
        <v>343</v>
      </c>
      <c r="H34" s="22" t="s">
        <v>344</v>
      </c>
      <c r="I34" s="23" t="s">
        <v>345</v>
      </c>
      <c r="J34" s="24" t="str">
        <f aca="false">IFERROR(VLOOKUP(VALUE(LEFT(C34,2)),Справочники!$A$2:$B$16,2,FALSE()),"не определён")</f>
        <v>Московская область</v>
      </c>
      <c r="K34" s="24" t="str">
        <f aca="false">IF(TRIM(C34)="","ИНН не указан",IF(LEN(C34)&lt;&gt;10,"ИНН: должно быть 10 цифр",IF(NOT(ISNUMBER(IFERROR(VALUE(C34),"x"))),"ИНН: есть нецифровые символы",IF(MOD(MOD(SUMPRODUCT(--MID(C34,{1,2,3,4,5,6,7,8,9},1),{2,4,10,3,5,9,4,6,8}),11),10)=VALUE(RIGHT(C34,1)),"","ИНН: неверная контрольная цифра"))))</f>
        <v>ИНН: должно быть 10 цифр</v>
      </c>
      <c r="L34" s="24" t="str">
        <f aca="false">IF(TRIM(D34)="","ОГРН не указан",IF(LEN(D34)&lt;&gt;13,"ОГРН: должно быть 13 цифр",IF(NOT(ISNUMBER(IFERROR(VALUE(D34),"x"))),"ОГРН: есть нецифровые символы",IF(MOD(VALUE(LEFT(D34,12))-11*INT(VALUE(LEFT(D34,12))/11),10)=VALUE(RIGHT(D34,1)),"","ОГРН: неверная контрольная цифра"))))</f>
        <v/>
      </c>
      <c r="M34" s="24" t="str">
        <f aca="false">IF(TRIM(E34)="","КПП не указан",IF(LEN(E34)&lt;&gt;9,"КПП: должно быть 9 знаков",IF(NOT(AND(ISNUMBER(IFERROR(VALUE(LEFT(E34,4)),"x")),ISNUMBER(IFERROR(VALUE(RIGHT(E34,3)),"x")))),"КПП: неверный формат",IF(LEFT(E34,2)&lt;&gt;LEFT(C34,2),"КПП: код региона не совпадает с ИНН",""))))</f>
        <v/>
      </c>
      <c r="N34" s="24" t="str">
        <f aca="false">IF(TRIM(C34)="","",IF(COUNTIF($C$2:$C$401,C34)&gt;1,"Дубликат ИНН в реестре",""))</f>
        <v/>
      </c>
      <c r="O34" s="24" t="str">
        <f aca="false">IF(TRIM(H34)="","Email не указан",IF(AND(ISNUMBER(FIND("@",H34)),ISNUMBER(FIND(".",H34,IFERROR(FIND("@",H34),1))),ISERROR(FIND(" ",H34)),LEFT(H34,1)&lt;&gt;"@",RIGHT(H34,1)&lt;&gt;".",LEN(H34)-LEN(SUBSTITUTE(H34,"@",""))=1),"","Email: неверный формат"))</f>
        <v/>
      </c>
      <c r="P34" s="24" t="str">
        <f aca="false">IF(TRIM(I34)="","Телефон не указан",IF(AND(LEN(SUBSTITUTE(SUBSTITUTE(SUBSTITUTE(SUBSTITUTE(SUBSTITUTE(I34," ",""),"-",""),"(",""),")",""),"+",""))=11,OR(LEFT(SUBSTITUTE(SUBSTITUTE(SUBSTITUTE(SUBSTITUTE(SUBSTITUTE(I34," ",""),"-",""),"(",""),")",""),"+",""),1)="7",LEFT(SUBSTITUTE(SUBSTITUTE(SUBSTITUTE(SUBSTITUTE(SUBSTITUTE(I34," ",""),"-",""),"(",""),")",""),"+",""),1)="8"),ISNUMBER(IFERROR(VALUE(SUBSTITUTE(SUBSTITUTE(SUBSTITUTE(SUBSTITUTE(SUBSTITUTE(I34," ",""),"-",""),"(",""),")",""),"+","")),"x"))),"","Телефон: неверный формат"))</f>
        <v/>
      </c>
      <c r="Q34" s="24" t="str">
        <f aca="false">TRIM(IF(TRIM(B34)="","Нет наименования. ","")&amp;IF(TRIM(F34)="","Нет адреса. ","")&amp;IF(TRIM(G34)="","Нет контактного лица.",""))</f>
        <v/>
      </c>
      <c r="R34" s="21" t="n">
        <f aca="false">SUMPRODUCT(--(LEN(K34:Q34)&gt;0))</f>
        <v>1</v>
      </c>
      <c r="S34" s="24" t="str">
        <f aca="false">IF(R34=0,"Готово к передаче","Требует исправления")</f>
        <v>Требует исправления</v>
      </c>
      <c r="T34" s="24" t="str">
        <f aca="false">IF(R34=0,"",_xlfn.TEXTJOIN("; ",TRUE(),K34:Q34))</f>
        <v>ИНН: должно быть 10 цифр</v>
      </c>
      <c r="U34" s="24" t="str">
        <f aca="false">IF(R34=0,"","Здравствуйте! В данных организации «"&amp;B34&amp;"» обнаружены ошибки: "&amp;T34&amp;". Просим проверить и прислать исправленную информацию.")</f>
        <v>Здравствуйте! В данных организации «ООО «Юпитер Групп»» обнаружены ошибки: ИНН: должно быть 10 цифр. Просим проверить и прислать исправленную информацию.</v>
      </c>
      <c r="V34" s="21" t="n">
        <f aca="false">IF(R34&gt;0,COUNTIF($R$2:R34,"&gt;0"),"")</f>
        <v>18</v>
      </c>
      <c r="W34" s="21" t="str">
        <f aca="false">IF(R34=0,COUNTIF($R$2:R34,0),"")</f>
        <v/>
      </c>
    </row>
    <row r="35" customFormat="false" ht="15" hidden="false" customHeight="false" outlineLevel="0" collapsed="false">
      <c r="A35" s="21" t="n">
        <v>34</v>
      </c>
      <c r="B35" s="22" t="s">
        <v>346</v>
      </c>
      <c r="C35" s="23" t="s">
        <v>347</v>
      </c>
      <c r="D35" s="23" t="s">
        <v>348</v>
      </c>
      <c r="E35" s="23" t="s">
        <v>349</v>
      </c>
      <c r="F35" s="22" t="s">
        <v>350</v>
      </c>
      <c r="G35" s="22" t="s">
        <v>351</v>
      </c>
      <c r="H35" s="22" t="s">
        <v>352</v>
      </c>
      <c r="I35" s="23" t="s">
        <v>353</v>
      </c>
      <c r="J35" s="24" t="str">
        <f aca="false">IFERROR(VLOOKUP(VALUE(LEFT(C35,2)),Справочники!$A$2:$B$16,2,FALSE()),"не определён")</f>
        <v>Красноярский край</v>
      </c>
      <c r="K35" s="24" t="str">
        <f aca="false">IF(TRIM(C35)="","ИНН не указан",IF(LEN(C35)&lt;&gt;10,"ИНН: должно быть 10 цифр",IF(NOT(ISNUMBER(IFERROR(VALUE(C35),"x"))),"ИНН: есть нецифровые символы",IF(MOD(MOD(SUMPRODUCT(--MID(C35,{1,2,3,4,5,6,7,8,9},1),{2,4,10,3,5,9,4,6,8}),11),10)=VALUE(RIGHT(C35,1)),"","ИНН: неверная контрольная цифра"))))</f>
        <v/>
      </c>
      <c r="L35" s="24" t="str">
        <f aca="false">IF(TRIM(D35)="","ОГРН не указан",IF(LEN(D35)&lt;&gt;13,"ОГРН: должно быть 13 цифр",IF(NOT(ISNUMBER(IFERROR(VALUE(D35),"x"))),"ОГРН: есть нецифровые символы",IF(MOD(VALUE(LEFT(D35,12))-11*INT(VALUE(LEFT(D35,12))/11),10)=VALUE(RIGHT(D35,1)),"","ОГРН: неверная контрольная цифра"))))</f>
        <v/>
      </c>
      <c r="M35" s="24" t="str">
        <f aca="false">IF(TRIM(E35)="","КПП не указан",IF(LEN(E35)&lt;&gt;9,"КПП: должно быть 9 знаков",IF(NOT(AND(ISNUMBER(IFERROR(VALUE(LEFT(E35,4)),"x")),ISNUMBER(IFERROR(VALUE(RIGHT(E35,3)),"x")))),"КПП: неверный формат",IF(LEFT(E35,2)&lt;&gt;LEFT(C35,2),"КПП: код региона не совпадает с ИНН",""))))</f>
        <v/>
      </c>
      <c r="N35" s="24" t="str">
        <f aca="false">IF(TRIM(C35)="","",IF(COUNTIF($C$2:$C$401,C35)&gt;1,"Дубликат ИНН в реестре",""))</f>
        <v/>
      </c>
      <c r="O35" s="24" t="str">
        <f aca="false">IF(TRIM(H35)="","Email не указан",IF(AND(ISNUMBER(FIND("@",H35)),ISNUMBER(FIND(".",H35,IFERROR(FIND("@",H35),1))),ISERROR(FIND(" ",H35)),LEFT(H35,1)&lt;&gt;"@",RIGHT(H35,1)&lt;&gt;".",LEN(H35)-LEN(SUBSTITUTE(H35,"@",""))=1),"","Email: неверный формат"))</f>
        <v/>
      </c>
      <c r="P35" s="24" t="str">
        <f aca="false">IF(TRIM(I35)="","Телефон не указан",IF(AND(LEN(SUBSTITUTE(SUBSTITUTE(SUBSTITUTE(SUBSTITUTE(SUBSTITUTE(I35," ",""),"-",""),"(",""),")",""),"+",""))=11,OR(LEFT(SUBSTITUTE(SUBSTITUTE(SUBSTITUTE(SUBSTITUTE(SUBSTITUTE(I35," ",""),"-",""),"(",""),")",""),"+",""),1)="7",LEFT(SUBSTITUTE(SUBSTITUTE(SUBSTITUTE(SUBSTITUTE(SUBSTITUTE(I35," ",""),"-",""),"(",""),")",""),"+",""),1)="8"),ISNUMBER(IFERROR(VALUE(SUBSTITUTE(SUBSTITUTE(SUBSTITUTE(SUBSTITUTE(SUBSTITUTE(I35," ",""),"-",""),"(",""),")",""),"+","")),"x"))),"","Телефон: неверный формат"))</f>
        <v/>
      </c>
      <c r="Q35" s="24" t="str">
        <f aca="false">TRIM(IF(TRIM(B35)="","Нет наименования. ","")&amp;IF(TRIM(F35)="","Нет адреса. ","")&amp;IF(TRIM(G35)="","Нет контактного лица.",""))</f>
        <v/>
      </c>
      <c r="R35" s="21" t="n">
        <f aca="false">SUMPRODUCT(--(LEN(K35:Q35)&gt;0))</f>
        <v>0</v>
      </c>
      <c r="S35" s="24" t="str">
        <f aca="false">IF(R35=0,"Готово к передаче","Требует исправления")</f>
        <v>Готово к передаче</v>
      </c>
      <c r="T35" s="24" t="str">
        <f aca="false">IF(R35=0,"",_xlfn.TEXTJOIN("; ",TRUE(),K35:Q35))</f>
        <v/>
      </c>
      <c r="U35" s="24" t="str">
        <f aca="false">IF(R35=0,"","Здравствуйте! В данных организации «"&amp;B35&amp;"» обнаружены ошибки: "&amp;T35&amp;". Просим проверить и прислать исправленную информацию.")</f>
        <v/>
      </c>
      <c r="V35" s="21" t="str">
        <f aca="false">IF(R35&gt;0,COUNTIF($R$2:R35,"&gt;0"),"")</f>
        <v/>
      </c>
      <c r="W35" s="21" t="n">
        <f aca="false">IF(R35=0,COUNTIF($R$2:R35,0),"")</f>
        <v>16</v>
      </c>
    </row>
    <row r="36" customFormat="false" ht="15" hidden="false" customHeight="false" outlineLevel="0" collapsed="false">
      <c r="A36" s="21" t="n">
        <v>35</v>
      </c>
      <c r="B36" s="22" t="s">
        <v>354</v>
      </c>
      <c r="C36" s="23" t="s">
        <v>355</v>
      </c>
      <c r="D36" s="23" t="s">
        <v>356</v>
      </c>
      <c r="E36" s="23" t="s">
        <v>357</v>
      </c>
      <c r="F36" s="22" t="s">
        <v>358</v>
      </c>
      <c r="G36" s="22" t="s">
        <v>359</v>
      </c>
      <c r="H36" s="22" t="s">
        <v>360</v>
      </c>
      <c r="I36" s="23" t="s">
        <v>361</v>
      </c>
      <c r="J36" s="24" t="str">
        <f aca="false">IFERROR(VLOOKUP(VALUE(LEFT(C36,2)),Справочники!$A$2:$B$16,2,FALSE()),"не определён")</f>
        <v>Республика Башкортостан</v>
      </c>
      <c r="K36" s="24" t="str">
        <f aca="false">IF(TRIM(C36)="","ИНН не указан",IF(LEN(C36)&lt;&gt;10,"ИНН: должно быть 10 цифр",IF(NOT(ISNUMBER(IFERROR(VALUE(C36),"x"))),"ИНН: есть нецифровые символы",IF(MOD(MOD(SUMPRODUCT(--MID(C36,{1,2,3,4,5,6,7,8,9},1),{2,4,10,3,5,9,4,6,8}),11),10)=VALUE(RIGHT(C36,1)),"","ИНН: неверная контрольная цифра"))))</f>
        <v/>
      </c>
      <c r="L36" s="24" t="str">
        <f aca="false">IF(TRIM(D36)="","ОГРН не указан",IF(LEN(D36)&lt;&gt;13,"ОГРН: должно быть 13 цифр",IF(NOT(ISNUMBER(IFERROR(VALUE(D36),"x"))),"ОГРН: есть нецифровые символы",IF(MOD(VALUE(LEFT(D36,12))-11*INT(VALUE(LEFT(D36,12))/11),10)=VALUE(RIGHT(D36,1)),"","ОГРН: неверная контрольная цифра"))))</f>
        <v/>
      </c>
      <c r="M36" s="24" t="str">
        <f aca="false">IF(TRIM(E36)="","КПП не указан",IF(LEN(E36)&lt;&gt;9,"КПП: должно быть 9 знаков",IF(NOT(AND(ISNUMBER(IFERROR(VALUE(LEFT(E36,4)),"x")),ISNUMBER(IFERROR(VALUE(RIGHT(E36,3)),"x")))),"КПП: неверный формат",IF(LEFT(E36,2)&lt;&gt;LEFT(C36,2),"КПП: код региона не совпадает с ИНН",""))))</f>
        <v/>
      </c>
      <c r="N36" s="24" t="str">
        <f aca="false">IF(TRIM(C36)="","",IF(COUNTIF($C$2:$C$401,C36)&gt;1,"Дубликат ИНН в реестре",""))</f>
        <v/>
      </c>
      <c r="O36" s="24" t="str">
        <f aca="false">IF(TRIM(H36)="","Email не указан",IF(AND(ISNUMBER(FIND("@",H36)),ISNUMBER(FIND(".",H36,IFERROR(FIND("@",H36),1))),ISERROR(FIND(" ",H36)),LEFT(H36,1)&lt;&gt;"@",RIGHT(H36,1)&lt;&gt;".",LEN(H36)-LEN(SUBSTITUTE(H36,"@",""))=1),"","Email: неверный формат"))</f>
        <v/>
      </c>
      <c r="P36" s="24" t="str">
        <f aca="false">IF(TRIM(I36)="","Телефон не указан",IF(AND(LEN(SUBSTITUTE(SUBSTITUTE(SUBSTITUTE(SUBSTITUTE(SUBSTITUTE(I36," ",""),"-",""),"(",""),")",""),"+",""))=11,OR(LEFT(SUBSTITUTE(SUBSTITUTE(SUBSTITUTE(SUBSTITUTE(SUBSTITUTE(I36," ",""),"-",""),"(",""),")",""),"+",""),1)="7",LEFT(SUBSTITUTE(SUBSTITUTE(SUBSTITUTE(SUBSTITUTE(SUBSTITUTE(I36," ",""),"-",""),"(",""),")",""),"+",""),1)="8"),ISNUMBER(IFERROR(VALUE(SUBSTITUTE(SUBSTITUTE(SUBSTITUTE(SUBSTITUTE(SUBSTITUTE(I36," ",""),"-",""),"(",""),")",""),"+","")),"x"))),"","Телефон: неверный формат"))</f>
        <v/>
      </c>
      <c r="Q36" s="24" t="str">
        <f aca="false">TRIM(IF(TRIM(B36)="","Нет наименования. ","")&amp;IF(TRIM(F36)="","Нет адреса. ","")&amp;IF(TRIM(G36)="","Нет контактного лица.",""))</f>
        <v/>
      </c>
      <c r="R36" s="21" t="n">
        <f aca="false">SUMPRODUCT(--(LEN(K36:Q36)&gt;0))</f>
        <v>0</v>
      </c>
      <c r="S36" s="24" t="str">
        <f aca="false">IF(R36=0,"Готово к передаче","Требует исправления")</f>
        <v>Готово к передаче</v>
      </c>
      <c r="T36" s="24" t="str">
        <f aca="false">IF(R36=0,"",_xlfn.TEXTJOIN("; ",TRUE(),K36:Q36))</f>
        <v/>
      </c>
      <c r="U36" s="24" t="str">
        <f aca="false">IF(R36=0,"","Здравствуйте! В данных организации «"&amp;B36&amp;"» обнаружены ошибки: "&amp;T36&amp;". Просим проверить и прислать исправленную информацию.")</f>
        <v/>
      </c>
      <c r="V36" s="21" t="str">
        <f aca="false">IF(R36&gt;0,COUNTIF($R$2:R36,"&gt;0"),"")</f>
        <v/>
      </c>
      <c r="W36" s="21" t="n">
        <f aca="false">IF(R36=0,COUNTIF($R$2:R36,0),"")</f>
        <v>17</v>
      </c>
    </row>
    <row r="37" customFormat="false" ht="15" hidden="false" customHeight="false" outlineLevel="0" collapsed="false">
      <c r="A37" s="21" t="n">
        <v>36</v>
      </c>
      <c r="B37" s="22" t="s">
        <v>362</v>
      </c>
      <c r="C37" s="23" t="s">
        <v>363</v>
      </c>
      <c r="D37" s="23" t="s">
        <v>364</v>
      </c>
      <c r="E37" s="23" t="s">
        <v>365</v>
      </c>
      <c r="F37" s="22" t="s">
        <v>366</v>
      </c>
      <c r="G37" s="22" t="s">
        <v>367</v>
      </c>
      <c r="H37" s="22" t="s">
        <v>368</v>
      </c>
      <c r="I37" s="23" t="s">
        <v>369</v>
      </c>
      <c r="J37" s="24" t="str">
        <f aca="false">IFERROR(VLOOKUP(VALUE(LEFT(C37,2)),Справочники!$A$2:$B$16,2,FALSE()),"не определён")</f>
        <v>г. Севастополь</v>
      </c>
      <c r="K37" s="24" t="str">
        <f aca="false">IF(TRIM(C37)="","ИНН не указан",IF(LEN(C37)&lt;&gt;10,"ИНН: должно быть 10 цифр",IF(NOT(ISNUMBER(IFERROR(VALUE(C37),"x"))),"ИНН: есть нецифровые символы",IF(MOD(MOD(SUMPRODUCT(--MID(C37,{1,2,3,4,5,6,7,8,9},1),{2,4,10,3,5,9,4,6,8}),11),10)=VALUE(RIGHT(C37,1)),"","ИНН: неверная контрольная цифра"))))</f>
        <v/>
      </c>
      <c r="L37" s="24" t="str">
        <f aca="false">IF(TRIM(D37)="","ОГРН не указан",IF(LEN(D37)&lt;&gt;13,"ОГРН: должно быть 13 цифр",IF(NOT(ISNUMBER(IFERROR(VALUE(D37),"x"))),"ОГРН: есть нецифровые символы",IF(MOD(VALUE(LEFT(D37,12))-11*INT(VALUE(LEFT(D37,12))/11),10)=VALUE(RIGHT(D37,1)),"","ОГРН: неверная контрольная цифра"))))</f>
        <v/>
      </c>
      <c r="M37" s="24" t="str">
        <f aca="false">IF(TRIM(E37)="","КПП не указан",IF(LEN(E37)&lt;&gt;9,"КПП: должно быть 9 знаков",IF(NOT(AND(ISNUMBER(IFERROR(VALUE(LEFT(E37,4)),"x")),ISNUMBER(IFERROR(VALUE(RIGHT(E37,3)),"x")))),"КПП: неверный формат",IF(LEFT(E37,2)&lt;&gt;LEFT(C37,2),"КПП: код региона не совпадает с ИНН",""))))</f>
        <v/>
      </c>
      <c r="N37" s="24" t="str">
        <f aca="false">IF(TRIM(C37)="","",IF(COUNTIF($C$2:$C$401,C37)&gt;1,"Дубликат ИНН в реестре",""))</f>
        <v/>
      </c>
      <c r="O37" s="24" t="str">
        <f aca="false">IF(TRIM(H37)="","Email не указан",IF(AND(ISNUMBER(FIND("@",H37)),ISNUMBER(FIND(".",H37,IFERROR(FIND("@",H37),1))),ISERROR(FIND(" ",H37)),LEFT(H37,1)&lt;&gt;"@",RIGHT(H37,1)&lt;&gt;".",LEN(H37)-LEN(SUBSTITUTE(H37,"@",""))=1),"","Email: неверный формат"))</f>
        <v/>
      </c>
      <c r="P37" s="24" t="str">
        <f aca="false">IF(TRIM(I37)="","Телефон не указан",IF(AND(LEN(SUBSTITUTE(SUBSTITUTE(SUBSTITUTE(SUBSTITUTE(SUBSTITUTE(I37," ",""),"-",""),"(",""),")",""),"+",""))=11,OR(LEFT(SUBSTITUTE(SUBSTITUTE(SUBSTITUTE(SUBSTITUTE(SUBSTITUTE(I37," ",""),"-",""),"(",""),")",""),"+",""),1)="7",LEFT(SUBSTITUTE(SUBSTITUTE(SUBSTITUTE(SUBSTITUTE(SUBSTITUTE(I37," ",""),"-",""),"(",""),")",""),"+",""),1)="8"),ISNUMBER(IFERROR(VALUE(SUBSTITUTE(SUBSTITUTE(SUBSTITUTE(SUBSTITUTE(SUBSTITUTE(I37," ",""),"-",""),"(",""),")",""),"+","")),"x"))),"","Телефон: неверный формат"))</f>
        <v/>
      </c>
      <c r="Q37" s="24" t="str">
        <f aca="false">TRIM(IF(TRIM(B37)="","Нет наименования. ","")&amp;IF(TRIM(F37)="","Нет адреса. ","")&amp;IF(TRIM(G37)="","Нет контактного лица.",""))</f>
        <v/>
      </c>
      <c r="R37" s="21" t="n">
        <f aca="false">SUMPRODUCT(--(LEN(K37:Q37)&gt;0))</f>
        <v>0</v>
      </c>
      <c r="S37" s="24" t="str">
        <f aca="false">IF(R37=0,"Готово к передаче","Требует исправления")</f>
        <v>Готово к передаче</v>
      </c>
      <c r="T37" s="24" t="str">
        <f aca="false">IF(R37=0,"",_xlfn.TEXTJOIN("; ",TRUE(),K37:Q37))</f>
        <v/>
      </c>
      <c r="U37" s="24" t="str">
        <f aca="false">IF(R37=0,"","Здравствуйте! В данных организации «"&amp;B37&amp;"» обнаружены ошибки: "&amp;T37&amp;". Просим проверить и прислать исправленную информацию.")</f>
        <v/>
      </c>
      <c r="V37" s="21" t="str">
        <f aca="false">IF(R37&gt;0,COUNTIF($R$2:R37,"&gt;0"),"")</f>
        <v/>
      </c>
      <c r="W37" s="21" t="n">
        <f aca="false">IF(R37=0,COUNTIF($R$2:R37,0),"")</f>
        <v>18</v>
      </c>
    </row>
    <row r="38" customFormat="false" ht="15" hidden="false" customHeight="false" outlineLevel="0" collapsed="false">
      <c r="A38" s="21" t="n">
        <v>37</v>
      </c>
      <c r="B38" s="22" t="s">
        <v>370</v>
      </c>
      <c r="C38" s="23" t="s">
        <v>371</v>
      </c>
      <c r="D38" s="23" t="s">
        <v>372</v>
      </c>
      <c r="E38" s="23" t="s">
        <v>373</v>
      </c>
      <c r="F38" s="22" t="s">
        <v>374</v>
      </c>
      <c r="G38" s="22" t="s">
        <v>375</v>
      </c>
      <c r="H38" s="22" t="s">
        <v>376</v>
      </c>
      <c r="I38" s="23" t="s">
        <v>377</v>
      </c>
      <c r="J38" s="24" t="str">
        <f aca="false">IFERROR(VLOOKUP(VALUE(LEFT(C38,2)),Справочники!$A$2:$B$16,2,FALSE()),"не определён")</f>
        <v>Краснодарский край</v>
      </c>
      <c r="K38" s="24" t="str">
        <f aca="false">IF(TRIM(C38)="","ИНН не указан",IF(LEN(C38)&lt;&gt;10,"ИНН: должно быть 10 цифр",IF(NOT(ISNUMBER(IFERROR(VALUE(C38),"x"))),"ИНН: есть нецифровые символы",IF(MOD(MOD(SUMPRODUCT(--MID(C38,{1,2,3,4,5,6,7,8,9},1),{2,4,10,3,5,9,4,6,8}),11),10)=VALUE(RIGHT(C38,1)),"","ИНН: неверная контрольная цифра"))))</f>
        <v/>
      </c>
      <c r="L38" s="24" t="str">
        <f aca="false">IF(TRIM(D38)="","ОГРН не указан",IF(LEN(D38)&lt;&gt;13,"ОГРН: должно быть 13 цифр",IF(NOT(ISNUMBER(IFERROR(VALUE(D38),"x"))),"ОГРН: есть нецифровые символы",IF(MOD(VALUE(LEFT(D38,12))-11*INT(VALUE(LEFT(D38,12))/11),10)=VALUE(RIGHT(D38,1)),"","ОГРН: неверная контрольная цифра"))))</f>
        <v/>
      </c>
      <c r="M38" s="24" t="str">
        <f aca="false">IF(TRIM(E38)="","КПП не указан",IF(LEN(E38)&lt;&gt;9,"КПП: должно быть 9 знаков",IF(NOT(AND(ISNUMBER(IFERROR(VALUE(LEFT(E38,4)),"x")),ISNUMBER(IFERROR(VALUE(RIGHT(E38,3)),"x")))),"КПП: неверный формат",IF(LEFT(E38,2)&lt;&gt;LEFT(C38,2),"КПП: код региона не совпадает с ИНН",""))))</f>
        <v/>
      </c>
      <c r="N38" s="24" t="str">
        <f aca="false">IF(TRIM(C38)="","",IF(COUNTIF($C$2:$C$401,C38)&gt;1,"Дубликат ИНН в реестре",""))</f>
        <v/>
      </c>
      <c r="O38" s="24" t="str">
        <f aca="false">IF(TRIM(H38)="","Email не указан",IF(AND(ISNUMBER(FIND("@",H38)),ISNUMBER(FIND(".",H38,IFERROR(FIND("@",H38),1))),ISERROR(FIND(" ",H38)),LEFT(H38,1)&lt;&gt;"@",RIGHT(H38,1)&lt;&gt;".",LEN(H38)-LEN(SUBSTITUTE(H38,"@",""))=1),"","Email: неверный формат"))</f>
        <v/>
      </c>
      <c r="P38" s="24" t="str">
        <f aca="false">IF(TRIM(I38)="","Телефон не указан",IF(AND(LEN(SUBSTITUTE(SUBSTITUTE(SUBSTITUTE(SUBSTITUTE(SUBSTITUTE(I38," ",""),"-",""),"(",""),")",""),"+",""))=11,OR(LEFT(SUBSTITUTE(SUBSTITUTE(SUBSTITUTE(SUBSTITUTE(SUBSTITUTE(I38," ",""),"-",""),"(",""),")",""),"+",""),1)="7",LEFT(SUBSTITUTE(SUBSTITUTE(SUBSTITUTE(SUBSTITUTE(SUBSTITUTE(I38," ",""),"-",""),"(",""),")",""),"+",""),1)="8"),ISNUMBER(IFERROR(VALUE(SUBSTITUTE(SUBSTITUTE(SUBSTITUTE(SUBSTITUTE(SUBSTITUTE(I38," ",""),"-",""),"(",""),")",""),"+","")),"x"))),"","Телефон: неверный формат"))</f>
        <v/>
      </c>
      <c r="Q38" s="24" t="str">
        <f aca="false">TRIM(IF(TRIM(B38)="","Нет наименования. ","")&amp;IF(TRIM(F38)="","Нет адреса. ","")&amp;IF(TRIM(G38)="","Нет контактного лица.",""))</f>
        <v/>
      </c>
      <c r="R38" s="21" t="n">
        <f aca="false">SUMPRODUCT(--(LEN(K38:Q38)&gt;0))</f>
        <v>0</v>
      </c>
      <c r="S38" s="24" t="str">
        <f aca="false">IF(R38=0,"Готово к передаче","Требует исправления")</f>
        <v>Готово к передаче</v>
      </c>
      <c r="T38" s="24" t="str">
        <f aca="false">IF(R38=0,"",_xlfn.TEXTJOIN("; ",TRUE(),K38:Q38))</f>
        <v/>
      </c>
      <c r="U38" s="24" t="str">
        <f aca="false">IF(R38=0,"","Здравствуйте! В данных организации «"&amp;B38&amp;"» обнаружены ошибки: "&amp;T38&amp;". Просим проверить и прислать исправленную информацию.")</f>
        <v/>
      </c>
      <c r="V38" s="21" t="str">
        <f aca="false">IF(R38&gt;0,COUNTIF($R$2:R38,"&gt;0"),"")</f>
        <v/>
      </c>
      <c r="W38" s="21" t="n">
        <f aca="false">IF(R38=0,COUNTIF($R$2:R38,0),"")</f>
        <v>19</v>
      </c>
    </row>
    <row r="39" customFormat="false" ht="15" hidden="false" customHeight="false" outlineLevel="0" collapsed="false">
      <c r="A39" s="21" t="n">
        <v>38</v>
      </c>
      <c r="B39" s="22" t="s">
        <v>378</v>
      </c>
      <c r="C39" s="23" t="s">
        <v>379</v>
      </c>
      <c r="D39" s="23" t="s">
        <v>380</v>
      </c>
      <c r="E39" s="23" t="s">
        <v>381</v>
      </c>
      <c r="F39" s="22" t="s">
        <v>382</v>
      </c>
      <c r="G39" s="22" t="s">
        <v>383</v>
      </c>
      <c r="H39" s="22" t="s">
        <v>384</v>
      </c>
      <c r="I39" s="23" t="s">
        <v>385</v>
      </c>
      <c r="J39" s="24" t="str">
        <f aca="false">IFERROR(VLOOKUP(VALUE(LEFT(C39,2)),Справочники!$A$2:$B$16,2,FALSE()),"не определён")</f>
        <v>Республика Крым</v>
      </c>
      <c r="K39" s="24" t="str">
        <f aca="false">IF(TRIM(C39)="","ИНН не указан",IF(LEN(C39)&lt;&gt;10,"ИНН: должно быть 10 цифр",IF(NOT(ISNUMBER(IFERROR(VALUE(C39),"x"))),"ИНН: есть нецифровые символы",IF(MOD(MOD(SUMPRODUCT(--MID(C39,{1,2,3,4,5,6,7,8,9},1),{2,4,10,3,5,9,4,6,8}),11),10)=VALUE(RIGHT(C39,1)),"","ИНН: неверная контрольная цифра"))))</f>
        <v/>
      </c>
      <c r="L39" s="24" t="str">
        <f aca="false">IF(TRIM(D39)="","ОГРН не указан",IF(LEN(D39)&lt;&gt;13,"ОГРН: должно быть 13 цифр",IF(NOT(ISNUMBER(IFERROR(VALUE(D39),"x"))),"ОГРН: есть нецифровые символы",IF(MOD(VALUE(LEFT(D39,12))-11*INT(VALUE(LEFT(D39,12))/11),10)=VALUE(RIGHT(D39,1)),"","ОГРН: неверная контрольная цифра"))))</f>
        <v/>
      </c>
      <c r="M39" s="24" t="str">
        <f aca="false">IF(TRIM(E39)="","КПП не указан",IF(LEN(E39)&lt;&gt;9,"КПП: должно быть 9 знаков",IF(NOT(AND(ISNUMBER(IFERROR(VALUE(LEFT(E39,4)),"x")),ISNUMBER(IFERROR(VALUE(RIGHT(E39,3)),"x")))),"КПП: неверный формат",IF(LEFT(E39,2)&lt;&gt;LEFT(C39,2),"КПП: код региона не совпадает с ИНН",""))))</f>
        <v/>
      </c>
      <c r="N39" s="24" t="str">
        <f aca="false">IF(TRIM(C39)="","",IF(COUNTIF($C$2:$C$401,C39)&gt;1,"Дубликат ИНН в реестре",""))</f>
        <v/>
      </c>
      <c r="O39" s="24" t="str">
        <f aca="false">IF(TRIM(H39)="","Email не указан",IF(AND(ISNUMBER(FIND("@",H39)),ISNUMBER(FIND(".",H39,IFERROR(FIND("@",H39),1))),ISERROR(FIND(" ",H39)),LEFT(H39,1)&lt;&gt;"@",RIGHT(H39,1)&lt;&gt;".",LEN(H39)-LEN(SUBSTITUTE(H39,"@",""))=1),"","Email: неверный формат"))</f>
        <v/>
      </c>
      <c r="P39" s="24" t="str">
        <f aca="false">IF(TRIM(I39)="","Телефон не указан",IF(AND(LEN(SUBSTITUTE(SUBSTITUTE(SUBSTITUTE(SUBSTITUTE(SUBSTITUTE(I39," ",""),"-",""),"(",""),")",""),"+",""))=11,OR(LEFT(SUBSTITUTE(SUBSTITUTE(SUBSTITUTE(SUBSTITUTE(SUBSTITUTE(I39," ",""),"-",""),"(",""),")",""),"+",""),1)="7",LEFT(SUBSTITUTE(SUBSTITUTE(SUBSTITUTE(SUBSTITUTE(SUBSTITUTE(I39," ",""),"-",""),"(",""),")",""),"+",""),1)="8"),ISNUMBER(IFERROR(VALUE(SUBSTITUTE(SUBSTITUTE(SUBSTITUTE(SUBSTITUTE(SUBSTITUTE(I39," ",""),"-",""),"(",""),")",""),"+","")),"x"))),"","Телефон: неверный формат"))</f>
        <v/>
      </c>
      <c r="Q39" s="24" t="str">
        <f aca="false">TRIM(IF(TRIM(B39)="","Нет наименования. ","")&amp;IF(TRIM(F39)="","Нет адреса. ","")&amp;IF(TRIM(G39)="","Нет контактного лица.",""))</f>
        <v/>
      </c>
      <c r="R39" s="21" t="n">
        <f aca="false">SUMPRODUCT(--(LEN(K39:Q39)&gt;0))</f>
        <v>0</v>
      </c>
      <c r="S39" s="24" t="str">
        <f aca="false">IF(R39=0,"Готово к передаче","Требует исправления")</f>
        <v>Готово к передаче</v>
      </c>
      <c r="T39" s="24" t="str">
        <f aca="false">IF(R39=0,"",_xlfn.TEXTJOIN("; ",TRUE(),K39:Q39))</f>
        <v/>
      </c>
      <c r="U39" s="24" t="str">
        <f aca="false">IF(R39=0,"","Здравствуйте! В данных организации «"&amp;B39&amp;"» обнаружены ошибки: "&amp;T39&amp;". Просим проверить и прислать исправленную информацию.")</f>
        <v/>
      </c>
      <c r="V39" s="21" t="str">
        <f aca="false">IF(R39&gt;0,COUNTIF($R$2:R39,"&gt;0"),"")</f>
        <v/>
      </c>
      <c r="W39" s="21" t="n">
        <f aca="false">IF(R39=0,COUNTIF($R$2:R39,0),"")</f>
        <v>20</v>
      </c>
    </row>
    <row r="40" customFormat="false" ht="15" hidden="false" customHeight="false" outlineLevel="0" collapsed="false">
      <c r="A40" s="21" t="n">
        <v>39</v>
      </c>
      <c r="B40" s="22" t="s">
        <v>386</v>
      </c>
      <c r="C40" s="23"/>
      <c r="D40" s="23" t="s">
        <v>387</v>
      </c>
      <c r="E40" s="23" t="s">
        <v>388</v>
      </c>
      <c r="F40" s="22" t="s">
        <v>389</v>
      </c>
      <c r="G40" s="22" t="s">
        <v>390</v>
      </c>
      <c r="H40" s="22" t="s">
        <v>391</v>
      </c>
      <c r="I40" s="23" t="s">
        <v>392</v>
      </c>
      <c r="J40" s="24" t="str">
        <f aca="false">IFERROR(VLOOKUP(VALUE(LEFT(C40,2)),Справочники!$A$2:$B$16,2,FALSE()),"не определён")</f>
        <v>не определён</v>
      </c>
      <c r="K40" s="24" t="str">
        <f aca="false">IF(TRIM(C40)="","ИНН не указан",IF(LEN(C40)&lt;&gt;10,"ИНН: должно быть 10 цифр",IF(NOT(ISNUMBER(IFERROR(VALUE(C40),"x"))),"ИНН: есть нецифровые символы",IF(MOD(MOD(SUMPRODUCT(--MID(C40,{1,2,3,4,5,6,7,8,9},1),{2,4,10,3,5,9,4,6,8}),11),10)=VALUE(RIGHT(C40,1)),"","ИНН: неверная контрольная цифра"))))</f>
        <v>ИНН не указан</v>
      </c>
      <c r="L40" s="24" t="str">
        <f aca="false">IF(TRIM(D40)="","ОГРН не указан",IF(LEN(D40)&lt;&gt;13,"ОГРН: должно быть 13 цифр",IF(NOT(ISNUMBER(IFERROR(VALUE(D40),"x"))),"ОГРН: есть нецифровые символы",IF(MOD(VALUE(LEFT(D40,12))-11*INT(VALUE(LEFT(D40,12))/11),10)=VALUE(RIGHT(D40,1)),"","ОГРН: неверная контрольная цифра"))))</f>
        <v/>
      </c>
      <c r="M40" s="24" t="str">
        <f aca="false">IF(TRIM(E40)="","КПП не указан",IF(LEN(E40)&lt;&gt;9,"КПП: должно быть 9 знаков",IF(NOT(AND(ISNUMBER(IFERROR(VALUE(LEFT(E40,4)),"x")),ISNUMBER(IFERROR(VALUE(RIGHT(E40,3)),"x")))),"КПП: неверный формат",IF(LEFT(E40,2)&lt;&gt;LEFT(C40,2),"КПП: код региона не совпадает с ИНН",""))))</f>
        <v>КПП: код региона не совпадает с ИНН</v>
      </c>
      <c r="N40" s="24" t="str">
        <f aca="false">IF(TRIM(C40)="","",IF(COUNTIF($C$2:$C$401,C40)&gt;1,"Дубликат ИНН в реестре",""))</f>
        <v/>
      </c>
      <c r="O40" s="24" t="str">
        <f aca="false">IF(TRIM(H40)="","Email не указан",IF(AND(ISNUMBER(FIND("@",H40)),ISNUMBER(FIND(".",H40,IFERROR(FIND("@",H40),1))),ISERROR(FIND(" ",H40)),LEFT(H40,1)&lt;&gt;"@",RIGHT(H40,1)&lt;&gt;".",LEN(H40)-LEN(SUBSTITUTE(H40,"@",""))=1),"","Email: неверный формат"))</f>
        <v/>
      </c>
      <c r="P40" s="24" t="str">
        <f aca="false">IF(TRIM(I40)="","Телефон не указан",IF(AND(LEN(SUBSTITUTE(SUBSTITUTE(SUBSTITUTE(SUBSTITUTE(SUBSTITUTE(I40," ",""),"-",""),"(",""),")",""),"+",""))=11,OR(LEFT(SUBSTITUTE(SUBSTITUTE(SUBSTITUTE(SUBSTITUTE(SUBSTITUTE(I40," ",""),"-",""),"(",""),")",""),"+",""),1)="7",LEFT(SUBSTITUTE(SUBSTITUTE(SUBSTITUTE(SUBSTITUTE(SUBSTITUTE(I40," ",""),"-",""),"(",""),")",""),"+",""),1)="8"),ISNUMBER(IFERROR(VALUE(SUBSTITUTE(SUBSTITUTE(SUBSTITUTE(SUBSTITUTE(SUBSTITUTE(I40," ",""),"-",""),"(",""),")",""),"+","")),"x"))),"","Телефон: неверный формат"))</f>
        <v/>
      </c>
      <c r="Q40" s="24" t="str">
        <f aca="false">TRIM(IF(TRIM(B40)="","Нет наименования. ","")&amp;IF(TRIM(F40)="","Нет адреса. ","")&amp;IF(TRIM(G40)="","Нет контактного лица.",""))</f>
        <v/>
      </c>
      <c r="R40" s="21" t="n">
        <f aca="false">SUMPRODUCT(--(LEN(K40:Q40)&gt;0))</f>
        <v>2</v>
      </c>
      <c r="S40" s="24" t="str">
        <f aca="false">IF(R40=0,"Готово к передаче","Требует исправления")</f>
        <v>Требует исправления</v>
      </c>
      <c r="T40" s="24" t="str">
        <f aca="false">IF(R40=0,"",_xlfn.TEXTJOIN("; ",TRUE(),K40:Q40))</f>
        <v>ИНН не указан; КПП: код региона не совпадает с ИНН</v>
      </c>
      <c r="U40" s="24" t="str">
        <f aca="false">IF(R40=0,"","Здравствуйте! В данных организации «"&amp;B40&amp;"» обнаружены ошибки: "&amp;T40&amp;". Просим проверить и прислать исправленную информацию.")</f>
        <v>Здравствуйте! В данных организации «АО «Юпитер Логистик»» обнаружены ошибки: ИНН не указан; КПП: код региона не совпадает с ИНН. Просим проверить и прислать исправленную информацию.</v>
      </c>
      <c r="V40" s="21" t="n">
        <f aca="false">IF(R40&gt;0,COUNTIF($R$2:R40,"&gt;0"),"")</f>
        <v>19</v>
      </c>
      <c r="W40" s="21" t="str">
        <f aca="false">IF(R40=0,COUNTIF($R$2:R40,0),"")</f>
        <v/>
      </c>
    </row>
    <row r="41" customFormat="false" ht="15" hidden="false" customHeight="false" outlineLevel="0" collapsed="false">
      <c r="A41" s="21" t="n">
        <v>40</v>
      </c>
      <c r="B41" s="22" t="s">
        <v>393</v>
      </c>
      <c r="C41" s="23" t="s">
        <v>394</v>
      </c>
      <c r="D41" s="23" t="s">
        <v>395</v>
      </c>
      <c r="E41" s="23" t="s">
        <v>396</v>
      </c>
      <c r="F41" s="22" t="s">
        <v>397</v>
      </c>
      <c r="G41" s="22" t="s">
        <v>398</v>
      </c>
      <c r="H41" s="22" t="s">
        <v>399</v>
      </c>
      <c r="I41" s="23" t="s">
        <v>400</v>
      </c>
      <c r="J41" s="24" t="str">
        <f aca="false">IFERROR(VLOOKUP(VALUE(LEFT(C41,2)),Справочники!$A$2:$B$16,2,FALSE()),"не определён")</f>
        <v>Московская область</v>
      </c>
      <c r="K41" s="24" t="str">
        <f aca="false">IF(TRIM(C41)="","ИНН не указан",IF(LEN(C41)&lt;&gt;10,"ИНН: должно быть 10 цифр",IF(NOT(ISNUMBER(IFERROR(VALUE(C41),"x"))),"ИНН: есть нецифровые символы",IF(MOD(MOD(SUMPRODUCT(--MID(C41,{1,2,3,4,5,6,7,8,9},1),{2,4,10,3,5,9,4,6,8}),11),10)=VALUE(RIGHT(C41,1)),"","ИНН: неверная контрольная цифра"))))</f>
        <v/>
      </c>
      <c r="L41" s="24" t="str">
        <f aca="false">IF(TRIM(D41)="","ОГРН не указан",IF(LEN(D41)&lt;&gt;13,"ОГРН: должно быть 13 цифр",IF(NOT(ISNUMBER(IFERROR(VALUE(D41),"x"))),"ОГРН: есть нецифровые символы",IF(MOD(VALUE(LEFT(D41,12))-11*INT(VALUE(LEFT(D41,12))/11),10)=VALUE(RIGHT(D41,1)),"","ОГРН: неверная контрольная цифра"))))</f>
        <v/>
      </c>
      <c r="M41" s="24" t="str">
        <f aca="false">IF(TRIM(E41)="","КПП не указан",IF(LEN(E41)&lt;&gt;9,"КПП: должно быть 9 знаков",IF(NOT(AND(ISNUMBER(IFERROR(VALUE(LEFT(E41,4)),"x")),ISNUMBER(IFERROR(VALUE(RIGHT(E41,3)),"x")))),"КПП: неверный формат",IF(LEFT(E41,2)&lt;&gt;LEFT(C41,2),"КПП: код региона не совпадает с ИНН",""))))</f>
        <v/>
      </c>
      <c r="N41" s="24" t="str">
        <f aca="false">IF(TRIM(C41)="","",IF(COUNTIF($C$2:$C$401,C41)&gt;1,"Дубликат ИНН в реестре",""))</f>
        <v/>
      </c>
      <c r="O41" s="24" t="str">
        <f aca="false">IF(TRIM(H41)="","Email не указан",IF(AND(ISNUMBER(FIND("@",H41)),ISNUMBER(FIND(".",H41,IFERROR(FIND("@",H41),1))),ISERROR(FIND(" ",H41)),LEFT(H41,1)&lt;&gt;"@",RIGHT(H41,1)&lt;&gt;".",LEN(H41)-LEN(SUBSTITUTE(H41,"@",""))=1),"","Email: неверный формат"))</f>
        <v/>
      </c>
      <c r="P41" s="24" t="str">
        <f aca="false">IF(TRIM(I41)="","Телефон не указан",IF(AND(LEN(SUBSTITUTE(SUBSTITUTE(SUBSTITUTE(SUBSTITUTE(SUBSTITUTE(I41," ",""),"-",""),"(",""),")",""),"+",""))=11,OR(LEFT(SUBSTITUTE(SUBSTITUTE(SUBSTITUTE(SUBSTITUTE(SUBSTITUTE(I41," ",""),"-",""),"(",""),")",""),"+",""),1)="7",LEFT(SUBSTITUTE(SUBSTITUTE(SUBSTITUTE(SUBSTITUTE(SUBSTITUTE(I41," ",""),"-",""),"(",""),")",""),"+",""),1)="8"),ISNUMBER(IFERROR(VALUE(SUBSTITUTE(SUBSTITUTE(SUBSTITUTE(SUBSTITUTE(SUBSTITUTE(I41," ",""),"-",""),"(",""),")",""),"+","")),"x"))),"","Телефон: неверный формат"))</f>
        <v/>
      </c>
      <c r="Q41" s="24" t="str">
        <f aca="false">TRIM(IF(TRIM(B41)="","Нет наименования. ","")&amp;IF(TRIM(F41)="","Нет адреса. ","")&amp;IF(TRIM(G41)="","Нет контактного лица.",""))</f>
        <v/>
      </c>
      <c r="R41" s="21" t="n">
        <f aca="false">SUMPRODUCT(--(LEN(K41:Q41)&gt;0))</f>
        <v>0</v>
      </c>
      <c r="S41" s="24" t="str">
        <f aca="false">IF(R41=0,"Готово к передаче","Требует исправления")</f>
        <v>Готово к передаче</v>
      </c>
      <c r="T41" s="24" t="str">
        <f aca="false">IF(R41=0,"",_xlfn.TEXTJOIN("; ",TRUE(),K41:Q41))</f>
        <v/>
      </c>
      <c r="U41" s="24" t="str">
        <f aca="false">IF(R41=0,"","Здравствуйте! В данных организации «"&amp;B41&amp;"» обнаружены ошибки: "&amp;T41&amp;". Просим проверить и прислать исправленную информацию.")</f>
        <v/>
      </c>
      <c r="V41" s="21" t="str">
        <f aca="false">IF(R41&gt;0,COUNTIF($R$2:R41,"&gt;0"),"")</f>
        <v/>
      </c>
      <c r="W41" s="21" t="n">
        <f aca="false">IF(R41=0,COUNTIF($R$2:R41,0),"")</f>
        <v>21</v>
      </c>
    </row>
    <row r="42" customFormat="false" ht="15" hidden="false" customHeight="false" outlineLevel="0" collapsed="false">
      <c r="A42" s="21" t="n">
        <v>41</v>
      </c>
      <c r="B42" s="22" t="s">
        <v>401</v>
      </c>
      <c r="C42" s="23" t="s">
        <v>402</v>
      </c>
      <c r="D42" s="23" t="s">
        <v>403</v>
      </c>
      <c r="E42" s="23" t="s">
        <v>404</v>
      </c>
      <c r="F42" s="22" t="s">
        <v>405</v>
      </c>
      <c r="G42" s="22" t="s">
        <v>406</v>
      </c>
      <c r="H42" s="22" t="s">
        <v>407</v>
      </c>
      <c r="I42" s="23" t="s">
        <v>408</v>
      </c>
      <c r="J42" s="24" t="str">
        <f aca="false">IFERROR(VLOOKUP(VALUE(LEFT(C42,2)),Справочники!$A$2:$B$16,2,FALSE()),"не определён")</f>
        <v>Челябинская область</v>
      </c>
      <c r="K42" s="24" t="str">
        <f aca="false">IF(TRIM(C42)="","ИНН не указан",IF(LEN(C42)&lt;&gt;10,"ИНН: должно быть 10 цифр",IF(NOT(ISNUMBER(IFERROR(VALUE(C42),"x"))),"ИНН: есть нецифровые символы",IF(MOD(MOD(SUMPRODUCT(--MID(C42,{1,2,3,4,5,6,7,8,9},1),{2,4,10,3,5,9,4,6,8}),11),10)=VALUE(RIGHT(C42,1)),"","ИНН: неверная контрольная цифра"))))</f>
        <v/>
      </c>
      <c r="L42" s="24" t="str">
        <f aca="false">IF(TRIM(D42)="","ОГРН не указан",IF(LEN(D42)&lt;&gt;13,"ОГРН: должно быть 13 цифр",IF(NOT(ISNUMBER(IFERROR(VALUE(D42),"x"))),"ОГРН: есть нецифровые символы",IF(MOD(VALUE(LEFT(D42,12))-11*INT(VALUE(LEFT(D42,12))/11),10)=VALUE(RIGHT(D42,1)),"","ОГРН: неверная контрольная цифра"))))</f>
        <v/>
      </c>
      <c r="M42" s="24" t="str">
        <f aca="false">IF(TRIM(E42)="","КПП не указан",IF(LEN(E42)&lt;&gt;9,"КПП: должно быть 9 знаков",IF(NOT(AND(ISNUMBER(IFERROR(VALUE(LEFT(E42,4)),"x")),ISNUMBER(IFERROR(VALUE(RIGHT(E42,3)),"x")))),"КПП: неверный формат",IF(LEFT(E42,2)&lt;&gt;LEFT(C42,2),"КПП: код региона не совпадает с ИНН",""))))</f>
        <v/>
      </c>
      <c r="N42" s="24" t="str">
        <f aca="false">IF(TRIM(C42)="","",IF(COUNTIF($C$2:$C$401,C42)&gt;1,"Дубликат ИНН в реестре",""))</f>
        <v/>
      </c>
      <c r="O42" s="24" t="str">
        <f aca="false">IF(TRIM(H42)="","Email не указан",IF(AND(ISNUMBER(FIND("@",H42)),ISNUMBER(FIND(".",H42,IFERROR(FIND("@",H42),1))),ISERROR(FIND(" ",H42)),LEFT(H42,1)&lt;&gt;"@",RIGHT(H42,1)&lt;&gt;".",LEN(H42)-LEN(SUBSTITUTE(H42,"@",""))=1),"","Email: неверный формат"))</f>
        <v/>
      </c>
      <c r="P42" s="24" t="str">
        <f aca="false">IF(TRIM(I42)="","Телефон не указан",IF(AND(LEN(SUBSTITUTE(SUBSTITUTE(SUBSTITUTE(SUBSTITUTE(SUBSTITUTE(I42," ",""),"-",""),"(",""),")",""),"+",""))=11,OR(LEFT(SUBSTITUTE(SUBSTITUTE(SUBSTITUTE(SUBSTITUTE(SUBSTITUTE(I42," ",""),"-",""),"(",""),")",""),"+",""),1)="7",LEFT(SUBSTITUTE(SUBSTITUTE(SUBSTITUTE(SUBSTITUTE(SUBSTITUTE(I42," ",""),"-",""),"(",""),")",""),"+",""),1)="8"),ISNUMBER(IFERROR(VALUE(SUBSTITUTE(SUBSTITUTE(SUBSTITUTE(SUBSTITUTE(SUBSTITUTE(I42," ",""),"-",""),"(",""),")",""),"+","")),"x"))),"","Телефон: неверный формат"))</f>
        <v/>
      </c>
      <c r="Q42" s="24" t="str">
        <f aca="false">TRIM(IF(TRIM(B42)="","Нет наименования. ","")&amp;IF(TRIM(F42)="","Нет адреса. ","")&amp;IF(TRIM(G42)="","Нет контактного лица.",""))</f>
        <v/>
      </c>
      <c r="R42" s="21" t="n">
        <f aca="false">SUMPRODUCT(--(LEN(K42:Q42)&gt;0))</f>
        <v>0</v>
      </c>
      <c r="S42" s="24" t="str">
        <f aca="false">IF(R42=0,"Готово к передаче","Требует исправления")</f>
        <v>Готово к передаче</v>
      </c>
      <c r="T42" s="24" t="str">
        <f aca="false">IF(R42=0,"",_xlfn.TEXTJOIN("; ",TRUE(),K42:Q42))</f>
        <v/>
      </c>
      <c r="U42" s="24" t="str">
        <f aca="false">IF(R42=0,"","Здравствуйте! В данных организации «"&amp;B42&amp;"» обнаружены ошибки: "&amp;T42&amp;". Просим проверить и прислать исправленную информацию.")</f>
        <v/>
      </c>
      <c r="V42" s="21" t="str">
        <f aca="false">IF(R42&gt;0,COUNTIF($R$2:R42,"&gt;0"),"")</f>
        <v/>
      </c>
      <c r="W42" s="21" t="n">
        <f aca="false">IF(R42=0,COUNTIF($R$2:R42,0),"")</f>
        <v>22</v>
      </c>
    </row>
    <row r="43" customFormat="false" ht="15" hidden="false" customHeight="false" outlineLevel="0" collapsed="false">
      <c r="A43" s="21" t="n">
        <v>42</v>
      </c>
      <c r="B43" s="22" t="s">
        <v>409</v>
      </c>
      <c r="C43" s="23" t="s">
        <v>410</v>
      </c>
      <c r="D43" s="23" t="s">
        <v>411</v>
      </c>
      <c r="E43" s="23" t="s">
        <v>412</v>
      </c>
      <c r="F43" s="22" t="s">
        <v>413</v>
      </c>
      <c r="G43" s="22" t="s">
        <v>414</v>
      </c>
      <c r="H43" s="22" t="s">
        <v>415</v>
      </c>
      <c r="I43" s="23" t="s">
        <v>416</v>
      </c>
      <c r="J43" s="24" t="str">
        <f aca="false">IFERROR(VLOOKUP(VALUE(LEFT(C43,2)),Справочники!$A$2:$B$16,2,FALSE()),"не определён")</f>
        <v>г. Санкт-Петербург</v>
      </c>
      <c r="K43" s="24" t="str">
        <f aca="false">IF(TRIM(C43)="","ИНН не указан",IF(LEN(C43)&lt;&gt;10,"ИНН: должно быть 10 цифр",IF(NOT(ISNUMBER(IFERROR(VALUE(C43),"x"))),"ИНН: есть нецифровые символы",IF(MOD(MOD(SUMPRODUCT(--MID(C43,{1,2,3,4,5,6,7,8,9},1),{2,4,10,3,5,9,4,6,8}),11),10)=VALUE(RIGHT(C43,1)),"","ИНН: неверная контрольная цифра"))))</f>
        <v/>
      </c>
      <c r="L43" s="24" t="str">
        <f aca="false">IF(TRIM(D43)="","ОГРН не указан",IF(LEN(D43)&lt;&gt;13,"ОГРН: должно быть 13 цифр",IF(NOT(ISNUMBER(IFERROR(VALUE(D43),"x"))),"ОГРН: есть нецифровые символы",IF(MOD(VALUE(LEFT(D43,12))-11*INT(VALUE(LEFT(D43,12))/11),10)=VALUE(RIGHT(D43,1)),"","ОГРН: неверная контрольная цифра"))))</f>
        <v/>
      </c>
      <c r="M43" s="24" t="str">
        <f aca="false">IF(TRIM(E43)="","КПП не указан",IF(LEN(E43)&lt;&gt;9,"КПП: должно быть 9 знаков",IF(NOT(AND(ISNUMBER(IFERROR(VALUE(LEFT(E43,4)),"x")),ISNUMBER(IFERROR(VALUE(RIGHT(E43,3)),"x")))),"КПП: неверный формат",IF(LEFT(E43,2)&lt;&gt;LEFT(C43,2),"КПП: код региона не совпадает с ИНН",""))))</f>
        <v/>
      </c>
      <c r="N43" s="24" t="str">
        <f aca="false">IF(TRIM(C43)="","",IF(COUNTIF($C$2:$C$401,C43)&gt;1,"Дубликат ИНН в реестре",""))</f>
        <v/>
      </c>
      <c r="O43" s="24" t="str">
        <f aca="false">IF(TRIM(H43)="","Email не указан",IF(AND(ISNUMBER(FIND("@",H43)),ISNUMBER(FIND(".",H43,IFERROR(FIND("@",H43),1))),ISERROR(FIND(" ",H43)),LEFT(H43,1)&lt;&gt;"@",RIGHT(H43,1)&lt;&gt;".",LEN(H43)-LEN(SUBSTITUTE(H43,"@",""))=1),"","Email: неверный формат"))</f>
        <v/>
      </c>
      <c r="P43" s="24" t="str">
        <f aca="false">IF(TRIM(I43)="","Телефон не указан",IF(AND(LEN(SUBSTITUTE(SUBSTITUTE(SUBSTITUTE(SUBSTITUTE(SUBSTITUTE(I43," ",""),"-",""),"(",""),")",""),"+",""))=11,OR(LEFT(SUBSTITUTE(SUBSTITUTE(SUBSTITUTE(SUBSTITUTE(SUBSTITUTE(I43," ",""),"-",""),"(",""),")",""),"+",""),1)="7",LEFT(SUBSTITUTE(SUBSTITUTE(SUBSTITUTE(SUBSTITUTE(SUBSTITUTE(I43," ",""),"-",""),"(",""),")",""),"+",""),1)="8"),ISNUMBER(IFERROR(VALUE(SUBSTITUTE(SUBSTITUTE(SUBSTITUTE(SUBSTITUTE(SUBSTITUTE(I43," ",""),"-",""),"(",""),")",""),"+","")),"x"))),"","Телефон: неверный формат"))</f>
        <v/>
      </c>
      <c r="Q43" s="24" t="str">
        <f aca="false">TRIM(IF(TRIM(B43)="","Нет наименования. ","")&amp;IF(TRIM(F43)="","Нет адреса. ","")&amp;IF(TRIM(G43)="","Нет контактного лица.",""))</f>
        <v/>
      </c>
      <c r="R43" s="21" t="n">
        <f aca="false">SUMPRODUCT(--(LEN(K43:Q43)&gt;0))</f>
        <v>0</v>
      </c>
      <c r="S43" s="24" t="str">
        <f aca="false">IF(R43=0,"Готово к передаче","Требует исправления")</f>
        <v>Готово к передаче</v>
      </c>
      <c r="T43" s="24" t="str">
        <f aca="false">IF(R43=0,"",_xlfn.TEXTJOIN("; ",TRUE(),K43:Q43))</f>
        <v/>
      </c>
      <c r="U43" s="24" t="str">
        <f aca="false">IF(R43=0,"","Здравствуйте! В данных организации «"&amp;B43&amp;"» обнаружены ошибки: "&amp;T43&amp;". Просим проверить и прислать исправленную информацию.")</f>
        <v/>
      </c>
      <c r="V43" s="21" t="str">
        <f aca="false">IF(R43&gt;0,COUNTIF($R$2:R43,"&gt;0"),"")</f>
        <v/>
      </c>
      <c r="W43" s="21" t="n">
        <f aca="false">IF(R43=0,COUNTIF($R$2:R43,0),"")</f>
        <v>23</v>
      </c>
    </row>
    <row r="44" customFormat="false" ht="15" hidden="false" customHeight="false" outlineLevel="0" collapsed="false">
      <c r="A44" s="21" t="n">
        <v>43</v>
      </c>
      <c r="B44" s="22" t="s">
        <v>417</v>
      </c>
      <c r="C44" s="23" t="s">
        <v>418</v>
      </c>
      <c r="D44" s="23" t="s">
        <v>419</v>
      </c>
      <c r="E44" s="23" t="s">
        <v>420</v>
      </c>
      <c r="F44" s="22" t="s">
        <v>421</v>
      </c>
      <c r="G44" s="22" t="s">
        <v>422</v>
      </c>
      <c r="H44" s="22" t="s">
        <v>423</v>
      </c>
      <c r="I44" s="23" t="s">
        <v>424</v>
      </c>
      <c r="J44" s="24" t="str">
        <f aca="false">IFERROR(VLOOKUP(VALUE(LEFT(C44,2)),Справочники!$A$2:$B$16,2,FALSE()),"не определён")</f>
        <v>Новосибирская область</v>
      </c>
      <c r="K44" s="24" t="str">
        <f aca="false">IF(TRIM(C44)="","ИНН не указан",IF(LEN(C44)&lt;&gt;10,"ИНН: должно быть 10 цифр",IF(NOT(ISNUMBER(IFERROR(VALUE(C44),"x"))),"ИНН: есть нецифровые символы",IF(MOD(MOD(SUMPRODUCT(--MID(C44,{1,2,3,4,5,6,7,8,9},1),{2,4,10,3,5,9,4,6,8}),11),10)=VALUE(RIGHT(C44,1)),"","ИНН: неверная контрольная цифра"))))</f>
        <v/>
      </c>
      <c r="L44" s="24" t="str">
        <f aca="false">IF(TRIM(D44)="","ОГРН не указан",IF(LEN(D44)&lt;&gt;13,"ОГРН: должно быть 13 цифр",IF(NOT(ISNUMBER(IFERROR(VALUE(D44),"x"))),"ОГРН: есть нецифровые символы",IF(MOD(VALUE(LEFT(D44,12))-11*INT(VALUE(LEFT(D44,12))/11),10)=VALUE(RIGHT(D44,1)),"","ОГРН: неверная контрольная цифра"))))</f>
        <v/>
      </c>
      <c r="M44" s="24" t="str">
        <f aca="false">IF(TRIM(E44)="","КПП не указан",IF(LEN(E44)&lt;&gt;9,"КПП: должно быть 9 знаков",IF(NOT(AND(ISNUMBER(IFERROR(VALUE(LEFT(E44,4)),"x")),ISNUMBER(IFERROR(VALUE(RIGHT(E44,3)),"x")))),"КПП: неверный формат",IF(LEFT(E44,2)&lt;&gt;LEFT(C44,2),"КПП: код региона не совпадает с ИНН",""))))</f>
        <v/>
      </c>
      <c r="N44" s="24" t="str">
        <f aca="false">IF(TRIM(C44)="","",IF(COUNTIF($C$2:$C$401,C44)&gt;1,"Дубликат ИНН в реестре",""))</f>
        <v/>
      </c>
      <c r="O44" s="24" t="str">
        <f aca="false">IF(TRIM(H44)="","Email не указан",IF(AND(ISNUMBER(FIND("@",H44)),ISNUMBER(FIND(".",H44,IFERROR(FIND("@",H44),1))),ISERROR(FIND(" ",H44)),LEFT(H44,1)&lt;&gt;"@",RIGHT(H44,1)&lt;&gt;".",LEN(H44)-LEN(SUBSTITUTE(H44,"@",""))=1),"","Email: неверный формат"))</f>
        <v/>
      </c>
      <c r="P44" s="24" t="str">
        <f aca="false">IF(TRIM(I44)="","Телефон не указан",IF(AND(LEN(SUBSTITUTE(SUBSTITUTE(SUBSTITUTE(SUBSTITUTE(SUBSTITUTE(I44," ",""),"-",""),"(",""),")",""),"+",""))=11,OR(LEFT(SUBSTITUTE(SUBSTITUTE(SUBSTITUTE(SUBSTITUTE(SUBSTITUTE(I44," ",""),"-",""),"(",""),")",""),"+",""),1)="7",LEFT(SUBSTITUTE(SUBSTITUTE(SUBSTITUTE(SUBSTITUTE(SUBSTITUTE(I44," ",""),"-",""),"(",""),")",""),"+",""),1)="8"),ISNUMBER(IFERROR(VALUE(SUBSTITUTE(SUBSTITUTE(SUBSTITUTE(SUBSTITUTE(SUBSTITUTE(I44," ",""),"-",""),"(",""),")",""),"+","")),"x"))),"","Телефон: неверный формат"))</f>
        <v/>
      </c>
      <c r="Q44" s="24" t="str">
        <f aca="false">TRIM(IF(TRIM(B44)="","Нет наименования. ","")&amp;IF(TRIM(F44)="","Нет адреса. ","")&amp;IF(TRIM(G44)="","Нет контактного лица.",""))</f>
        <v/>
      </c>
      <c r="R44" s="21" t="n">
        <f aca="false">SUMPRODUCT(--(LEN(K44:Q44)&gt;0))</f>
        <v>0</v>
      </c>
      <c r="S44" s="24" t="str">
        <f aca="false">IF(R44=0,"Готово к передаче","Требует исправления")</f>
        <v>Готово к передаче</v>
      </c>
      <c r="T44" s="24" t="str">
        <f aca="false">IF(R44=0,"",_xlfn.TEXTJOIN("; ",TRUE(),K44:Q44))</f>
        <v/>
      </c>
      <c r="U44" s="24" t="str">
        <f aca="false">IF(R44=0,"","Здравствуйте! В данных организации «"&amp;B44&amp;"» обнаружены ошибки: "&amp;T44&amp;". Просим проверить и прислать исправленную информацию.")</f>
        <v/>
      </c>
      <c r="V44" s="21" t="str">
        <f aca="false">IF(R44&gt;0,COUNTIF($R$2:R44,"&gt;0"),"")</f>
        <v/>
      </c>
      <c r="W44" s="21" t="n">
        <f aca="false">IF(R44=0,COUNTIF($R$2:R44,0),"")</f>
        <v>24</v>
      </c>
    </row>
    <row r="45" customFormat="false" ht="15" hidden="false" customHeight="false" outlineLevel="0" collapsed="false">
      <c r="A45" s="21" t="n">
        <v>44</v>
      </c>
      <c r="B45" s="22" t="s">
        <v>425</v>
      </c>
      <c r="C45" s="23" t="s">
        <v>426</v>
      </c>
      <c r="D45" s="23" t="s">
        <v>427</v>
      </c>
      <c r="E45" s="23" t="s">
        <v>428</v>
      </c>
      <c r="F45" s="22" t="s">
        <v>429</v>
      </c>
      <c r="G45" s="22" t="s">
        <v>430</v>
      </c>
      <c r="H45" s="22" t="s">
        <v>431</v>
      </c>
      <c r="I45" s="23" t="s">
        <v>432</v>
      </c>
      <c r="J45" s="24" t="str">
        <f aca="false">IFERROR(VLOOKUP(VALUE(LEFT(C45,2)),Справочники!$A$2:$B$16,2,FALSE()),"не определён")</f>
        <v>Нижегородская область</v>
      </c>
      <c r="K45" s="24" t="str">
        <f aca="false">IF(TRIM(C45)="","ИНН не указан",IF(LEN(C45)&lt;&gt;10,"ИНН: должно быть 10 цифр",IF(NOT(ISNUMBER(IFERROR(VALUE(C45),"x"))),"ИНН: есть нецифровые символы",IF(MOD(MOD(SUMPRODUCT(--MID(C45,{1,2,3,4,5,6,7,8,9},1),{2,4,10,3,5,9,4,6,8}),11),10)=VALUE(RIGHT(C45,1)),"","ИНН: неверная контрольная цифра"))))</f>
        <v/>
      </c>
      <c r="L45" s="24" t="str">
        <f aca="false">IF(TRIM(D45)="","ОГРН не указан",IF(LEN(D45)&lt;&gt;13,"ОГРН: должно быть 13 цифр",IF(NOT(ISNUMBER(IFERROR(VALUE(D45),"x"))),"ОГРН: есть нецифровые символы",IF(MOD(VALUE(LEFT(D45,12))-11*INT(VALUE(LEFT(D45,12))/11),10)=VALUE(RIGHT(D45,1)),"","ОГРН: неверная контрольная цифра"))))</f>
        <v/>
      </c>
      <c r="M45" s="24" t="str">
        <f aca="false">IF(TRIM(E45)="","КПП не указан",IF(LEN(E45)&lt;&gt;9,"КПП: должно быть 9 знаков",IF(NOT(AND(ISNUMBER(IFERROR(VALUE(LEFT(E45,4)),"x")),ISNUMBER(IFERROR(VALUE(RIGHT(E45,3)),"x")))),"КПП: неверный формат",IF(LEFT(E45,2)&lt;&gt;LEFT(C45,2),"КПП: код региона не совпадает с ИНН",""))))</f>
        <v/>
      </c>
      <c r="N45" s="24" t="str">
        <f aca="false">IF(TRIM(C45)="","",IF(COUNTIF($C$2:$C$401,C45)&gt;1,"Дубликат ИНН в реестре",""))</f>
        <v/>
      </c>
      <c r="O45" s="24" t="str">
        <f aca="false">IF(TRIM(H45)="","Email не указан",IF(AND(ISNUMBER(FIND("@",H45)),ISNUMBER(FIND(".",H45,IFERROR(FIND("@",H45),1))),ISERROR(FIND(" ",H45)),LEFT(H45,1)&lt;&gt;"@",RIGHT(H45,1)&lt;&gt;".",LEN(H45)-LEN(SUBSTITUTE(H45,"@",""))=1),"","Email: неверный формат"))</f>
        <v/>
      </c>
      <c r="P45" s="24" t="str">
        <f aca="false">IF(TRIM(I45)="","Телефон не указан",IF(AND(LEN(SUBSTITUTE(SUBSTITUTE(SUBSTITUTE(SUBSTITUTE(SUBSTITUTE(I45," ",""),"-",""),"(",""),")",""),"+",""))=11,OR(LEFT(SUBSTITUTE(SUBSTITUTE(SUBSTITUTE(SUBSTITUTE(SUBSTITUTE(I45," ",""),"-",""),"(",""),")",""),"+",""),1)="7",LEFT(SUBSTITUTE(SUBSTITUTE(SUBSTITUTE(SUBSTITUTE(SUBSTITUTE(I45," ",""),"-",""),"(",""),")",""),"+",""),1)="8"),ISNUMBER(IFERROR(VALUE(SUBSTITUTE(SUBSTITUTE(SUBSTITUTE(SUBSTITUTE(SUBSTITUTE(I45," ",""),"-",""),"(",""),")",""),"+","")),"x"))),"","Телефон: неверный формат"))</f>
        <v/>
      </c>
      <c r="Q45" s="24" t="str">
        <f aca="false">TRIM(IF(TRIM(B45)="","Нет наименования. ","")&amp;IF(TRIM(F45)="","Нет адреса. ","")&amp;IF(TRIM(G45)="","Нет контактного лица.",""))</f>
        <v/>
      </c>
      <c r="R45" s="21" t="n">
        <f aca="false">SUMPRODUCT(--(LEN(K45:Q45)&gt;0))</f>
        <v>0</v>
      </c>
      <c r="S45" s="24" t="str">
        <f aca="false">IF(R45=0,"Готово к передаче","Требует исправления")</f>
        <v>Готово к передаче</v>
      </c>
      <c r="T45" s="24" t="str">
        <f aca="false">IF(R45=0,"",_xlfn.TEXTJOIN("; ",TRUE(),K45:Q45))</f>
        <v/>
      </c>
      <c r="U45" s="24" t="str">
        <f aca="false">IF(R45=0,"","Здравствуйте! В данных организации «"&amp;B45&amp;"» обнаружены ошибки: "&amp;T45&amp;". Просим проверить и прислать исправленную информацию.")</f>
        <v/>
      </c>
      <c r="V45" s="21" t="str">
        <f aca="false">IF(R45&gt;0,COUNTIF($R$2:R45,"&gt;0"),"")</f>
        <v/>
      </c>
      <c r="W45" s="21" t="n">
        <f aca="false">IF(R45=0,COUNTIF($R$2:R45,0),"")</f>
        <v>25</v>
      </c>
    </row>
    <row r="46" customFormat="false" ht="15" hidden="false" customHeight="false" outlineLevel="0" collapsed="false">
      <c r="A46" s="21" t="n">
        <v>45</v>
      </c>
      <c r="B46" s="22" t="s">
        <v>433</v>
      </c>
      <c r="C46" s="23" t="s">
        <v>434</v>
      </c>
      <c r="D46" s="23" t="s">
        <v>435</v>
      </c>
      <c r="E46" s="23" t="s">
        <v>436</v>
      </c>
      <c r="F46" s="22" t="s">
        <v>437</v>
      </c>
      <c r="G46" s="22" t="s">
        <v>438</v>
      </c>
      <c r="H46" s="22" t="s">
        <v>439</v>
      </c>
      <c r="I46" s="23" t="s">
        <v>440</v>
      </c>
      <c r="J46" s="24" t="str">
        <f aca="false">IFERROR(VLOOKUP(VALUE(LEFT(C46,2)),Справочники!$A$2:$B$16,2,FALSE()),"не определён")</f>
        <v>г. Москва</v>
      </c>
      <c r="K46" s="24" t="str">
        <f aca="false">IF(TRIM(C46)="","ИНН не указан",IF(LEN(C46)&lt;&gt;10,"ИНН: должно быть 10 цифр",IF(NOT(ISNUMBER(IFERROR(VALUE(C46),"x"))),"ИНН: есть нецифровые символы",IF(MOD(MOD(SUMPRODUCT(--MID(C46,{1,2,3,4,5,6,7,8,9},1),{2,4,10,3,5,9,4,6,8}),11),10)=VALUE(RIGHT(C46,1)),"","ИНН: неверная контрольная цифра"))))</f>
        <v/>
      </c>
      <c r="L46" s="24" t="str">
        <f aca="false">IF(TRIM(D46)="","ОГРН не указан",IF(LEN(D46)&lt;&gt;13,"ОГРН: должно быть 13 цифр",IF(NOT(ISNUMBER(IFERROR(VALUE(D46),"x"))),"ОГРН: есть нецифровые символы",IF(MOD(VALUE(LEFT(D46,12))-11*INT(VALUE(LEFT(D46,12))/11),10)=VALUE(RIGHT(D46,1)),"","ОГРН: неверная контрольная цифра"))))</f>
        <v/>
      </c>
      <c r="M46" s="24" t="str">
        <f aca="false">IF(TRIM(E46)="","КПП не указан",IF(LEN(E46)&lt;&gt;9,"КПП: должно быть 9 знаков",IF(NOT(AND(ISNUMBER(IFERROR(VALUE(LEFT(E46,4)),"x")),ISNUMBER(IFERROR(VALUE(RIGHT(E46,3)),"x")))),"КПП: неверный формат",IF(LEFT(E46,2)&lt;&gt;LEFT(C46,2),"КПП: код региона не совпадает с ИНН",""))))</f>
        <v/>
      </c>
      <c r="N46" s="24" t="str">
        <f aca="false">IF(TRIM(C46)="","",IF(COUNTIF($C$2:$C$401,C46)&gt;1,"Дубликат ИНН в реестре",""))</f>
        <v/>
      </c>
      <c r="O46" s="24" t="str">
        <f aca="false">IF(TRIM(H46)="","Email не указан",IF(AND(ISNUMBER(FIND("@",H46)),ISNUMBER(FIND(".",H46,IFERROR(FIND("@",H46),1))),ISERROR(FIND(" ",H46)),LEFT(H46,1)&lt;&gt;"@",RIGHT(H46,1)&lt;&gt;".",LEN(H46)-LEN(SUBSTITUTE(H46,"@",""))=1),"","Email: неверный формат"))</f>
        <v/>
      </c>
      <c r="P46" s="24" t="str">
        <f aca="false">IF(TRIM(I46)="","Телефон не указан",IF(AND(LEN(SUBSTITUTE(SUBSTITUTE(SUBSTITUTE(SUBSTITUTE(SUBSTITUTE(I46," ",""),"-",""),"(",""),")",""),"+",""))=11,OR(LEFT(SUBSTITUTE(SUBSTITUTE(SUBSTITUTE(SUBSTITUTE(SUBSTITUTE(I46," ",""),"-",""),"(",""),")",""),"+",""),1)="7",LEFT(SUBSTITUTE(SUBSTITUTE(SUBSTITUTE(SUBSTITUTE(SUBSTITUTE(I46," ",""),"-",""),"(",""),")",""),"+",""),1)="8"),ISNUMBER(IFERROR(VALUE(SUBSTITUTE(SUBSTITUTE(SUBSTITUTE(SUBSTITUTE(SUBSTITUTE(I46," ",""),"-",""),"(",""),")",""),"+","")),"x"))),"","Телефон: неверный формат"))</f>
        <v/>
      </c>
      <c r="Q46" s="24" t="str">
        <f aca="false">TRIM(IF(TRIM(B46)="","Нет наименования. ","")&amp;IF(TRIM(F46)="","Нет адреса. ","")&amp;IF(TRIM(G46)="","Нет контактного лица.",""))</f>
        <v/>
      </c>
      <c r="R46" s="21" t="n">
        <f aca="false">SUMPRODUCT(--(LEN(K46:Q46)&gt;0))</f>
        <v>0</v>
      </c>
      <c r="S46" s="24" t="str">
        <f aca="false">IF(R46=0,"Готово к передаче","Требует исправления")</f>
        <v>Готово к передаче</v>
      </c>
      <c r="T46" s="24" t="str">
        <f aca="false">IF(R46=0,"",_xlfn.TEXTJOIN("; ",TRUE(),K46:Q46))</f>
        <v/>
      </c>
      <c r="U46" s="24" t="str">
        <f aca="false">IF(R46=0,"","Здравствуйте! В данных организации «"&amp;B46&amp;"» обнаружены ошибки: "&amp;T46&amp;". Просим проверить и прислать исправленную информацию.")</f>
        <v/>
      </c>
      <c r="V46" s="21" t="str">
        <f aca="false">IF(R46&gt;0,COUNTIF($R$2:R46,"&gt;0"),"")</f>
        <v/>
      </c>
      <c r="W46" s="21" t="n">
        <f aca="false">IF(R46=0,COUNTIF($R$2:R46,0),"")</f>
        <v>26</v>
      </c>
    </row>
    <row r="47" customFormat="false" ht="15" hidden="false" customHeight="false" outlineLevel="0" collapsed="false">
      <c r="A47" s="21" t="n">
        <v>46</v>
      </c>
      <c r="B47" s="22" t="s">
        <v>441</v>
      </c>
      <c r="C47" s="23" t="s">
        <v>442</v>
      </c>
      <c r="D47" s="23" t="s">
        <v>443</v>
      </c>
      <c r="E47" s="23" t="s">
        <v>444</v>
      </c>
      <c r="F47" s="22" t="s">
        <v>445</v>
      </c>
      <c r="G47" s="22" t="s">
        <v>446</v>
      </c>
      <c r="H47" s="22" t="s">
        <v>447</v>
      </c>
      <c r="I47" s="23" t="s">
        <v>448</v>
      </c>
      <c r="J47" s="24" t="str">
        <f aca="false">IFERROR(VLOOKUP(VALUE(LEFT(C47,2)),Справочники!$A$2:$B$16,2,FALSE()),"не определён")</f>
        <v>Красноярский край</v>
      </c>
      <c r="K47" s="24" t="str">
        <f aca="false">IF(TRIM(C47)="","ИНН не указан",IF(LEN(C47)&lt;&gt;10,"ИНН: должно быть 10 цифр",IF(NOT(ISNUMBER(IFERROR(VALUE(C47),"x"))),"ИНН: есть нецифровые символы",IF(MOD(MOD(SUMPRODUCT(--MID(C47,{1,2,3,4,5,6,7,8,9},1),{2,4,10,3,5,9,4,6,8}),11),10)=VALUE(RIGHT(C47,1)),"","ИНН: неверная контрольная цифра"))))</f>
        <v/>
      </c>
      <c r="L47" s="24" t="str">
        <f aca="false">IF(TRIM(D47)="","ОГРН не указан",IF(LEN(D47)&lt;&gt;13,"ОГРН: должно быть 13 цифр",IF(NOT(ISNUMBER(IFERROR(VALUE(D47),"x"))),"ОГРН: есть нецифровые символы",IF(MOD(VALUE(LEFT(D47,12))-11*INT(VALUE(LEFT(D47,12))/11),10)=VALUE(RIGHT(D47,1)),"","ОГРН: неверная контрольная цифра"))))</f>
        <v/>
      </c>
      <c r="M47" s="24" t="str">
        <f aca="false">IF(TRIM(E47)="","КПП не указан",IF(LEN(E47)&lt;&gt;9,"КПП: должно быть 9 знаков",IF(NOT(AND(ISNUMBER(IFERROR(VALUE(LEFT(E47,4)),"x")),ISNUMBER(IFERROR(VALUE(RIGHT(E47,3)),"x")))),"КПП: неверный формат",IF(LEFT(E47,2)&lt;&gt;LEFT(C47,2),"КПП: код региона не совпадает с ИНН",""))))</f>
        <v/>
      </c>
      <c r="N47" s="24" t="str">
        <f aca="false">IF(TRIM(C47)="","",IF(COUNTIF($C$2:$C$401,C47)&gt;1,"Дубликат ИНН в реестре",""))</f>
        <v/>
      </c>
      <c r="O47" s="24" t="str">
        <f aca="false">IF(TRIM(H47)="","Email не указан",IF(AND(ISNUMBER(FIND("@",H47)),ISNUMBER(FIND(".",H47,IFERROR(FIND("@",H47),1))),ISERROR(FIND(" ",H47)),LEFT(H47,1)&lt;&gt;"@",RIGHT(H47,1)&lt;&gt;".",LEN(H47)-LEN(SUBSTITUTE(H47,"@",""))=1),"","Email: неверный формат"))</f>
        <v/>
      </c>
      <c r="P47" s="24" t="str">
        <f aca="false">IF(TRIM(I47)="","Телефон не указан",IF(AND(LEN(SUBSTITUTE(SUBSTITUTE(SUBSTITUTE(SUBSTITUTE(SUBSTITUTE(I47," ",""),"-",""),"(",""),")",""),"+",""))=11,OR(LEFT(SUBSTITUTE(SUBSTITUTE(SUBSTITUTE(SUBSTITUTE(SUBSTITUTE(I47," ",""),"-",""),"(",""),")",""),"+",""),1)="7",LEFT(SUBSTITUTE(SUBSTITUTE(SUBSTITUTE(SUBSTITUTE(SUBSTITUTE(I47," ",""),"-",""),"(",""),")",""),"+",""),1)="8"),ISNUMBER(IFERROR(VALUE(SUBSTITUTE(SUBSTITUTE(SUBSTITUTE(SUBSTITUTE(SUBSTITUTE(I47," ",""),"-",""),"(",""),")",""),"+","")),"x"))),"","Телефон: неверный формат"))</f>
        <v/>
      </c>
      <c r="Q47" s="24" t="str">
        <f aca="false">TRIM(IF(TRIM(B47)="","Нет наименования. ","")&amp;IF(TRIM(F47)="","Нет адреса. ","")&amp;IF(TRIM(G47)="","Нет контактного лица.",""))</f>
        <v/>
      </c>
      <c r="R47" s="21" t="n">
        <f aca="false">SUMPRODUCT(--(LEN(K47:Q47)&gt;0))</f>
        <v>0</v>
      </c>
      <c r="S47" s="24" t="str">
        <f aca="false">IF(R47=0,"Готово к передаче","Требует исправления")</f>
        <v>Готово к передаче</v>
      </c>
      <c r="T47" s="24" t="str">
        <f aca="false">IF(R47=0,"",_xlfn.TEXTJOIN("; ",TRUE(),K47:Q47))</f>
        <v/>
      </c>
      <c r="U47" s="24" t="str">
        <f aca="false">IF(R47=0,"","Здравствуйте! В данных организации «"&amp;B47&amp;"» обнаружены ошибки: "&amp;T47&amp;". Просим проверить и прислать исправленную информацию.")</f>
        <v/>
      </c>
      <c r="V47" s="21" t="str">
        <f aca="false">IF(R47&gt;0,COUNTIF($R$2:R47,"&gt;0"),"")</f>
        <v/>
      </c>
      <c r="W47" s="21" t="n">
        <f aca="false">IF(R47=0,COUNTIF($R$2:R47,0),"")</f>
        <v>27</v>
      </c>
    </row>
    <row r="48" customFormat="false" ht="15" hidden="false" customHeight="false" outlineLevel="0" collapsed="false">
      <c r="A48" s="21" t="n">
        <v>47</v>
      </c>
      <c r="B48" s="22" t="s">
        <v>449</v>
      </c>
      <c r="C48" s="23" t="s">
        <v>450</v>
      </c>
      <c r="D48" s="23" t="s">
        <v>451</v>
      </c>
      <c r="E48" s="23" t="s">
        <v>452</v>
      </c>
      <c r="F48" s="22" t="s">
        <v>453</v>
      </c>
      <c r="G48" s="22" t="s">
        <v>454</v>
      </c>
      <c r="H48" s="22" t="s">
        <v>455</v>
      </c>
      <c r="I48" s="23" t="s">
        <v>456</v>
      </c>
      <c r="J48" s="24" t="str">
        <f aca="false">IFERROR(VLOOKUP(VALUE(LEFT(C48,2)),Справочники!$A$2:$B$16,2,FALSE()),"не определён")</f>
        <v>Республика Крым</v>
      </c>
      <c r="K48" s="24" t="str">
        <f aca="false">IF(TRIM(C48)="","ИНН не указан",IF(LEN(C48)&lt;&gt;10,"ИНН: должно быть 10 цифр",IF(NOT(ISNUMBER(IFERROR(VALUE(C48),"x"))),"ИНН: есть нецифровые символы",IF(MOD(MOD(SUMPRODUCT(--MID(C48,{1,2,3,4,5,6,7,8,9},1),{2,4,10,3,5,9,4,6,8}),11),10)=VALUE(RIGHT(C48,1)),"","ИНН: неверная контрольная цифра"))))</f>
        <v/>
      </c>
      <c r="L48" s="24" t="str">
        <f aca="false">IF(TRIM(D48)="","ОГРН не указан",IF(LEN(D48)&lt;&gt;13,"ОГРН: должно быть 13 цифр",IF(NOT(ISNUMBER(IFERROR(VALUE(D48),"x"))),"ОГРН: есть нецифровые символы",IF(MOD(VALUE(LEFT(D48,12))-11*INT(VALUE(LEFT(D48,12))/11),10)=VALUE(RIGHT(D48,1)),"","ОГРН: неверная контрольная цифра"))))</f>
        <v/>
      </c>
      <c r="M48" s="24" t="str">
        <f aca="false">IF(TRIM(E48)="","КПП не указан",IF(LEN(E48)&lt;&gt;9,"КПП: должно быть 9 знаков",IF(NOT(AND(ISNUMBER(IFERROR(VALUE(LEFT(E48,4)),"x")),ISNUMBER(IFERROR(VALUE(RIGHT(E48,3)),"x")))),"КПП: неверный формат",IF(LEFT(E48,2)&lt;&gt;LEFT(C48,2),"КПП: код региона не совпадает с ИНН",""))))</f>
        <v/>
      </c>
      <c r="N48" s="24" t="str">
        <f aca="false">IF(TRIM(C48)="","",IF(COUNTIF($C$2:$C$401,C48)&gt;1,"Дубликат ИНН в реестре",""))</f>
        <v/>
      </c>
      <c r="O48" s="24" t="str">
        <f aca="false">IF(TRIM(H48)="","Email не указан",IF(AND(ISNUMBER(FIND("@",H48)),ISNUMBER(FIND(".",H48,IFERROR(FIND("@",H48),1))),ISERROR(FIND(" ",H48)),LEFT(H48,1)&lt;&gt;"@",RIGHT(H48,1)&lt;&gt;".",LEN(H48)-LEN(SUBSTITUTE(H48,"@",""))=1),"","Email: неверный формат"))</f>
        <v/>
      </c>
      <c r="P48" s="24" t="str">
        <f aca="false">IF(TRIM(I48)="","Телефон не указан",IF(AND(LEN(SUBSTITUTE(SUBSTITUTE(SUBSTITUTE(SUBSTITUTE(SUBSTITUTE(I48," ",""),"-",""),"(",""),")",""),"+",""))=11,OR(LEFT(SUBSTITUTE(SUBSTITUTE(SUBSTITUTE(SUBSTITUTE(SUBSTITUTE(I48," ",""),"-",""),"(",""),")",""),"+",""),1)="7",LEFT(SUBSTITUTE(SUBSTITUTE(SUBSTITUTE(SUBSTITUTE(SUBSTITUTE(I48," ",""),"-",""),"(",""),")",""),"+",""),1)="8"),ISNUMBER(IFERROR(VALUE(SUBSTITUTE(SUBSTITUTE(SUBSTITUTE(SUBSTITUTE(SUBSTITUTE(I48," ",""),"-",""),"(",""),")",""),"+","")),"x"))),"","Телефон: неверный формат"))</f>
        <v/>
      </c>
      <c r="Q48" s="24" t="str">
        <f aca="false">TRIM(IF(TRIM(B48)="","Нет наименования. ","")&amp;IF(TRIM(F48)="","Нет адреса. ","")&amp;IF(TRIM(G48)="","Нет контактного лица.",""))</f>
        <v/>
      </c>
      <c r="R48" s="21" t="n">
        <f aca="false">SUMPRODUCT(--(LEN(K48:Q48)&gt;0))</f>
        <v>0</v>
      </c>
      <c r="S48" s="24" t="str">
        <f aca="false">IF(R48=0,"Готово к передаче","Требует исправления")</f>
        <v>Готово к передаче</v>
      </c>
      <c r="T48" s="24" t="str">
        <f aca="false">IF(R48=0,"",_xlfn.TEXTJOIN("; ",TRUE(),K48:Q48))</f>
        <v/>
      </c>
      <c r="U48" s="24" t="str">
        <f aca="false">IF(R48=0,"","Здравствуйте! В данных организации «"&amp;B48&amp;"» обнаружены ошибки: "&amp;T48&amp;". Просим проверить и прислать исправленную информацию.")</f>
        <v/>
      </c>
      <c r="V48" s="21" t="str">
        <f aca="false">IF(R48&gt;0,COUNTIF($R$2:R48,"&gt;0"),"")</f>
        <v/>
      </c>
      <c r="W48" s="21" t="n">
        <f aca="false">IF(R48=0,COUNTIF($R$2:R48,0),"")</f>
        <v>28</v>
      </c>
    </row>
    <row r="49" customFormat="false" ht="15" hidden="false" customHeight="false" outlineLevel="0" collapsed="false">
      <c r="A49" s="21" t="n">
        <v>48</v>
      </c>
      <c r="B49" s="22" t="s">
        <v>457</v>
      </c>
      <c r="C49" s="23" t="s">
        <v>458</v>
      </c>
      <c r="D49" s="23" t="s">
        <v>459</v>
      </c>
      <c r="E49" s="23" t="s">
        <v>460</v>
      </c>
      <c r="F49" s="22" t="s">
        <v>461</v>
      </c>
      <c r="G49" s="22" t="s">
        <v>462</v>
      </c>
      <c r="H49" s="22" t="s">
        <v>463</v>
      </c>
      <c r="I49" s="23" t="s">
        <v>464</v>
      </c>
      <c r="J49" s="24" t="str">
        <f aca="false">IFERROR(VLOOKUP(VALUE(LEFT(C49,2)),Справочники!$A$2:$B$16,2,FALSE()),"не определён")</f>
        <v>г. Санкт-Петербург</v>
      </c>
      <c r="K49" s="24" t="str">
        <f aca="false">IF(TRIM(C49)="","ИНН не указан",IF(LEN(C49)&lt;&gt;10,"ИНН: должно быть 10 цифр",IF(NOT(ISNUMBER(IFERROR(VALUE(C49),"x"))),"ИНН: есть нецифровые символы",IF(MOD(MOD(SUMPRODUCT(--MID(C49,{1,2,3,4,5,6,7,8,9},1),{2,4,10,3,5,9,4,6,8}),11),10)=VALUE(RIGHT(C49,1)),"","ИНН: неверная контрольная цифра"))))</f>
        <v/>
      </c>
      <c r="L49" s="24" t="str">
        <f aca="false">IF(TRIM(D49)="","ОГРН не указан",IF(LEN(D49)&lt;&gt;13,"ОГРН: должно быть 13 цифр",IF(NOT(ISNUMBER(IFERROR(VALUE(D49),"x"))),"ОГРН: есть нецифровые символы",IF(MOD(VALUE(LEFT(D49,12))-11*INT(VALUE(LEFT(D49,12))/11),10)=VALUE(RIGHT(D49,1)),"","ОГРН: неверная контрольная цифра"))))</f>
        <v/>
      </c>
      <c r="M49" s="24" t="str">
        <f aca="false">IF(TRIM(E49)="","КПП не указан",IF(LEN(E49)&lt;&gt;9,"КПП: должно быть 9 знаков",IF(NOT(AND(ISNUMBER(IFERROR(VALUE(LEFT(E49,4)),"x")),ISNUMBER(IFERROR(VALUE(RIGHT(E49,3)),"x")))),"КПП: неверный формат",IF(LEFT(E49,2)&lt;&gt;LEFT(C49,2),"КПП: код региона не совпадает с ИНН",""))))</f>
        <v/>
      </c>
      <c r="N49" s="24" t="str">
        <f aca="false">IF(TRIM(C49)="","",IF(COUNTIF($C$2:$C$401,C49)&gt;1,"Дубликат ИНН в реестре",""))</f>
        <v/>
      </c>
      <c r="O49" s="24" t="str">
        <f aca="false">IF(TRIM(H49)="","Email не указан",IF(AND(ISNUMBER(FIND("@",H49)),ISNUMBER(FIND(".",H49,IFERROR(FIND("@",H49),1))),ISERROR(FIND(" ",H49)),LEFT(H49,1)&lt;&gt;"@",RIGHT(H49,1)&lt;&gt;".",LEN(H49)-LEN(SUBSTITUTE(H49,"@",""))=1),"","Email: неверный формат"))</f>
        <v/>
      </c>
      <c r="P49" s="24" t="str">
        <f aca="false">IF(TRIM(I49)="","Телефон не указан",IF(AND(LEN(SUBSTITUTE(SUBSTITUTE(SUBSTITUTE(SUBSTITUTE(SUBSTITUTE(I49," ",""),"-",""),"(",""),")",""),"+",""))=11,OR(LEFT(SUBSTITUTE(SUBSTITUTE(SUBSTITUTE(SUBSTITUTE(SUBSTITUTE(I49," ",""),"-",""),"(",""),")",""),"+",""),1)="7",LEFT(SUBSTITUTE(SUBSTITUTE(SUBSTITUTE(SUBSTITUTE(SUBSTITUTE(I49," ",""),"-",""),"(",""),")",""),"+",""),1)="8"),ISNUMBER(IFERROR(VALUE(SUBSTITUTE(SUBSTITUTE(SUBSTITUTE(SUBSTITUTE(SUBSTITUTE(I49," ",""),"-",""),"(",""),")",""),"+","")),"x"))),"","Телефон: неверный формат"))</f>
        <v/>
      </c>
      <c r="Q49" s="24" t="str">
        <f aca="false">TRIM(IF(TRIM(B49)="","Нет наименования. ","")&amp;IF(TRIM(F49)="","Нет адреса. ","")&amp;IF(TRIM(G49)="","Нет контактного лица.",""))</f>
        <v/>
      </c>
      <c r="R49" s="21" t="n">
        <f aca="false">SUMPRODUCT(--(LEN(K49:Q49)&gt;0))</f>
        <v>0</v>
      </c>
      <c r="S49" s="24" t="str">
        <f aca="false">IF(R49=0,"Готово к передаче","Требует исправления")</f>
        <v>Готово к передаче</v>
      </c>
      <c r="T49" s="24" t="str">
        <f aca="false">IF(R49=0,"",_xlfn.TEXTJOIN("; ",TRUE(),K49:Q49))</f>
        <v/>
      </c>
      <c r="U49" s="24" t="str">
        <f aca="false">IF(R49=0,"","Здравствуйте! В данных организации «"&amp;B49&amp;"» обнаружены ошибки: "&amp;T49&amp;". Просим проверить и прислать исправленную информацию.")</f>
        <v/>
      </c>
      <c r="V49" s="21" t="str">
        <f aca="false">IF(R49&gt;0,COUNTIF($R$2:R49,"&gt;0"),"")</f>
        <v/>
      </c>
      <c r="W49" s="21" t="n">
        <f aca="false">IF(R49=0,COUNTIF($R$2:R49,0),"")</f>
        <v>29</v>
      </c>
    </row>
    <row r="50" customFormat="false" ht="15" hidden="false" customHeight="false" outlineLevel="0" collapsed="false">
      <c r="A50" s="21" t="n">
        <v>49</v>
      </c>
      <c r="B50" s="22" t="s">
        <v>465</v>
      </c>
      <c r="C50" s="23" t="s">
        <v>466</v>
      </c>
      <c r="D50" s="23" t="s">
        <v>467</v>
      </c>
      <c r="E50" s="23" t="s">
        <v>468</v>
      </c>
      <c r="F50" s="22" t="s">
        <v>469</v>
      </c>
      <c r="G50" s="22" t="s">
        <v>470</v>
      </c>
      <c r="H50" s="22" t="s">
        <v>471</v>
      </c>
      <c r="I50" s="23" t="s">
        <v>472</v>
      </c>
      <c r="J50" s="24" t="str">
        <f aca="false">IFERROR(VLOOKUP(VALUE(LEFT(C50,2)),Справочники!$A$2:$B$16,2,FALSE()),"не определён")</f>
        <v>Московская область</v>
      </c>
      <c r="K50" s="24" t="str">
        <f aca="false">IF(TRIM(C50)="","ИНН не указан",IF(LEN(C50)&lt;&gt;10,"ИНН: должно быть 10 цифр",IF(NOT(ISNUMBER(IFERROR(VALUE(C50),"x"))),"ИНН: есть нецифровые символы",IF(MOD(MOD(SUMPRODUCT(--MID(C50,{1,2,3,4,5,6,7,8,9},1),{2,4,10,3,5,9,4,6,8}),11),10)=VALUE(RIGHT(C50,1)),"","ИНН: неверная контрольная цифра"))))</f>
        <v/>
      </c>
      <c r="L50" s="24" t="str">
        <f aca="false">IF(TRIM(D50)="","ОГРН не указан",IF(LEN(D50)&lt;&gt;13,"ОГРН: должно быть 13 цифр",IF(NOT(ISNUMBER(IFERROR(VALUE(D50),"x"))),"ОГРН: есть нецифровые символы",IF(MOD(VALUE(LEFT(D50,12))-11*INT(VALUE(LEFT(D50,12))/11),10)=VALUE(RIGHT(D50,1)),"","ОГРН: неверная контрольная цифра"))))</f>
        <v/>
      </c>
      <c r="M50" s="24" t="str">
        <f aca="false">IF(TRIM(E50)="","КПП не указан",IF(LEN(E50)&lt;&gt;9,"КПП: должно быть 9 знаков",IF(NOT(AND(ISNUMBER(IFERROR(VALUE(LEFT(E50,4)),"x")),ISNUMBER(IFERROR(VALUE(RIGHT(E50,3)),"x")))),"КПП: неверный формат",IF(LEFT(E50,2)&lt;&gt;LEFT(C50,2),"КПП: код региона не совпадает с ИНН",""))))</f>
        <v/>
      </c>
      <c r="N50" s="24" t="str">
        <f aca="false">IF(TRIM(C50)="","",IF(COUNTIF($C$2:$C$401,C50)&gt;1,"Дубликат ИНН в реестре",""))</f>
        <v>Дубликат ИНН в реестре</v>
      </c>
      <c r="O50" s="24" t="str">
        <f aca="false">IF(TRIM(H50)="","Email не указан",IF(AND(ISNUMBER(FIND("@",H50)),ISNUMBER(FIND(".",H50,IFERROR(FIND("@",H50),1))),ISERROR(FIND(" ",H50)),LEFT(H50,1)&lt;&gt;"@",RIGHT(H50,1)&lt;&gt;".",LEN(H50)-LEN(SUBSTITUTE(H50,"@",""))=1),"","Email: неверный формат"))</f>
        <v/>
      </c>
      <c r="P50" s="24" t="str">
        <f aca="false">IF(TRIM(I50)="","Телефон не указан",IF(AND(LEN(SUBSTITUTE(SUBSTITUTE(SUBSTITUTE(SUBSTITUTE(SUBSTITUTE(I50," ",""),"-",""),"(",""),")",""),"+",""))=11,OR(LEFT(SUBSTITUTE(SUBSTITUTE(SUBSTITUTE(SUBSTITUTE(SUBSTITUTE(I50," ",""),"-",""),"(",""),")",""),"+",""),1)="7",LEFT(SUBSTITUTE(SUBSTITUTE(SUBSTITUTE(SUBSTITUTE(SUBSTITUTE(I50," ",""),"-",""),"(",""),")",""),"+",""),1)="8"),ISNUMBER(IFERROR(VALUE(SUBSTITUTE(SUBSTITUTE(SUBSTITUTE(SUBSTITUTE(SUBSTITUTE(I50," ",""),"-",""),"(",""),")",""),"+","")),"x"))),"","Телефон: неверный формат"))</f>
        <v/>
      </c>
      <c r="Q50" s="24" t="str">
        <f aca="false">TRIM(IF(TRIM(B50)="","Нет наименования. ","")&amp;IF(TRIM(F50)="","Нет адреса. ","")&amp;IF(TRIM(G50)="","Нет контактного лица.",""))</f>
        <v/>
      </c>
      <c r="R50" s="21" t="n">
        <f aca="false">SUMPRODUCT(--(LEN(K50:Q50)&gt;0))</f>
        <v>1</v>
      </c>
      <c r="S50" s="24" t="str">
        <f aca="false">IF(R50=0,"Готово к передаче","Требует исправления")</f>
        <v>Требует исправления</v>
      </c>
      <c r="T50" s="24" t="str">
        <f aca="false">IF(R50=0,"",_xlfn.TEXTJOIN("; ",TRUE(),K50:Q50))</f>
        <v>Дубликат ИНН в реестре</v>
      </c>
      <c r="U50" s="24" t="str">
        <f aca="false">IF(R50=0,"","Здравствуйте! В данных организации «"&amp;B50&amp;"» обнаружены ошибки: "&amp;T50&amp;". Просим проверить и прислать исправленную информацию.")</f>
        <v>Здравствуйте! В данных организации «ООО «Навигатор Логистик»» обнаружены ошибки: Дубликат ИНН в реестре. Просим проверить и прислать исправленную информацию.</v>
      </c>
      <c r="V50" s="21" t="n">
        <f aca="false">IF(R50&gt;0,COUNTIF($R$2:R50,"&gt;0"),"")</f>
        <v>20</v>
      </c>
      <c r="W50" s="21" t="str">
        <f aca="false">IF(R50=0,COUNTIF($R$2:R50,0),"")</f>
        <v/>
      </c>
    </row>
    <row r="51" customFormat="false" ht="15" hidden="false" customHeight="false" outlineLevel="0" collapsed="false">
      <c r="A51" s="21" t="n">
        <v>50</v>
      </c>
      <c r="B51" s="22" t="s">
        <v>473</v>
      </c>
      <c r="C51" s="23" t="s">
        <v>474</v>
      </c>
      <c r="D51" s="23" t="s">
        <v>475</v>
      </c>
      <c r="E51" s="23" t="s">
        <v>476</v>
      </c>
      <c r="F51" s="22" t="s">
        <v>477</v>
      </c>
      <c r="G51" s="22" t="s">
        <v>478</v>
      </c>
      <c r="H51" s="22" t="s">
        <v>479</v>
      </c>
      <c r="I51" s="23" t="s">
        <v>480</v>
      </c>
      <c r="J51" s="24" t="str">
        <f aca="false">IFERROR(VLOOKUP(VALUE(LEFT(C51,2)),Справочники!$A$2:$B$16,2,FALSE()),"не определён")</f>
        <v>Красноярский край</v>
      </c>
      <c r="K51" s="24" t="str">
        <f aca="false">IF(TRIM(C51)="","ИНН не указан",IF(LEN(C51)&lt;&gt;10,"ИНН: должно быть 10 цифр",IF(NOT(ISNUMBER(IFERROR(VALUE(C51),"x"))),"ИНН: есть нецифровые символы",IF(MOD(MOD(SUMPRODUCT(--MID(C51,{1,2,3,4,5,6,7,8,9},1),{2,4,10,3,5,9,4,6,8}),11),10)=VALUE(RIGHT(C51,1)),"","ИНН: неверная контрольная цифра"))))</f>
        <v/>
      </c>
      <c r="L51" s="24" t="str">
        <f aca="false">IF(TRIM(D51)="","ОГРН не указан",IF(LEN(D51)&lt;&gt;13,"ОГРН: должно быть 13 цифр",IF(NOT(ISNUMBER(IFERROR(VALUE(D51),"x"))),"ОГРН: есть нецифровые символы",IF(MOD(VALUE(LEFT(D51,12))-11*INT(VALUE(LEFT(D51,12))/11),10)=VALUE(RIGHT(D51,1)),"","ОГРН: неверная контрольная цифра"))))</f>
        <v/>
      </c>
      <c r="M51" s="24" t="str">
        <f aca="false">IF(TRIM(E51)="","КПП не указан",IF(LEN(E51)&lt;&gt;9,"КПП: должно быть 9 знаков",IF(NOT(AND(ISNUMBER(IFERROR(VALUE(LEFT(E51,4)),"x")),ISNUMBER(IFERROR(VALUE(RIGHT(E51,3)),"x")))),"КПП: неверный формат",IF(LEFT(E51,2)&lt;&gt;LEFT(C51,2),"КПП: код региона не совпадает с ИНН",""))))</f>
        <v/>
      </c>
      <c r="N51" s="24" t="str">
        <f aca="false">IF(TRIM(C51)="","",IF(COUNTIF($C$2:$C$401,C51)&gt;1,"Дубликат ИНН в реестре",""))</f>
        <v/>
      </c>
      <c r="O51" s="24" t="str">
        <f aca="false">IF(TRIM(H51)="","Email не указан",IF(AND(ISNUMBER(FIND("@",H51)),ISNUMBER(FIND(".",H51,IFERROR(FIND("@",H51),1))),ISERROR(FIND(" ",H51)),LEFT(H51,1)&lt;&gt;"@",RIGHT(H51,1)&lt;&gt;".",LEN(H51)-LEN(SUBSTITUTE(H51,"@",""))=1),"","Email: неверный формат"))</f>
        <v/>
      </c>
      <c r="P51" s="24" t="str">
        <f aca="false">IF(TRIM(I51)="","Телефон не указан",IF(AND(LEN(SUBSTITUTE(SUBSTITUTE(SUBSTITUTE(SUBSTITUTE(SUBSTITUTE(I51," ",""),"-",""),"(",""),")",""),"+",""))=11,OR(LEFT(SUBSTITUTE(SUBSTITUTE(SUBSTITUTE(SUBSTITUTE(SUBSTITUTE(I51," ",""),"-",""),"(",""),")",""),"+",""),1)="7",LEFT(SUBSTITUTE(SUBSTITUTE(SUBSTITUTE(SUBSTITUTE(SUBSTITUTE(I51," ",""),"-",""),"(",""),")",""),"+",""),1)="8"),ISNUMBER(IFERROR(VALUE(SUBSTITUTE(SUBSTITUTE(SUBSTITUTE(SUBSTITUTE(SUBSTITUTE(I51," ",""),"-",""),"(",""),")",""),"+","")),"x"))),"","Телефон: неверный формат"))</f>
        <v/>
      </c>
      <c r="Q51" s="24" t="str">
        <f aca="false">TRIM(IF(TRIM(B51)="","Нет наименования. ","")&amp;IF(TRIM(F51)="","Нет адреса. ","")&amp;IF(TRIM(G51)="","Нет контактного лица.",""))</f>
        <v/>
      </c>
      <c r="R51" s="21" t="n">
        <f aca="false">SUMPRODUCT(--(LEN(K51:Q51)&gt;0))</f>
        <v>0</v>
      </c>
      <c r="S51" s="24" t="str">
        <f aca="false">IF(R51=0,"Готово к передаче","Требует исправления")</f>
        <v>Готово к передаче</v>
      </c>
      <c r="T51" s="24" t="str">
        <f aca="false">IF(R51=0,"",_xlfn.TEXTJOIN("; ",TRUE(),K51:Q51))</f>
        <v/>
      </c>
      <c r="U51" s="24" t="str">
        <f aca="false">IF(R51=0,"","Здравствуйте! В данных организации «"&amp;B51&amp;"» обнаружены ошибки: "&amp;T51&amp;". Просим проверить и прислать исправленную информацию.")</f>
        <v/>
      </c>
      <c r="V51" s="21" t="str">
        <f aca="false">IF(R51&gt;0,COUNTIF($R$2:R51,"&gt;0"),"")</f>
        <v/>
      </c>
      <c r="W51" s="21" t="n">
        <f aca="false">IF(R51=0,COUNTIF($R$2:R51,0),"")</f>
        <v>30</v>
      </c>
    </row>
    <row r="52" customFormat="false" ht="15" hidden="false" customHeight="false" outlineLevel="0" collapsed="false">
      <c r="A52" s="21" t="n">
        <v>51</v>
      </c>
      <c r="B52" s="22" t="s">
        <v>481</v>
      </c>
      <c r="C52" s="23" t="s">
        <v>482</v>
      </c>
      <c r="D52" s="23" t="s">
        <v>483</v>
      </c>
      <c r="E52" s="23" t="s">
        <v>484</v>
      </c>
      <c r="F52" s="22" t="s">
        <v>485</v>
      </c>
      <c r="G52" s="22" t="s">
        <v>486</v>
      </c>
      <c r="H52" s="22" t="s">
        <v>487</v>
      </c>
      <c r="I52" s="23" t="s">
        <v>488</v>
      </c>
      <c r="J52" s="24" t="str">
        <f aca="false">IFERROR(VLOOKUP(VALUE(LEFT(C52,2)),Справочники!$A$2:$B$16,2,FALSE()),"не определён")</f>
        <v>Московская область</v>
      </c>
      <c r="K52" s="24" t="str">
        <f aca="false">IF(TRIM(C52)="","ИНН не указан",IF(LEN(C52)&lt;&gt;10,"ИНН: должно быть 10 цифр",IF(NOT(ISNUMBER(IFERROR(VALUE(C52),"x"))),"ИНН: есть нецифровые символы",IF(MOD(MOD(SUMPRODUCT(--MID(C52,{1,2,3,4,5,6,7,8,9},1),{2,4,10,3,5,9,4,6,8}),11),10)=VALUE(RIGHT(C52,1)),"","ИНН: неверная контрольная цифра"))))</f>
        <v/>
      </c>
      <c r="L52" s="24" t="str">
        <f aca="false">IF(TRIM(D52)="","ОГРН не указан",IF(LEN(D52)&lt;&gt;13,"ОГРН: должно быть 13 цифр",IF(NOT(ISNUMBER(IFERROR(VALUE(D52),"x"))),"ОГРН: есть нецифровые символы",IF(MOD(VALUE(LEFT(D52,12))-11*INT(VALUE(LEFT(D52,12))/11),10)=VALUE(RIGHT(D52,1)),"","ОГРН: неверная контрольная цифра"))))</f>
        <v/>
      </c>
      <c r="M52" s="24" t="str">
        <f aca="false">IF(TRIM(E52)="","КПП не указан",IF(LEN(E52)&lt;&gt;9,"КПП: должно быть 9 знаков",IF(NOT(AND(ISNUMBER(IFERROR(VALUE(LEFT(E52,4)),"x")),ISNUMBER(IFERROR(VALUE(RIGHT(E52,3)),"x")))),"КПП: неверный формат",IF(LEFT(E52,2)&lt;&gt;LEFT(C52,2),"КПП: код региона не совпадает с ИНН",""))))</f>
        <v/>
      </c>
      <c r="N52" s="24" t="str">
        <f aca="false">IF(TRIM(C52)="","",IF(COUNTIF($C$2:$C$401,C52)&gt;1,"Дубликат ИНН в реестре",""))</f>
        <v/>
      </c>
      <c r="O52" s="24" t="str">
        <f aca="false">IF(TRIM(H52)="","Email не указан",IF(AND(ISNUMBER(FIND("@",H52)),ISNUMBER(FIND(".",H52,IFERROR(FIND("@",H52),1))),ISERROR(FIND(" ",H52)),LEFT(H52,1)&lt;&gt;"@",RIGHT(H52,1)&lt;&gt;".",LEN(H52)-LEN(SUBSTITUTE(H52,"@",""))=1),"","Email: неверный формат"))</f>
        <v/>
      </c>
      <c r="P52" s="24" t="str">
        <f aca="false">IF(TRIM(I52)="","Телефон не указан",IF(AND(LEN(SUBSTITUTE(SUBSTITUTE(SUBSTITUTE(SUBSTITUTE(SUBSTITUTE(I52," ",""),"-",""),"(",""),")",""),"+",""))=11,OR(LEFT(SUBSTITUTE(SUBSTITUTE(SUBSTITUTE(SUBSTITUTE(SUBSTITUTE(I52," ",""),"-",""),"(",""),")",""),"+",""),1)="7",LEFT(SUBSTITUTE(SUBSTITUTE(SUBSTITUTE(SUBSTITUTE(SUBSTITUTE(I52," ",""),"-",""),"(",""),")",""),"+",""),1)="8"),ISNUMBER(IFERROR(VALUE(SUBSTITUTE(SUBSTITUTE(SUBSTITUTE(SUBSTITUTE(SUBSTITUTE(I52," ",""),"-",""),"(",""),")",""),"+","")),"x"))),"","Телефон: неверный формат"))</f>
        <v/>
      </c>
      <c r="Q52" s="24" t="str">
        <f aca="false">TRIM(IF(TRIM(B52)="","Нет наименования. ","")&amp;IF(TRIM(F52)="","Нет адреса. ","")&amp;IF(TRIM(G52)="","Нет контактного лица.",""))</f>
        <v/>
      </c>
      <c r="R52" s="21" t="n">
        <f aca="false">SUMPRODUCT(--(LEN(K52:Q52)&gt;0))</f>
        <v>0</v>
      </c>
      <c r="S52" s="24" t="str">
        <f aca="false">IF(R52=0,"Готово к передаче","Требует исправления")</f>
        <v>Готово к передаче</v>
      </c>
      <c r="T52" s="24" t="str">
        <f aca="false">IF(R52=0,"",_xlfn.TEXTJOIN("; ",TRUE(),K52:Q52))</f>
        <v/>
      </c>
      <c r="U52" s="24" t="str">
        <f aca="false">IF(R52=0,"","Здравствуйте! В данных организации «"&amp;B52&amp;"» обнаружены ошибки: "&amp;T52&amp;". Просим проверить и прислать исправленную информацию.")</f>
        <v/>
      </c>
      <c r="V52" s="21" t="str">
        <f aca="false">IF(R52&gt;0,COUNTIF($R$2:R52,"&gt;0"),"")</f>
        <v/>
      </c>
      <c r="W52" s="21" t="n">
        <f aca="false">IF(R52=0,COUNTIF($R$2:R52,0),"")</f>
        <v>31</v>
      </c>
    </row>
    <row r="53" customFormat="false" ht="15" hidden="false" customHeight="false" outlineLevel="0" collapsed="false">
      <c r="A53" s="21" t="n">
        <v>52</v>
      </c>
      <c r="B53" s="22" t="s">
        <v>489</v>
      </c>
      <c r="C53" s="23" t="s">
        <v>490</v>
      </c>
      <c r="D53" s="23" t="s">
        <v>491</v>
      </c>
      <c r="E53" s="23" t="s">
        <v>492</v>
      </c>
      <c r="F53" s="22" t="s">
        <v>493</v>
      </c>
      <c r="G53" s="22" t="s">
        <v>494</v>
      </c>
      <c r="H53" s="22" t="s">
        <v>495</v>
      </c>
      <c r="I53" s="23" t="s">
        <v>496</v>
      </c>
      <c r="J53" s="24" t="str">
        <f aca="false">IFERROR(VLOOKUP(VALUE(LEFT(C53,2)),Справочники!$A$2:$B$16,2,FALSE()),"не определён")</f>
        <v>Красноярский край</v>
      </c>
      <c r="K53" s="24" t="str">
        <f aca="false">IF(TRIM(C53)="","ИНН не указан",IF(LEN(C53)&lt;&gt;10,"ИНН: должно быть 10 цифр",IF(NOT(ISNUMBER(IFERROR(VALUE(C53),"x"))),"ИНН: есть нецифровые символы",IF(MOD(MOD(SUMPRODUCT(--MID(C53,{1,2,3,4,5,6,7,8,9},1),{2,4,10,3,5,9,4,6,8}),11),10)=VALUE(RIGHT(C53,1)),"","ИНН: неверная контрольная цифра"))))</f>
        <v/>
      </c>
      <c r="L53" s="24" t="str">
        <f aca="false">IF(TRIM(D53)="","ОГРН не указан",IF(LEN(D53)&lt;&gt;13,"ОГРН: должно быть 13 цифр",IF(NOT(ISNUMBER(IFERROR(VALUE(D53),"x"))),"ОГРН: есть нецифровые символы",IF(MOD(VALUE(LEFT(D53,12))-11*INT(VALUE(LEFT(D53,12))/11),10)=VALUE(RIGHT(D53,1)),"","ОГРН: неверная контрольная цифра"))))</f>
        <v/>
      </c>
      <c r="M53" s="24" t="str">
        <f aca="false">IF(TRIM(E53)="","КПП не указан",IF(LEN(E53)&lt;&gt;9,"КПП: должно быть 9 знаков",IF(NOT(AND(ISNUMBER(IFERROR(VALUE(LEFT(E53,4)),"x")),ISNUMBER(IFERROR(VALUE(RIGHT(E53,3)),"x")))),"КПП: неверный формат",IF(LEFT(E53,2)&lt;&gt;LEFT(C53,2),"КПП: код региона не совпадает с ИНН",""))))</f>
        <v/>
      </c>
      <c r="N53" s="24" t="str">
        <f aca="false">IF(TRIM(C53)="","",IF(COUNTIF($C$2:$C$401,C53)&gt;1,"Дубликат ИНН в реестре",""))</f>
        <v/>
      </c>
      <c r="O53" s="24" t="str">
        <f aca="false">IF(TRIM(H53)="","Email не указан",IF(AND(ISNUMBER(FIND("@",H53)),ISNUMBER(FIND(".",H53,IFERROR(FIND("@",H53),1))),ISERROR(FIND(" ",H53)),LEFT(H53,1)&lt;&gt;"@",RIGHT(H53,1)&lt;&gt;".",LEN(H53)-LEN(SUBSTITUTE(H53,"@",""))=1),"","Email: неверный формат"))</f>
        <v/>
      </c>
      <c r="P53" s="24" t="str">
        <f aca="false">IF(TRIM(I53)="","Телефон не указан",IF(AND(LEN(SUBSTITUTE(SUBSTITUTE(SUBSTITUTE(SUBSTITUTE(SUBSTITUTE(I53," ",""),"-",""),"(",""),")",""),"+",""))=11,OR(LEFT(SUBSTITUTE(SUBSTITUTE(SUBSTITUTE(SUBSTITUTE(SUBSTITUTE(I53," ",""),"-",""),"(",""),")",""),"+",""),1)="7",LEFT(SUBSTITUTE(SUBSTITUTE(SUBSTITUTE(SUBSTITUTE(SUBSTITUTE(I53," ",""),"-",""),"(",""),")",""),"+",""),1)="8"),ISNUMBER(IFERROR(VALUE(SUBSTITUTE(SUBSTITUTE(SUBSTITUTE(SUBSTITUTE(SUBSTITUTE(I53," ",""),"-",""),"(",""),")",""),"+","")),"x"))),"","Телефон: неверный формат"))</f>
        <v/>
      </c>
      <c r="Q53" s="24" t="str">
        <f aca="false">TRIM(IF(TRIM(B53)="","Нет наименования. ","")&amp;IF(TRIM(F53)="","Нет адреса. ","")&amp;IF(TRIM(G53)="","Нет контактного лица.",""))</f>
        <v/>
      </c>
      <c r="R53" s="21" t="n">
        <f aca="false">SUMPRODUCT(--(LEN(K53:Q53)&gt;0))</f>
        <v>0</v>
      </c>
      <c r="S53" s="24" t="str">
        <f aca="false">IF(R53=0,"Готово к передаче","Требует исправления")</f>
        <v>Готово к передаче</v>
      </c>
      <c r="T53" s="24" t="str">
        <f aca="false">IF(R53=0,"",_xlfn.TEXTJOIN("; ",TRUE(),K53:Q53))</f>
        <v/>
      </c>
      <c r="U53" s="24" t="str">
        <f aca="false">IF(R53=0,"","Здравствуйте! В данных организации «"&amp;B53&amp;"» обнаружены ошибки: "&amp;T53&amp;". Просим проверить и прислать исправленную информацию.")</f>
        <v/>
      </c>
      <c r="V53" s="21" t="str">
        <f aca="false">IF(R53&gt;0,COUNTIF($R$2:R53,"&gt;0"),"")</f>
        <v/>
      </c>
      <c r="W53" s="21" t="n">
        <f aca="false">IF(R53=0,COUNTIF($R$2:R53,0),"")</f>
        <v>32</v>
      </c>
    </row>
    <row r="54" customFormat="false" ht="15" hidden="false" customHeight="false" outlineLevel="0" collapsed="false">
      <c r="A54" s="21" t="n">
        <v>53</v>
      </c>
      <c r="B54" s="22" t="s">
        <v>497</v>
      </c>
      <c r="C54" s="23" t="s">
        <v>498</v>
      </c>
      <c r="D54" s="23" t="s">
        <v>499</v>
      </c>
      <c r="E54" s="23" t="s">
        <v>500</v>
      </c>
      <c r="F54" s="22" t="s">
        <v>501</v>
      </c>
      <c r="G54" s="22" t="s">
        <v>502</v>
      </c>
      <c r="H54" s="22" t="s">
        <v>503</v>
      </c>
      <c r="I54" s="23" t="s">
        <v>504</v>
      </c>
      <c r="J54" s="24" t="str">
        <f aca="false">IFERROR(VLOOKUP(VALUE(LEFT(C54,2)),Справочники!$A$2:$B$16,2,FALSE()),"не определён")</f>
        <v>г. Севастополь</v>
      </c>
      <c r="K54" s="24" t="str">
        <f aca="false">IF(TRIM(C54)="","ИНН не указан",IF(LEN(C54)&lt;&gt;10,"ИНН: должно быть 10 цифр",IF(NOT(ISNUMBER(IFERROR(VALUE(C54),"x"))),"ИНН: есть нецифровые символы",IF(MOD(MOD(SUMPRODUCT(--MID(C54,{1,2,3,4,5,6,7,8,9},1),{2,4,10,3,5,9,4,6,8}),11),10)=VALUE(RIGHT(C54,1)),"","ИНН: неверная контрольная цифра"))))</f>
        <v/>
      </c>
      <c r="L54" s="24" t="str">
        <f aca="false">IF(TRIM(D54)="","ОГРН не указан",IF(LEN(D54)&lt;&gt;13,"ОГРН: должно быть 13 цифр",IF(NOT(ISNUMBER(IFERROR(VALUE(D54),"x"))),"ОГРН: есть нецифровые символы",IF(MOD(VALUE(LEFT(D54,12))-11*INT(VALUE(LEFT(D54,12))/11),10)=VALUE(RIGHT(D54,1)),"","ОГРН: неверная контрольная цифра"))))</f>
        <v/>
      </c>
      <c r="M54" s="24" t="str">
        <f aca="false">IF(TRIM(E54)="","КПП не указан",IF(LEN(E54)&lt;&gt;9,"КПП: должно быть 9 знаков",IF(NOT(AND(ISNUMBER(IFERROR(VALUE(LEFT(E54,4)),"x")),ISNUMBER(IFERROR(VALUE(RIGHT(E54,3)),"x")))),"КПП: неверный формат",IF(LEFT(E54,2)&lt;&gt;LEFT(C54,2),"КПП: код региона не совпадает с ИНН",""))))</f>
        <v/>
      </c>
      <c r="N54" s="24" t="str">
        <f aca="false">IF(TRIM(C54)="","",IF(COUNTIF($C$2:$C$401,C54)&gt;1,"Дубликат ИНН в реестре",""))</f>
        <v/>
      </c>
      <c r="O54" s="24" t="str">
        <f aca="false">IF(TRIM(H54)="","Email не указан",IF(AND(ISNUMBER(FIND("@",H54)),ISNUMBER(FIND(".",H54,IFERROR(FIND("@",H54),1))),ISERROR(FIND(" ",H54)),LEFT(H54,1)&lt;&gt;"@",RIGHT(H54,1)&lt;&gt;".",LEN(H54)-LEN(SUBSTITUTE(H54,"@",""))=1),"","Email: неверный формат"))</f>
        <v>Email: неверный формат</v>
      </c>
      <c r="P54" s="24" t="str">
        <f aca="false">IF(TRIM(I54)="","Телефон не указан",IF(AND(LEN(SUBSTITUTE(SUBSTITUTE(SUBSTITUTE(SUBSTITUTE(SUBSTITUTE(I54," ",""),"-",""),"(",""),")",""),"+",""))=11,OR(LEFT(SUBSTITUTE(SUBSTITUTE(SUBSTITUTE(SUBSTITUTE(SUBSTITUTE(I54," ",""),"-",""),"(",""),")",""),"+",""),1)="7",LEFT(SUBSTITUTE(SUBSTITUTE(SUBSTITUTE(SUBSTITUTE(SUBSTITUTE(I54," ",""),"-",""),"(",""),")",""),"+",""),1)="8"),ISNUMBER(IFERROR(VALUE(SUBSTITUTE(SUBSTITUTE(SUBSTITUTE(SUBSTITUTE(SUBSTITUTE(I54," ",""),"-",""),"(",""),")",""),"+","")),"x"))),"","Телефон: неверный формат"))</f>
        <v/>
      </c>
      <c r="Q54" s="24" t="str">
        <f aca="false">TRIM(IF(TRIM(B54)="","Нет наименования. ","")&amp;IF(TRIM(F54)="","Нет адреса. ","")&amp;IF(TRIM(G54)="","Нет контактного лица.",""))</f>
        <v/>
      </c>
      <c r="R54" s="21" t="n">
        <f aca="false">SUMPRODUCT(--(LEN(K54:Q54)&gt;0))</f>
        <v>1</v>
      </c>
      <c r="S54" s="24" t="str">
        <f aca="false">IF(R54=0,"Готово к передаче","Требует исправления")</f>
        <v>Требует исправления</v>
      </c>
      <c r="T54" s="24" t="str">
        <f aca="false">IF(R54=0,"",_xlfn.TEXTJOIN("; ",TRUE(),K54:Q54))</f>
        <v>Email: неверный формат</v>
      </c>
      <c r="U54" s="24" t="str">
        <f aca="false">IF(R54=0,"","Здравствуйте! В данных организации «"&amp;B54&amp;"» обнаружены ошибки: "&amp;T54&amp;". Просим проверить и прислать исправленную информацию.")</f>
        <v>Здравствуйте! В данных организации «АО «Гранит Строй»» обнаружены ошибки: Email: неверный формат. Просим проверить и прислать исправленную информацию.</v>
      </c>
      <c r="V54" s="21" t="n">
        <f aca="false">IF(R54&gt;0,COUNTIF($R$2:R54,"&gt;0"),"")</f>
        <v>21</v>
      </c>
      <c r="W54" s="21" t="str">
        <f aca="false">IF(R54=0,COUNTIF($R$2:R54,0),"")</f>
        <v/>
      </c>
    </row>
    <row r="55" customFormat="false" ht="15" hidden="false" customHeight="false" outlineLevel="0" collapsed="false">
      <c r="A55" s="21" t="n">
        <v>54</v>
      </c>
      <c r="B55" s="22" t="s">
        <v>505</v>
      </c>
      <c r="C55" s="23" t="s">
        <v>506</v>
      </c>
      <c r="D55" s="23" t="s">
        <v>507</v>
      </c>
      <c r="E55" s="23" t="s">
        <v>508</v>
      </c>
      <c r="F55" s="22" t="s">
        <v>509</v>
      </c>
      <c r="G55" s="22" t="s">
        <v>510</v>
      </c>
      <c r="H55" s="22" t="s">
        <v>511</v>
      </c>
      <c r="I55" s="23" t="s">
        <v>512</v>
      </c>
      <c r="J55" s="24" t="str">
        <f aca="false">IFERROR(VLOOKUP(VALUE(LEFT(C55,2)),Справочники!$A$2:$B$16,2,FALSE()),"не определён")</f>
        <v>г. Санкт-Петербург</v>
      </c>
      <c r="K55" s="24" t="str">
        <f aca="false">IF(TRIM(C55)="","ИНН не указан",IF(LEN(C55)&lt;&gt;10,"ИНН: должно быть 10 цифр",IF(NOT(ISNUMBER(IFERROR(VALUE(C55),"x"))),"ИНН: есть нецифровые символы",IF(MOD(MOD(SUMPRODUCT(--MID(C55,{1,2,3,4,5,6,7,8,9},1),{2,4,10,3,5,9,4,6,8}),11),10)=VALUE(RIGHT(C55,1)),"","ИНН: неверная контрольная цифра"))))</f>
        <v/>
      </c>
      <c r="L55" s="24" t="str">
        <f aca="false">IF(TRIM(D55)="","ОГРН не указан",IF(LEN(D55)&lt;&gt;13,"ОГРН: должно быть 13 цифр",IF(NOT(ISNUMBER(IFERROR(VALUE(D55),"x"))),"ОГРН: есть нецифровые символы",IF(MOD(VALUE(LEFT(D55,12))-11*INT(VALUE(LEFT(D55,12))/11),10)=VALUE(RIGHT(D55,1)),"","ОГРН: неверная контрольная цифра"))))</f>
        <v/>
      </c>
      <c r="M55" s="24" t="str">
        <f aca="false">IF(TRIM(E55)="","КПП не указан",IF(LEN(E55)&lt;&gt;9,"КПП: должно быть 9 знаков",IF(NOT(AND(ISNUMBER(IFERROR(VALUE(LEFT(E55,4)),"x")),ISNUMBER(IFERROR(VALUE(RIGHT(E55,3)),"x")))),"КПП: неверный формат",IF(LEFT(E55,2)&lt;&gt;LEFT(C55,2),"КПП: код региона не совпадает с ИНН",""))))</f>
        <v/>
      </c>
      <c r="N55" s="24" t="str">
        <f aca="false">IF(TRIM(C55)="","",IF(COUNTIF($C$2:$C$401,C55)&gt;1,"Дубликат ИНН в реестре",""))</f>
        <v/>
      </c>
      <c r="O55" s="24" t="str">
        <f aca="false">IF(TRIM(H55)="","Email не указан",IF(AND(ISNUMBER(FIND("@",H55)),ISNUMBER(FIND(".",H55,IFERROR(FIND("@",H55),1))),ISERROR(FIND(" ",H55)),LEFT(H55,1)&lt;&gt;"@",RIGHT(H55,1)&lt;&gt;".",LEN(H55)-LEN(SUBSTITUTE(H55,"@",""))=1),"","Email: неверный формат"))</f>
        <v/>
      </c>
      <c r="P55" s="24" t="str">
        <f aca="false">IF(TRIM(I55)="","Телефон не указан",IF(AND(LEN(SUBSTITUTE(SUBSTITUTE(SUBSTITUTE(SUBSTITUTE(SUBSTITUTE(I55," ",""),"-",""),"(",""),")",""),"+",""))=11,OR(LEFT(SUBSTITUTE(SUBSTITUTE(SUBSTITUTE(SUBSTITUTE(SUBSTITUTE(I55," ",""),"-",""),"(",""),")",""),"+",""),1)="7",LEFT(SUBSTITUTE(SUBSTITUTE(SUBSTITUTE(SUBSTITUTE(SUBSTITUTE(I55," ",""),"-",""),"(",""),")",""),"+",""),1)="8"),ISNUMBER(IFERROR(VALUE(SUBSTITUTE(SUBSTITUTE(SUBSTITUTE(SUBSTITUTE(SUBSTITUTE(I55," ",""),"-",""),"(",""),")",""),"+","")),"x"))),"","Телефон: неверный формат"))</f>
        <v/>
      </c>
      <c r="Q55" s="24" t="str">
        <f aca="false">TRIM(IF(TRIM(B55)="","Нет наименования. ","")&amp;IF(TRIM(F55)="","Нет адреса. ","")&amp;IF(TRIM(G55)="","Нет контактного лица.",""))</f>
        <v/>
      </c>
      <c r="R55" s="21" t="n">
        <f aca="false">SUMPRODUCT(--(LEN(K55:Q55)&gt;0))</f>
        <v>0</v>
      </c>
      <c r="S55" s="24" t="str">
        <f aca="false">IF(R55=0,"Готово к передаче","Требует исправления")</f>
        <v>Готово к передаче</v>
      </c>
      <c r="T55" s="24" t="str">
        <f aca="false">IF(R55=0,"",_xlfn.TEXTJOIN("; ",TRUE(),K55:Q55))</f>
        <v/>
      </c>
      <c r="U55" s="24" t="str">
        <f aca="false">IF(R55=0,"","Здравствуйте! В данных организации «"&amp;B55&amp;"» обнаружены ошибки: "&amp;T55&amp;". Просим проверить и прислать исправленную информацию.")</f>
        <v/>
      </c>
      <c r="V55" s="21" t="str">
        <f aca="false">IF(R55&gt;0,COUNTIF($R$2:R55,"&gt;0"),"")</f>
        <v/>
      </c>
      <c r="W55" s="21" t="n">
        <f aca="false">IF(R55=0,COUNTIF($R$2:R55,0),"")</f>
        <v>33</v>
      </c>
    </row>
    <row r="56" customFormat="false" ht="15" hidden="false" customHeight="false" outlineLevel="0" collapsed="false">
      <c r="A56" s="21" t="n">
        <v>55</v>
      </c>
      <c r="B56" s="22" t="s">
        <v>513</v>
      </c>
      <c r="C56" s="23" t="s">
        <v>514</v>
      </c>
      <c r="D56" s="23" t="s">
        <v>515</v>
      </c>
      <c r="E56" s="23" t="s">
        <v>516</v>
      </c>
      <c r="F56" s="22" t="s">
        <v>517</v>
      </c>
      <c r="G56" s="22" t="s">
        <v>518</v>
      </c>
      <c r="H56" s="22" t="s">
        <v>519</v>
      </c>
      <c r="I56" s="23" t="s">
        <v>520</v>
      </c>
      <c r="J56" s="24" t="str">
        <f aca="false">IFERROR(VLOOKUP(VALUE(LEFT(C56,2)),Справочники!$A$2:$B$16,2,FALSE()),"не определён")</f>
        <v>г. Севастополь</v>
      </c>
      <c r="K56" s="24" t="str">
        <f aca="false">IF(TRIM(C56)="","ИНН не указан",IF(LEN(C56)&lt;&gt;10,"ИНН: должно быть 10 цифр",IF(NOT(ISNUMBER(IFERROR(VALUE(C56),"x"))),"ИНН: есть нецифровые символы",IF(MOD(MOD(SUMPRODUCT(--MID(C56,{1,2,3,4,5,6,7,8,9},1),{2,4,10,3,5,9,4,6,8}),11),10)=VALUE(RIGHT(C56,1)),"","ИНН: неверная контрольная цифра"))))</f>
        <v/>
      </c>
      <c r="L56" s="24" t="str">
        <f aca="false">IF(TRIM(D56)="","ОГРН не указан",IF(LEN(D56)&lt;&gt;13,"ОГРН: должно быть 13 цифр",IF(NOT(ISNUMBER(IFERROR(VALUE(D56),"x"))),"ОГРН: есть нецифровые символы",IF(MOD(VALUE(LEFT(D56,12))-11*INT(VALUE(LEFT(D56,12))/11),10)=VALUE(RIGHT(D56,1)),"","ОГРН: неверная контрольная цифра"))))</f>
        <v/>
      </c>
      <c r="M56" s="24" t="str">
        <f aca="false">IF(TRIM(E56)="","КПП не указан",IF(LEN(E56)&lt;&gt;9,"КПП: должно быть 9 знаков",IF(NOT(AND(ISNUMBER(IFERROR(VALUE(LEFT(E56,4)),"x")),ISNUMBER(IFERROR(VALUE(RIGHT(E56,3)),"x")))),"КПП: неверный формат",IF(LEFT(E56,2)&lt;&gt;LEFT(C56,2),"КПП: код региона не совпадает с ИНН",""))))</f>
        <v/>
      </c>
      <c r="N56" s="24" t="str">
        <f aca="false">IF(TRIM(C56)="","",IF(COUNTIF($C$2:$C$401,C56)&gt;1,"Дубликат ИНН в реестре",""))</f>
        <v/>
      </c>
      <c r="O56" s="24" t="str">
        <f aca="false">IF(TRIM(H56)="","Email не указан",IF(AND(ISNUMBER(FIND("@",H56)),ISNUMBER(FIND(".",H56,IFERROR(FIND("@",H56),1))),ISERROR(FIND(" ",H56)),LEFT(H56,1)&lt;&gt;"@",RIGHT(H56,1)&lt;&gt;".",LEN(H56)-LEN(SUBSTITUTE(H56,"@",""))=1),"","Email: неверный формат"))</f>
        <v/>
      </c>
      <c r="P56" s="24" t="str">
        <f aca="false">IF(TRIM(I56)="","Телефон не указан",IF(AND(LEN(SUBSTITUTE(SUBSTITUTE(SUBSTITUTE(SUBSTITUTE(SUBSTITUTE(I56," ",""),"-",""),"(",""),")",""),"+",""))=11,OR(LEFT(SUBSTITUTE(SUBSTITUTE(SUBSTITUTE(SUBSTITUTE(SUBSTITUTE(I56," ",""),"-",""),"(",""),")",""),"+",""),1)="7",LEFT(SUBSTITUTE(SUBSTITUTE(SUBSTITUTE(SUBSTITUTE(SUBSTITUTE(I56," ",""),"-",""),"(",""),")",""),"+",""),1)="8"),ISNUMBER(IFERROR(VALUE(SUBSTITUTE(SUBSTITUTE(SUBSTITUTE(SUBSTITUTE(SUBSTITUTE(I56," ",""),"-",""),"(",""),")",""),"+","")),"x"))),"","Телефон: неверный формат"))</f>
        <v>Телефон: неверный формат</v>
      </c>
      <c r="Q56" s="24" t="str">
        <f aca="false">TRIM(IF(TRIM(B56)="","Нет наименования. ","")&amp;IF(TRIM(F56)="","Нет адреса. ","")&amp;IF(TRIM(G56)="","Нет контактного лица.",""))</f>
        <v/>
      </c>
      <c r="R56" s="21" t="n">
        <f aca="false">SUMPRODUCT(--(LEN(K56:Q56)&gt;0))</f>
        <v>1</v>
      </c>
      <c r="S56" s="24" t="str">
        <f aca="false">IF(R56=0,"Готово к передаче","Требует исправления")</f>
        <v>Требует исправления</v>
      </c>
      <c r="T56" s="24" t="str">
        <f aca="false">IF(R56=0,"",_xlfn.TEXTJOIN("; ",TRUE(),K56:Q56))</f>
        <v>Телефон: неверный формат</v>
      </c>
      <c r="U56" s="24" t="str">
        <f aca="false">IF(R56=0,"","Здравствуйте! В данных организации «"&amp;B56&amp;"» обнаружены ошибки: "&amp;T56&amp;". Просим проверить и прислать исправленную информацию.")</f>
        <v>Здравствуйте! В данных организации «АО «Навигатор Софт»» обнаружены ошибки: Телефон: неверный формат. Просим проверить и прислать исправленную информацию.</v>
      </c>
      <c r="V56" s="21" t="n">
        <f aca="false">IF(R56&gt;0,COUNTIF($R$2:R56,"&gt;0"),"")</f>
        <v>22</v>
      </c>
      <c r="W56" s="21" t="str">
        <f aca="false">IF(R56=0,COUNTIF($R$2:R56,0),"")</f>
        <v/>
      </c>
    </row>
    <row r="57" customFormat="false" ht="15" hidden="false" customHeight="false" outlineLevel="0" collapsed="false">
      <c r="A57" s="21" t="n">
        <v>56</v>
      </c>
      <c r="B57" s="22" t="s">
        <v>521</v>
      </c>
      <c r="C57" s="23" t="s">
        <v>522</v>
      </c>
      <c r="D57" s="23" t="s">
        <v>523</v>
      </c>
      <c r="E57" s="23" t="s">
        <v>524</v>
      </c>
      <c r="F57" s="22" t="s">
        <v>525</v>
      </c>
      <c r="G57" s="22" t="s">
        <v>526</v>
      </c>
      <c r="H57" s="22" t="s">
        <v>527</v>
      </c>
      <c r="I57" s="23" t="s">
        <v>528</v>
      </c>
      <c r="J57" s="24" t="str">
        <f aca="false">IFERROR(VLOOKUP(VALUE(LEFT(C57,2)),Справочники!$A$2:$B$16,2,FALSE()),"не определён")</f>
        <v>Новосибирская область</v>
      </c>
      <c r="K57" s="24" t="str">
        <f aca="false">IF(TRIM(C57)="","ИНН не указан",IF(LEN(C57)&lt;&gt;10,"ИНН: должно быть 10 цифр",IF(NOT(ISNUMBER(IFERROR(VALUE(C57),"x"))),"ИНН: есть нецифровые символы",IF(MOD(MOD(SUMPRODUCT(--MID(C57,{1,2,3,4,5,6,7,8,9},1),{2,4,10,3,5,9,4,6,8}),11),10)=VALUE(RIGHT(C57,1)),"","ИНН: неверная контрольная цифра"))))</f>
        <v/>
      </c>
      <c r="L57" s="24" t="str">
        <f aca="false">IF(TRIM(D57)="","ОГРН не указан",IF(LEN(D57)&lt;&gt;13,"ОГРН: должно быть 13 цифр",IF(NOT(ISNUMBER(IFERROR(VALUE(D57),"x"))),"ОГРН: есть нецифровые символы",IF(MOD(VALUE(LEFT(D57,12))-11*INT(VALUE(LEFT(D57,12))/11),10)=VALUE(RIGHT(D57,1)),"","ОГРН: неверная контрольная цифра"))))</f>
        <v/>
      </c>
      <c r="M57" s="24" t="str">
        <f aca="false">IF(TRIM(E57)="","КПП не указан",IF(LEN(E57)&lt;&gt;9,"КПП: должно быть 9 знаков",IF(NOT(AND(ISNUMBER(IFERROR(VALUE(LEFT(E57,4)),"x")),ISNUMBER(IFERROR(VALUE(RIGHT(E57,3)),"x")))),"КПП: неверный формат",IF(LEFT(E57,2)&lt;&gt;LEFT(C57,2),"КПП: код региона не совпадает с ИНН",""))))</f>
        <v/>
      </c>
      <c r="N57" s="24" t="str">
        <f aca="false">IF(TRIM(C57)="","",IF(COUNTIF($C$2:$C$401,C57)&gt;1,"Дубликат ИНН в реестре",""))</f>
        <v>Дубликат ИНН в реестре</v>
      </c>
      <c r="O57" s="24" t="str">
        <f aca="false">IF(TRIM(H57)="","Email не указан",IF(AND(ISNUMBER(FIND("@",H57)),ISNUMBER(FIND(".",H57,IFERROR(FIND("@",H57),1))),ISERROR(FIND(" ",H57)),LEFT(H57,1)&lt;&gt;"@",RIGHT(H57,1)&lt;&gt;".",LEN(H57)-LEN(SUBSTITUTE(H57,"@",""))=1),"","Email: неверный формат"))</f>
        <v/>
      </c>
      <c r="P57" s="24" t="str">
        <f aca="false">IF(TRIM(I57)="","Телефон не указан",IF(AND(LEN(SUBSTITUTE(SUBSTITUTE(SUBSTITUTE(SUBSTITUTE(SUBSTITUTE(I57," ",""),"-",""),"(",""),")",""),"+",""))=11,OR(LEFT(SUBSTITUTE(SUBSTITUTE(SUBSTITUTE(SUBSTITUTE(SUBSTITUTE(I57," ",""),"-",""),"(",""),")",""),"+",""),1)="7",LEFT(SUBSTITUTE(SUBSTITUTE(SUBSTITUTE(SUBSTITUTE(SUBSTITUTE(I57," ",""),"-",""),"(",""),")",""),"+",""),1)="8"),ISNUMBER(IFERROR(VALUE(SUBSTITUTE(SUBSTITUTE(SUBSTITUTE(SUBSTITUTE(SUBSTITUTE(I57," ",""),"-",""),"(",""),")",""),"+","")),"x"))),"","Телефон: неверный формат"))</f>
        <v/>
      </c>
      <c r="Q57" s="24" t="str">
        <f aca="false">TRIM(IF(TRIM(B57)="","Нет наименования. ","")&amp;IF(TRIM(F57)="","Нет адреса. ","")&amp;IF(TRIM(G57)="","Нет контактного лица.",""))</f>
        <v/>
      </c>
      <c r="R57" s="21" t="n">
        <f aca="false">SUMPRODUCT(--(LEN(K57:Q57)&gt;0))</f>
        <v>1</v>
      </c>
      <c r="S57" s="24" t="str">
        <f aca="false">IF(R57=0,"Готово к передаче","Требует исправления")</f>
        <v>Требует исправления</v>
      </c>
      <c r="T57" s="24" t="str">
        <f aca="false">IF(R57=0,"",_xlfn.TEXTJOIN("; ",TRUE(),K57:Q57))</f>
        <v>Дубликат ИНН в реестре</v>
      </c>
      <c r="U57" s="24" t="str">
        <f aca="false">IF(R57=0,"","Здравствуйте! В данных организации «"&amp;B57&amp;"» обнаружены ошибки: "&amp;T57&amp;". Просим проверить и прислать исправленную информацию.")</f>
        <v>Здравствуйте! В данных организации «ООО «Берег Проект»» обнаружены ошибки: Дубликат ИНН в реестре. Просим проверить и прислать исправленную информацию.</v>
      </c>
      <c r="V57" s="21" t="n">
        <f aca="false">IF(R57&gt;0,COUNTIF($R$2:R57,"&gt;0"),"")</f>
        <v>23</v>
      </c>
      <c r="W57" s="21" t="str">
        <f aca="false">IF(R57=0,COUNTIF($R$2:R57,0),"")</f>
        <v/>
      </c>
    </row>
    <row r="58" customFormat="false" ht="15" hidden="false" customHeight="false" outlineLevel="0" collapsed="false">
      <c r="A58" s="21" t="n">
        <v>57</v>
      </c>
      <c r="B58" s="22" t="s">
        <v>529</v>
      </c>
      <c r="C58" s="23" t="s">
        <v>530</v>
      </c>
      <c r="D58" s="23" t="s">
        <v>531</v>
      </c>
      <c r="E58" s="23" t="s">
        <v>532</v>
      </c>
      <c r="F58" s="22" t="s">
        <v>533</v>
      </c>
      <c r="G58" s="22" t="s">
        <v>534</v>
      </c>
      <c r="H58" s="22" t="s">
        <v>535</v>
      </c>
      <c r="I58" s="23" t="s">
        <v>536</v>
      </c>
      <c r="J58" s="24" t="str">
        <f aca="false">IFERROR(VLOOKUP(VALUE(LEFT(C58,2)),Справочники!$A$2:$B$16,2,FALSE()),"не определён")</f>
        <v>Нижегородская область</v>
      </c>
      <c r="K58" s="24" t="str">
        <f aca="false">IF(TRIM(C58)="","ИНН не указан",IF(LEN(C58)&lt;&gt;10,"ИНН: должно быть 10 цифр",IF(NOT(ISNUMBER(IFERROR(VALUE(C58),"x"))),"ИНН: есть нецифровые символы",IF(MOD(MOD(SUMPRODUCT(--MID(C58,{1,2,3,4,5,6,7,8,9},1),{2,4,10,3,5,9,4,6,8}),11),10)=VALUE(RIGHT(C58,1)),"","ИНН: неверная контрольная цифра"))))</f>
        <v/>
      </c>
      <c r="L58" s="24" t="str">
        <f aca="false">IF(TRIM(D58)="","ОГРН не указан",IF(LEN(D58)&lt;&gt;13,"ОГРН: должно быть 13 цифр",IF(NOT(ISNUMBER(IFERROR(VALUE(D58),"x"))),"ОГРН: есть нецифровые символы",IF(MOD(VALUE(LEFT(D58,12))-11*INT(VALUE(LEFT(D58,12))/11),10)=VALUE(RIGHT(D58,1)),"","ОГРН: неверная контрольная цифра"))))</f>
        <v/>
      </c>
      <c r="M58" s="24" t="str">
        <f aca="false">IF(TRIM(E58)="","КПП не указан",IF(LEN(E58)&lt;&gt;9,"КПП: должно быть 9 знаков",IF(NOT(AND(ISNUMBER(IFERROR(VALUE(LEFT(E58,4)),"x")),ISNUMBER(IFERROR(VALUE(RIGHT(E58,3)),"x")))),"КПП: неверный формат",IF(LEFT(E58,2)&lt;&gt;LEFT(C58,2),"КПП: код региона не совпадает с ИНН",""))))</f>
        <v/>
      </c>
      <c r="N58" s="24" t="str">
        <f aca="false">IF(TRIM(C58)="","",IF(COUNTIF($C$2:$C$401,C58)&gt;1,"Дубликат ИНН в реестре",""))</f>
        <v/>
      </c>
      <c r="O58" s="24" t="str">
        <f aca="false">IF(TRIM(H58)="","Email не указан",IF(AND(ISNUMBER(FIND("@",H58)),ISNUMBER(FIND(".",H58,IFERROR(FIND("@",H58),1))),ISERROR(FIND(" ",H58)),LEFT(H58,1)&lt;&gt;"@",RIGHT(H58,1)&lt;&gt;".",LEN(H58)-LEN(SUBSTITUTE(H58,"@",""))=1),"","Email: неверный формат"))</f>
        <v/>
      </c>
      <c r="P58" s="24" t="str">
        <f aca="false">IF(TRIM(I58)="","Телефон не указан",IF(AND(LEN(SUBSTITUTE(SUBSTITUTE(SUBSTITUTE(SUBSTITUTE(SUBSTITUTE(I58," ",""),"-",""),"(",""),")",""),"+",""))=11,OR(LEFT(SUBSTITUTE(SUBSTITUTE(SUBSTITUTE(SUBSTITUTE(SUBSTITUTE(I58," ",""),"-",""),"(",""),")",""),"+",""),1)="7",LEFT(SUBSTITUTE(SUBSTITUTE(SUBSTITUTE(SUBSTITUTE(SUBSTITUTE(I58," ",""),"-",""),"(",""),")",""),"+",""),1)="8"),ISNUMBER(IFERROR(VALUE(SUBSTITUTE(SUBSTITUTE(SUBSTITUTE(SUBSTITUTE(SUBSTITUTE(I58," ",""),"-",""),"(",""),")",""),"+","")),"x"))),"","Телефон: неверный формат"))</f>
        <v/>
      </c>
      <c r="Q58" s="24" t="str">
        <f aca="false">TRIM(IF(TRIM(B58)="","Нет наименования. ","")&amp;IF(TRIM(F58)="","Нет адреса. ","")&amp;IF(TRIM(G58)="","Нет контактного лица.",""))</f>
        <v/>
      </c>
      <c r="R58" s="21" t="n">
        <f aca="false">SUMPRODUCT(--(LEN(K58:Q58)&gt;0))</f>
        <v>0</v>
      </c>
      <c r="S58" s="24" t="str">
        <f aca="false">IF(R58=0,"Готово к передаче","Требует исправления")</f>
        <v>Готово к передаче</v>
      </c>
      <c r="T58" s="24" t="str">
        <f aca="false">IF(R58=0,"",_xlfn.TEXTJOIN("; ",TRUE(),K58:Q58))</f>
        <v/>
      </c>
      <c r="U58" s="24" t="str">
        <f aca="false">IF(R58=0,"","Здравствуйте! В данных организации «"&amp;B58&amp;"» обнаружены ошибки: "&amp;T58&amp;". Просим проверить и прислать исправленную информацию.")</f>
        <v/>
      </c>
      <c r="V58" s="21" t="str">
        <f aca="false">IF(R58&gt;0,COUNTIF($R$2:R58,"&gt;0"),"")</f>
        <v/>
      </c>
      <c r="W58" s="21" t="n">
        <f aca="false">IF(R58=0,COUNTIF($R$2:R58,0),"")</f>
        <v>34</v>
      </c>
    </row>
    <row r="59" customFormat="false" ht="15" hidden="false" customHeight="false" outlineLevel="0" collapsed="false">
      <c r="A59" s="21" t="n">
        <v>58</v>
      </c>
      <c r="B59" s="22" t="s">
        <v>537</v>
      </c>
      <c r="C59" s="23" t="s">
        <v>538</v>
      </c>
      <c r="D59" s="23" t="s">
        <v>539</v>
      </c>
      <c r="E59" s="23" t="s">
        <v>540</v>
      </c>
      <c r="F59" s="22" t="s">
        <v>541</v>
      </c>
      <c r="G59" s="22" t="s">
        <v>542</v>
      </c>
      <c r="H59" s="22" t="s">
        <v>543</v>
      </c>
      <c r="I59" s="23" t="s">
        <v>544</v>
      </c>
      <c r="J59" s="24" t="str">
        <f aca="false">IFERROR(VLOOKUP(VALUE(LEFT(C59,2)),Справочники!$A$2:$B$16,2,FALSE()),"не определён")</f>
        <v>Нижегородская область</v>
      </c>
      <c r="K59" s="24" t="str">
        <f aca="false">IF(TRIM(C59)="","ИНН не указан",IF(LEN(C59)&lt;&gt;10,"ИНН: должно быть 10 цифр",IF(NOT(ISNUMBER(IFERROR(VALUE(C59),"x"))),"ИНН: есть нецифровые символы",IF(MOD(MOD(SUMPRODUCT(--MID(C59,{1,2,3,4,5,6,7,8,9},1),{2,4,10,3,5,9,4,6,8}),11),10)=VALUE(RIGHT(C59,1)),"","ИНН: неверная контрольная цифра"))))</f>
        <v/>
      </c>
      <c r="L59" s="24" t="str">
        <f aca="false">IF(TRIM(D59)="","ОГРН не указан",IF(LEN(D59)&lt;&gt;13,"ОГРН: должно быть 13 цифр",IF(NOT(ISNUMBER(IFERROR(VALUE(D59),"x"))),"ОГРН: есть нецифровые символы",IF(MOD(VALUE(LEFT(D59,12))-11*INT(VALUE(LEFT(D59,12))/11),10)=VALUE(RIGHT(D59,1)),"","ОГРН: неверная контрольная цифра"))))</f>
        <v/>
      </c>
      <c r="M59" s="24" t="str">
        <f aca="false">IF(TRIM(E59)="","КПП не указан",IF(LEN(E59)&lt;&gt;9,"КПП: должно быть 9 знаков",IF(NOT(AND(ISNUMBER(IFERROR(VALUE(LEFT(E59,4)),"x")),ISNUMBER(IFERROR(VALUE(RIGHT(E59,3)),"x")))),"КПП: неверный формат",IF(LEFT(E59,2)&lt;&gt;LEFT(C59,2),"КПП: код региона не совпадает с ИНН",""))))</f>
        <v/>
      </c>
      <c r="N59" s="24" t="str">
        <f aca="false">IF(TRIM(C59)="","",IF(COUNTIF($C$2:$C$401,C59)&gt;1,"Дубликат ИНН в реестре",""))</f>
        <v/>
      </c>
      <c r="O59" s="24" t="str">
        <f aca="false">IF(TRIM(H59)="","Email не указан",IF(AND(ISNUMBER(FIND("@",H59)),ISNUMBER(FIND(".",H59,IFERROR(FIND("@",H59),1))),ISERROR(FIND(" ",H59)),LEFT(H59,1)&lt;&gt;"@",RIGHT(H59,1)&lt;&gt;".",LEN(H59)-LEN(SUBSTITUTE(H59,"@",""))=1),"","Email: неверный формат"))</f>
        <v/>
      </c>
      <c r="P59" s="24" t="str">
        <f aca="false">IF(TRIM(I59)="","Телефон не указан",IF(AND(LEN(SUBSTITUTE(SUBSTITUTE(SUBSTITUTE(SUBSTITUTE(SUBSTITUTE(I59," ",""),"-",""),"(",""),")",""),"+",""))=11,OR(LEFT(SUBSTITUTE(SUBSTITUTE(SUBSTITUTE(SUBSTITUTE(SUBSTITUTE(I59," ",""),"-",""),"(",""),")",""),"+",""),1)="7",LEFT(SUBSTITUTE(SUBSTITUTE(SUBSTITUTE(SUBSTITUTE(SUBSTITUTE(I59," ",""),"-",""),"(",""),")",""),"+",""),1)="8"),ISNUMBER(IFERROR(VALUE(SUBSTITUTE(SUBSTITUTE(SUBSTITUTE(SUBSTITUTE(SUBSTITUTE(I59," ",""),"-",""),"(",""),")",""),"+","")),"x"))),"","Телефон: неверный формат"))</f>
        <v/>
      </c>
      <c r="Q59" s="24" t="str">
        <f aca="false">TRIM(IF(TRIM(B59)="","Нет наименования. ","")&amp;IF(TRIM(F59)="","Нет адреса. ","")&amp;IF(TRIM(G59)="","Нет контактного лица.",""))</f>
        <v/>
      </c>
      <c r="R59" s="21" t="n">
        <f aca="false">SUMPRODUCT(--(LEN(K59:Q59)&gt;0))</f>
        <v>0</v>
      </c>
      <c r="S59" s="24" t="str">
        <f aca="false">IF(R59=0,"Готово к передаче","Требует исправления")</f>
        <v>Готово к передаче</v>
      </c>
      <c r="T59" s="24" t="str">
        <f aca="false">IF(R59=0,"",_xlfn.TEXTJOIN("; ",TRUE(),K59:Q59))</f>
        <v/>
      </c>
      <c r="U59" s="24" t="str">
        <f aca="false">IF(R59=0,"","Здравствуйте! В данных организации «"&amp;B59&amp;"» обнаружены ошибки: "&amp;T59&amp;". Просим проверить и прислать исправленную информацию.")</f>
        <v/>
      </c>
      <c r="V59" s="21" t="str">
        <f aca="false">IF(R59&gt;0,COUNTIF($R$2:R59,"&gt;0"),"")</f>
        <v/>
      </c>
      <c r="W59" s="21" t="n">
        <f aca="false">IF(R59=0,COUNTIF($R$2:R59,0),"")</f>
        <v>35</v>
      </c>
    </row>
    <row r="60" customFormat="false" ht="15" hidden="false" customHeight="false" outlineLevel="0" collapsed="false">
      <c r="A60" s="21" t="n">
        <v>59</v>
      </c>
      <c r="B60" s="22" t="s">
        <v>545</v>
      </c>
      <c r="C60" s="23" t="s">
        <v>546</v>
      </c>
      <c r="D60" s="23" t="s">
        <v>547</v>
      </c>
      <c r="E60" s="23" t="s">
        <v>548</v>
      </c>
      <c r="F60" s="22" t="s">
        <v>549</v>
      </c>
      <c r="G60" s="22" t="s">
        <v>550</v>
      </c>
      <c r="H60" s="22" t="s">
        <v>551</v>
      </c>
      <c r="I60" s="23" t="s">
        <v>552</v>
      </c>
      <c r="J60" s="24" t="str">
        <f aca="false">IFERROR(VLOOKUP(VALUE(LEFT(C60,2)),Справочники!$A$2:$B$16,2,FALSE()),"не определён")</f>
        <v>Республика Башкортостан</v>
      </c>
      <c r="K60" s="24" t="str">
        <f aca="false">IF(TRIM(C60)="","ИНН не указан",IF(LEN(C60)&lt;&gt;10,"ИНН: должно быть 10 цифр",IF(NOT(ISNUMBER(IFERROR(VALUE(C60),"x"))),"ИНН: есть нецифровые символы",IF(MOD(MOD(SUMPRODUCT(--MID(C60,{1,2,3,4,5,6,7,8,9},1),{2,4,10,3,5,9,4,6,8}),11),10)=VALUE(RIGHT(C60,1)),"","ИНН: неверная контрольная цифра"))))</f>
        <v/>
      </c>
      <c r="L60" s="24" t="str">
        <f aca="false">IF(TRIM(D60)="","ОГРН не указан",IF(LEN(D60)&lt;&gt;13,"ОГРН: должно быть 13 цифр",IF(NOT(ISNUMBER(IFERROR(VALUE(D60),"x"))),"ОГРН: есть нецифровые символы",IF(MOD(VALUE(LEFT(D60,12))-11*INT(VALUE(LEFT(D60,12))/11),10)=VALUE(RIGHT(D60,1)),"","ОГРН: неверная контрольная цифра"))))</f>
        <v>ОГРН: неверная контрольная цифра</v>
      </c>
      <c r="M60" s="24" t="str">
        <f aca="false">IF(TRIM(E60)="","КПП не указан",IF(LEN(E60)&lt;&gt;9,"КПП: должно быть 9 знаков",IF(NOT(AND(ISNUMBER(IFERROR(VALUE(LEFT(E60,4)),"x")),ISNUMBER(IFERROR(VALUE(RIGHT(E60,3)),"x")))),"КПП: неверный формат",IF(LEFT(E60,2)&lt;&gt;LEFT(C60,2),"КПП: код региона не совпадает с ИНН",""))))</f>
        <v/>
      </c>
      <c r="N60" s="24" t="str">
        <f aca="false">IF(TRIM(C60)="","",IF(COUNTIF($C$2:$C$401,C60)&gt;1,"Дубликат ИНН в реестре",""))</f>
        <v/>
      </c>
      <c r="O60" s="24" t="str">
        <f aca="false">IF(TRIM(H60)="","Email не указан",IF(AND(ISNUMBER(FIND("@",H60)),ISNUMBER(FIND(".",H60,IFERROR(FIND("@",H60),1))),ISERROR(FIND(" ",H60)),LEFT(H60,1)&lt;&gt;"@",RIGHT(H60,1)&lt;&gt;".",LEN(H60)-LEN(SUBSTITUTE(H60,"@",""))=1),"","Email: неверный формат"))</f>
        <v/>
      </c>
      <c r="P60" s="24" t="str">
        <f aca="false">IF(TRIM(I60)="","Телефон не указан",IF(AND(LEN(SUBSTITUTE(SUBSTITUTE(SUBSTITUTE(SUBSTITUTE(SUBSTITUTE(I60," ",""),"-",""),"(",""),")",""),"+",""))=11,OR(LEFT(SUBSTITUTE(SUBSTITUTE(SUBSTITUTE(SUBSTITUTE(SUBSTITUTE(I60," ",""),"-",""),"(",""),")",""),"+",""),1)="7",LEFT(SUBSTITUTE(SUBSTITUTE(SUBSTITUTE(SUBSTITUTE(SUBSTITUTE(I60," ",""),"-",""),"(",""),")",""),"+",""),1)="8"),ISNUMBER(IFERROR(VALUE(SUBSTITUTE(SUBSTITUTE(SUBSTITUTE(SUBSTITUTE(SUBSTITUTE(I60," ",""),"-",""),"(",""),")",""),"+","")),"x"))),"","Телефон: неверный формат"))</f>
        <v/>
      </c>
      <c r="Q60" s="24" t="str">
        <f aca="false">TRIM(IF(TRIM(B60)="","Нет наименования. ","")&amp;IF(TRIM(F60)="","Нет адреса. ","")&amp;IF(TRIM(G60)="","Нет контактного лица.",""))</f>
        <v/>
      </c>
      <c r="R60" s="21" t="n">
        <f aca="false">SUMPRODUCT(--(LEN(K60:Q60)&gt;0))</f>
        <v>1</v>
      </c>
      <c r="S60" s="24" t="str">
        <f aca="false">IF(R60=0,"Готово к передаче","Требует исправления")</f>
        <v>Требует исправления</v>
      </c>
      <c r="T60" s="24" t="str">
        <f aca="false">IF(R60=0,"",_xlfn.TEXTJOIN("; ",TRUE(),K60:Q60))</f>
        <v>ОГРН: неверная контрольная цифра</v>
      </c>
      <c r="U60" s="24" t="str">
        <f aca="false">IF(R60=0,"","Здравствуйте! В данных организации «"&amp;B60&amp;"» обнаружены ошибки: "&amp;T60&amp;". Просим проверить и прислать исправленную информацию.")</f>
        <v>Здравствуйте! В данных организации «ООО «Меридиан Проект»» обнаружены ошибки: ОГРН: неверная контрольная цифра. Просим проверить и прислать исправленную информацию.</v>
      </c>
      <c r="V60" s="21" t="n">
        <f aca="false">IF(R60&gt;0,COUNTIF($R$2:R60,"&gt;0"),"")</f>
        <v>24</v>
      </c>
      <c r="W60" s="21" t="str">
        <f aca="false">IF(R60=0,COUNTIF($R$2:R60,0),"")</f>
        <v/>
      </c>
    </row>
    <row r="61" customFormat="false" ht="15" hidden="false" customHeight="false" outlineLevel="0" collapsed="false">
      <c r="A61" s="21" t="n">
        <v>60</v>
      </c>
      <c r="B61" s="22" t="s">
        <v>553</v>
      </c>
      <c r="C61" s="23" t="s">
        <v>554</v>
      </c>
      <c r="D61" s="23" t="s">
        <v>555</v>
      </c>
      <c r="E61" s="23" t="s">
        <v>556</v>
      </c>
      <c r="F61" s="22" t="s">
        <v>557</v>
      </c>
      <c r="G61" s="22" t="s">
        <v>558</v>
      </c>
      <c r="H61" s="22" t="s">
        <v>559</v>
      </c>
      <c r="I61" s="23" t="s">
        <v>560</v>
      </c>
      <c r="J61" s="24" t="str">
        <f aca="false">IFERROR(VLOOKUP(VALUE(LEFT(C61,2)),Справочники!$A$2:$B$16,2,FALSE()),"не определён")</f>
        <v>г. Москва</v>
      </c>
      <c r="K61" s="24" t="str">
        <f aca="false">IF(TRIM(C61)="","ИНН не указан",IF(LEN(C61)&lt;&gt;10,"ИНН: должно быть 10 цифр",IF(NOT(ISNUMBER(IFERROR(VALUE(C61),"x"))),"ИНН: есть нецифровые символы",IF(MOD(MOD(SUMPRODUCT(--MID(C61,{1,2,3,4,5,6,7,8,9},1),{2,4,10,3,5,9,4,6,8}),11),10)=VALUE(RIGHT(C61,1)),"","ИНН: неверная контрольная цифра"))))</f>
        <v/>
      </c>
      <c r="L61" s="24" t="str">
        <f aca="false">IF(TRIM(D61)="","ОГРН не указан",IF(LEN(D61)&lt;&gt;13,"ОГРН: должно быть 13 цифр",IF(NOT(ISNUMBER(IFERROR(VALUE(D61),"x"))),"ОГРН: есть нецифровые символы",IF(MOD(VALUE(LEFT(D61,12))-11*INT(VALUE(LEFT(D61,12))/11),10)=VALUE(RIGHT(D61,1)),"","ОГРН: неверная контрольная цифра"))))</f>
        <v/>
      </c>
      <c r="M61" s="24" t="str">
        <f aca="false">IF(TRIM(E61)="","КПП не указан",IF(LEN(E61)&lt;&gt;9,"КПП: должно быть 9 знаков",IF(NOT(AND(ISNUMBER(IFERROR(VALUE(LEFT(E61,4)),"x")),ISNUMBER(IFERROR(VALUE(RIGHT(E61,3)),"x")))),"КПП: неверный формат",IF(LEFT(E61,2)&lt;&gt;LEFT(C61,2),"КПП: код региона не совпадает с ИНН",""))))</f>
        <v/>
      </c>
      <c r="N61" s="24" t="str">
        <f aca="false">IF(TRIM(C61)="","",IF(COUNTIF($C$2:$C$401,C61)&gt;1,"Дубликат ИНН в реестре",""))</f>
        <v/>
      </c>
      <c r="O61" s="24" t="str">
        <f aca="false">IF(TRIM(H61)="","Email не указан",IF(AND(ISNUMBER(FIND("@",H61)),ISNUMBER(FIND(".",H61,IFERROR(FIND("@",H61),1))),ISERROR(FIND(" ",H61)),LEFT(H61,1)&lt;&gt;"@",RIGHT(H61,1)&lt;&gt;".",LEN(H61)-LEN(SUBSTITUTE(H61,"@",""))=1),"","Email: неверный формат"))</f>
        <v/>
      </c>
      <c r="P61" s="24" t="str">
        <f aca="false">IF(TRIM(I61)="","Телефон не указан",IF(AND(LEN(SUBSTITUTE(SUBSTITUTE(SUBSTITUTE(SUBSTITUTE(SUBSTITUTE(I61," ",""),"-",""),"(",""),")",""),"+",""))=11,OR(LEFT(SUBSTITUTE(SUBSTITUTE(SUBSTITUTE(SUBSTITUTE(SUBSTITUTE(I61," ",""),"-",""),"(",""),")",""),"+",""),1)="7",LEFT(SUBSTITUTE(SUBSTITUTE(SUBSTITUTE(SUBSTITUTE(SUBSTITUTE(I61," ",""),"-",""),"(",""),")",""),"+",""),1)="8"),ISNUMBER(IFERROR(VALUE(SUBSTITUTE(SUBSTITUTE(SUBSTITUTE(SUBSTITUTE(SUBSTITUTE(I61," ",""),"-",""),"(",""),")",""),"+","")),"x"))),"","Телефон: неверный формат"))</f>
        <v/>
      </c>
      <c r="Q61" s="24" t="str">
        <f aca="false">TRIM(IF(TRIM(B61)="","Нет наименования. ","")&amp;IF(TRIM(F61)="","Нет адреса. ","")&amp;IF(TRIM(G61)="","Нет контактного лица.",""))</f>
        <v/>
      </c>
      <c r="R61" s="21" t="n">
        <f aca="false">SUMPRODUCT(--(LEN(K61:Q61)&gt;0))</f>
        <v>0</v>
      </c>
      <c r="S61" s="24" t="str">
        <f aca="false">IF(R61=0,"Готово к передаче","Требует исправления")</f>
        <v>Готово к передаче</v>
      </c>
      <c r="T61" s="24" t="str">
        <f aca="false">IF(R61=0,"",_xlfn.TEXTJOIN("; ",TRUE(),K61:Q61))</f>
        <v/>
      </c>
      <c r="U61" s="24" t="str">
        <f aca="false">IF(R61=0,"","Здравствуйте! В данных организации «"&amp;B61&amp;"» обнаружены ошибки: "&amp;T61&amp;". Просим проверить и прислать исправленную информацию.")</f>
        <v/>
      </c>
      <c r="V61" s="21" t="str">
        <f aca="false">IF(R61&gt;0,COUNTIF($R$2:R61,"&gt;0"),"")</f>
        <v/>
      </c>
      <c r="W61" s="21" t="n">
        <f aca="false">IF(R61=0,COUNTIF($R$2:R61,0),"")</f>
        <v>36</v>
      </c>
    </row>
    <row r="62" customFormat="false" ht="15" hidden="false" customHeight="false" outlineLevel="0" collapsed="false">
      <c r="A62" s="21" t="n">
        <v>61</v>
      </c>
      <c r="B62" s="22" t="s">
        <v>561</v>
      </c>
      <c r="C62" s="23" t="s">
        <v>562</v>
      </c>
      <c r="D62" s="23" t="s">
        <v>563</v>
      </c>
      <c r="E62" s="23" t="s">
        <v>564</v>
      </c>
      <c r="F62" s="22" t="s">
        <v>565</v>
      </c>
      <c r="G62" s="22" t="s">
        <v>566</v>
      </c>
      <c r="H62" s="22" t="s">
        <v>567</v>
      </c>
      <c r="I62" s="23" t="s">
        <v>568</v>
      </c>
      <c r="J62" s="24" t="str">
        <f aca="false">IFERROR(VLOOKUP(VALUE(LEFT(C62,2)),Справочники!$A$2:$B$16,2,FALSE()),"не определён")</f>
        <v>г. Москва</v>
      </c>
      <c r="K62" s="24" t="str">
        <f aca="false">IF(TRIM(C62)="","ИНН не указан",IF(LEN(C62)&lt;&gt;10,"ИНН: должно быть 10 цифр",IF(NOT(ISNUMBER(IFERROR(VALUE(C62),"x"))),"ИНН: есть нецифровые символы",IF(MOD(MOD(SUMPRODUCT(--MID(C62,{1,2,3,4,5,6,7,8,9},1),{2,4,10,3,5,9,4,6,8}),11),10)=VALUE(RIGHT(C62,1)),"","ИНН: неверная контрольная цифра"))))</f>
        <v/>
      </c>
      <c r="L62" s="24" t="str">
        <f aca="false">IF(TRIM(D62)="","ОГРН не указан",IF(LEN(D62)&lt;&gt;13,"ОГРН: должно быть 13 цифр",IF(NOT(ISNUMBER(IFERROR(VALUE(D62),"x"))),"ОГРН: есть нецифровые символы",IF(MOD(VALUE(LEFT(D62,12))-11*INT(VALUE(LEFT(D62,12))/11),10)=VALUE(RIGHT(D62,1)),"","ОГРН: неверная контрольная цифра"))))</f>
        <v/>
      </c>
      <c r="M62" s="24" t="str">
        <f aca="false">IF(TRIM(E62)="","КПП не указан",IF(LEN(E62)&lt;&gt;9,"КПП: должно быть 9 знаков",IF(NOT(AND(ISNUMBER(IFERROR(VALUE(LEFT(E62,4)),"x")),ISNUMBER(IFERROR(VALUE(RIGHT(E62,3)),"x")))),"КПП: неверный формат",IF(LEFT(E62,2)&lt;&gt;LEFT(C62,2),"КПП: код региона не совпадает с ИНН",""))))</f>
        <v/>
      </c>
      <c r="N62" s="24" t="str">
        <f aca="false">IF(TRIM(C62)="","",IF(COUNTIF($C$2:$C$401,C62)&gt;1,"Дубликат ИНН в реестре",""))</f>
        <v/>
      </c>
      <c r="O62" s="24" t="str">
        <f aca="false">IF(TRIM(H62)="","Email не указан",IF(AND(ISNUMBER(FIND("@",H62)),ISNUMBER(FIND(".",H62,IFERROR(FIND("@",H62),1))),ISERROR(FIND(" ",H62)),LEFT(H62,1)&lt;&gt;"@",RIGHT(H62,1)&lt;&gt;".",LEN(H62)-LEN(SUBSTITUTE(H62,"@",""))=1),"","Email: неверный формат"))</f>
        <v/>
      </c>
      <c r="P62" s="24" t="str">
        <f aca="false">IF(TRIM(I62)="","Телефон не указан",IF(AND(LEN(SUBSTITUTE(SUBSTITUTE(SUBSTITUTE(SUBSTITUTE(SUBSTITUTE(I62," ",""),"-",""),"(",""),")",""),"+",""))=11,OR(LEFT(SUBSTITUTE(SUBSTITUTE(SUBSTITUTE(SUBSTITUTE(SUBSTITUTE(I62," ",""),"-",""),"(",""),")",""),"+",""),1)="7",LEFT(SUBSTITUTE(SUBSTITUTE(SUBSTITUTE(SUBSTITUTE(SUBSTITUTE(I62," ",""),"-",""),"(",""),")",""),"+",""),1)="8"),ISNUMBER(IFERROR(VALUE(SUBSTITUTE(SUBSTITUTE(SUBSTITUTE(SUBSTITUTE(SUBSTITUTE(I62," ",""),"-",""),"(",""),")",""),"+","")),"x"))),"","Телефон: неверный формат"))</f>
        <v/>
      </c>
      <c r="Q62" s="24" t="str">
        <f aca="false">TRIM(IF(TRIM(B62)="","Нет наименования. ","")&amp;IF(TRIM(F62)="","Нет адреса. ","")&amp;IF(TRIM(G62)="","Нет контактного лица.",""))</f>
        <v/>
      </c>
      <c r="R62" s="21" t="n">
        <f aca="false">SUMPRODUCT(--(LEN(K62:Q62)&gt;0))</f>
        <v>0</v>
      </c>
      <c r="S62" s="24" t="str">
        <f aca="false">IF(R62=0,"Готово к передаче","Требует исправления")</f>
        <v>Готово к передаче</v>
      </c>
      <c r="T62" s="24" t="str">
        <f aca="false">IF(R62=0,"",_xlfn.TEXTJOIN("; ",TRUE(),K62:Q62))</f>
        <v/>
      </c>
      <c r="U62" s="24" t="str">
        <f aca="false">IF(R62=0,"","Здравствуйте! В данных организации «"&amp;B62&amp;"» обнаружены ошибки: "&amp;T62&amp;". Просим проверить и прислать исправленную информацию.")</f>
        <v/>
      </c>
      <c r="V62" s="21" t="str">
        <f aca="false">IF(R62&gt;0,COUNTIF($R$2:R62,"&gt;0"),"")</f>
        <v/>
      </c>
      <c r="W62" s="21" t="n">
        <f aca="false">IF(R62=0,COUNTIF($R$2:R62,0),"")</f>
        <v>37</v>
      </c>
    </row>
    <row r="63" customFormat="false" ht="15" hidden="false" customHeight="false" outlineLevel="0" collapsed="false">
      <c r="A63" s="21" t="n">
        <v>62</v>
      </c>
      <c r="B63" s="22" t="s">
        <v>569</v>
      </c>
      <c r="C63" s="23" t="s">
        <v>570</v>
      </c>
      <c r="D63" s="23" t="s">
        <v>571</v>
      </c>
      <c r="E63" s="23"/>
      <c r="F63" s="22" t="s">
        <v>572</v>
      </c>
      <c r="G63" s="22" t="s">
        <v>573</v>
      </c>
      <c r="H63" s="22" t="s">
        <v>574</v>
      </c>
      <c r="I63" s="23"/>
      <c r="J63" s="24" t="str">
        <f aca="false">IFERROR(VLOOKUP(VALUE(LEFT(C63,2)),Справочники!$A$2:$B$16,2,FALSE()),"не определён")</f>
        <v>Самарская область</v>
      </c>
      <c r="K63" s="24" t="str">
        <f aca="false">IF(TRIM(C63)="","ИНН не указан",IF(LEN(C63)&lt;&gt;10,"ИНН: должно быть 10 цифр",IF(NOT(ISNUMBER(IFERROR(VALUE(C63),"x"))),"ИНН: есть нецифровые символы",IF(MOD(MOD(SUMPRODUCT(--MID(C63,{1,2,3,4,5,6,7,8,9},1),{2,4,10,3,5,9,4,6,8}),11),10)=VALUE(RIGHT(C63,1)),"","ИНН: неверная контрольная цифра"))))</f>
        <v>ИНН: неверная контрольная цифра</v>
      </c>
      <c r="L63" s="24" t="str">
        <f aca="false">IF(TRIM(D63)="","ОГРН не указан",IF(LEN(D63)&lt;&gt;13,"ОГРН: должно быть 13 цифр",IF(NOT(ISNUMBER(IFERROR(VALUE(D63),"x"))),"ОГРН: есть нецифровые символы",IF(MOD(VALUE(LEFT(D63,12))-11*INT(VALUE(LEFT(D63,12))/11),10)=VALUE(RIGHT(D63,1)),"","ОГРН: неверная контрольная цифра"))))</f>
        <v/>
      </c>
      <c r="M63" s="24" t="str">
        <f aca="false">IF(TRIM(E63)="","КПП не указан",IF(LEN(E63)&lt;&gt;9,"КПП: должно быть 9 знаков",IF(NOT(AND(ISNUMBER(IFERROR(VALUE(LEFT(E63,4)),"x")),ISNUMBER(IFERROR(VALUE(RIGHT(E63,3)),"x")))),"КПП: неверный формат",IF(LEFT(E63,2)&lt;&gt;LEFT(C63,2),"КПП: код региона не совпадает с ИНН",""))))</f>
        <v>КПП не указан</v>
      </c>
      <c r="N63" s="24" t="str">
        <f aca="false">IF(TRIM(C63)="","",IF(COUNTIF($C$2:$C$401,C63)&gt;1,"Дубликат ИНН в реестре",""))</f>
        <v/>
      </c>
      <c r="O63" s="24" t="str">
        <f aca="false">IF(TRIM(H63)="","Email не указан",IF(AND(ISNUMBER(FIND("@",H63)),ISNUMBER(FIND(".",H63,IFERROR(FIND("@",H63),1))),ISERROR(FIND(" ",H63)),LEFT(H63,1)&lt;&gt;"@",RIGHT(H63,1)&lt;&gt;".",LEN(H63)-LEN(SUBSTITUTE(H63,"@",""))=1),"","Email: неверный формат"))</f>
        <v/>
      </c>
      <c r="P63" s="24" t="str">
        <f aca="false">IF(TRIM(I63)="","Телефон не указан",IF(AND(LEN(SUBSTITUTE(SUBSTITUTE(SUBSTITUTE(SUBSTITUTE(SUBSTITUTE(I63," ",""),"-",""),"(",""),")",""),"+",""))=11,OR(LEFT(SUBSTITUTE(SUBSTITUTE(SUBSTITUTE(SUBSTITUTE(SUBSTITUTE(I63," ",""),"-",""),"(",""),")",""),"+",""),1)="7",LEFT(SUBSTITUTE(SUBSTITUTE(SUBSTITUTE(SUBSTITUTE(SUBSTITUTE(I63," ",""),"-",""),"(",""),")",""),"+",""),1)="8"),ISNUMBER(IFERROR(VALUE(SUBSTITUTE(SUBSTITUTE(SUBSTITUTE(SUBSTITUTE(SUBSTITUTE(I63," ",""),"-",""),"(",""),")",""),"+","")),"x"))),"","Телефон: неверный формат"))</f>
        <v>Телефон не указан</v>
      </c>
      <c r="Q63" s="24" t="str">
        <f aca="false">TRIM(IF(TRIM(B63)="","Нет наименования. ","")&amp;IF(TRIM(F63)="","Нет адреса. ","")&amp;IF(TRIM(G63)="","Нет контактного лица.",""))</f>
        <v/>
      </c>
      <c r="R63" s="21" t="n">
        <f aca="false">SUMPRODUCT(--(LEN(K63:Q63)&gt;0))</f>
        <v>3</v>
      </c>
      <c r="S63" s="24" t="str">
        <f aca="false">IF(R63=0,"Готово к передаче","Требует исправления")</f>
        <v>Требует исправления</v>
      </c>
      <c r="T63" s="24" t="str">
        <f aca="false">IF(R63=0,"",_xlfn.TEXTJOIN("; ",TRUE(),K63:Q63))</f>
        <v>ИНН: неверная контрольная цифра; КПП не указан; Телефон не указан</v>
      </c>
      <c r="U63" s="24" t="str">
        <f aca="false">IF(R63=0,"","Здравствуйте! В данных организации «"&amp;B63&amp;"» обнаружены ошибки: "&amp;T63&amp;". Просим проверить и прислать исправленную информацию.")</f>
        <v>Здравствуйте! В данных организации «ООО «Юпитер Транс»» обнаружены ошибки: ИНН: неверная контрольная цифра; КПП не указан; Телефон не указан. Просим проверить и прислать исправленную информацию.</v>
      </c>
      <c r="V63" s="21" t="n">
        <f aca="false">IF(R63&gt;0,COUNTIF($R$2:R63,"&gt;0"),"")</f>
        <v>25</v>
      </c>
      <c r="W63" s="21" t="str">
        <f aca="false">IF(R63=0,COUNTIF($R$2:R63,0),"")</f>
        <v/>
      </c>
    </row>
    <row r="64" customFormat="false" ht="15" hidden="false" customHeight="false" outlineLevel="0" collapsed="false">
      <c r="A64" s="21" t="n">
        <v>63</v>
      </c>
      <c r="B64" s="22" t="s">
        <v>575</v>
      </c>
      <c r="C64" s="23" t="s">
        <v>576</v>
      </c>
      <c r="D64" s="23" t="s">
        <v>577</v>
      </c>
      <c r="E64" s="23" t="s">
        <v>578</v>
      </c>
      <c r="F64" s="22" t="s">
        <v>579</v>
      </c>
      <c r="G64" s="22" t="s">
        <v>580</v>
      </c>
      <c r="H64" s="22" t="s">
        <v>581</v>
      </c>
      <c r="I64" s="23" t="s">
        <v>582</v>
      </c>
      <c r="J64" s="24" t="str">
        <f aca="false">IFERROR(VLOOKUP(VALUE(LEFT(C64,2)),Справочники!$A$2:$B$16,2,FALSE()),"не определён")</f>
        <v>г. Санкт-Петербург</v>
      </c>
      <c r="K64" s="24" t="str">
        <f aca="false">IF(TRIM(C64)="","ИНН не указан",IF(LEN(C64)&lt;&gt;10,"ИНН: должно быть 10 цифр",IF(NOT(ISNUMBER(IFERROR(VALUE(C64),"x"))),"ИНН: есть нецифровые символы",IF(MOD(MOD(SUMPRODUCT(--MID(C64,{1,2,3,4,5,6,7,8,9},1),{2,4,10,3,5,9,4,6,8}),11),10)=VALUE(RIGHT(C64,1)),"","ИНН: неверная контрольная цифра"))))</f>
        <v/>
      </c>
      <c r="L64" s="24" t="str">
        <f aca="false">IF(TRIM(D64)="","ОГРН не указан",IF(LEN(D64)&lt;&gt;13,"ОГРН: должно быть 13 цифр",IF(NOT(ISNUMBER(IFERROR(VALUE(D64),"x"))),"ОГРН: есть нецифровые символы",IF(MOD(VALUE(LEFT(D64,12))-11*INT(VALUE(LEFT(D64,12))/11),10)=VALUE(RIGHT(D64,1)),"","ОГРН: неверная контрольная цифра"))))</f>
        <v/>
      </c>
      <c r="M64" s="24" t="str">
        <f aca="false">IF(TRIM(E64)="","КПП не указан",IF(LEN(E64)&lt;&gt;9,"КПП: должно быть 9 знаков",IF(NOT(AND(ISNUMBER(IFERROR(VALUE(LEFT(E64,4)),"x")),ISNUMBER(IFERROR(VALUE(RIGHT(E64,3)),"x")))),"КПП: неверный формат",IF(LEFT(E64,2)&lt;&gt;LEFT(C64,2),"КПП: код региона не совпадает с ИНН",""))))</f>
        <v/>
      </c>
      <c r="N64" s="24" t="str">
        <f aca="false">IF(TRIM(C64)="","",IF(COUNTIF($C$2:$C$401,C64)&gt;1,"Дубликат ИНН в реестре",""))</f>
        <v/>
      </c>
      <c r="O64" s="24" t="str">
        <f aca="false">IF(TRIM(H64)="","Email не указан",IF(AND(ISNUMBER(FIND("@",H64)),ISNUMBER(FIND(".",H64,IFERROR(FIND("@",H64),1))),ISERROR(FIND(" ",H64)),LEFT(H64,1)&lt;&gt;"@",RIGHT(H64,1)&lt;&gt;".",LEN(H64)-LEN(SUBSTITUTE(H64,"@",""))=1),"","Email: неверный формат"))</f>
        <v/>
      </c>
      <c r="P64" s="24" t="str">
        <f aca="false">IF(TRIM(I64)="","Телефон не указан",IF(AND(LEN(SUBSTITUTE(SUBSTITUTE(SUBSTITUTE(SUBSTITUTE(SUBSTITUTE(I64," ",""),"-",""),"(",""),")",""),"+",""))=11,OR(LEFT(SUBSTITUTE(SUBSTITUTE(SUBSTITUTE(SUBSTITUTE(SUBSTITUTE(I64," ",""),"-",""),"(",""),")",""),"+",""),1)="7",LEFT(SUBSTITUTE(SUBSTITUTE(SUBSTITUTE(SUBSTITUTE(SUBSTITUTE(I64," ",""),"-",""),"(",""),")",""),"+",""),1)="8"),ISNUMBER(IFERROR(VALUE(SUBSTITUTE(SUBSTITUTE(SUBSTITUTE(SUBSTITUTE(SUBSTITUTE(I64," ",""),"-",""),"(",""),")",""),"+","")),"x"))),"","Телефон: неверный формат"))</f>
        <v/>
      </c>
      <c r="Q64" s="24" t="str">
        <f aca="false">TRIM(IF(TRIM(B64)="","Нет наименования. ","")&amp;IF(TRIM(F64)="","Нет адреса. ","")&amp;IF(TRIM(G64)="","Нет контактного лица.",""))</f>
        <v/>
      </c>
      <c r="R64" s="21" t="n">
        <f aca="false">SUMPRODUCT(--(LEN(K64:Q64)&gt;0))</f>
        <v>0</v>
      </c>
      <c r="S64" s="24" t="str">
        <f aca="false">IF(R64=0,"Готово к передаче","Требует исправления")</f>
        <v>Готово к передаче</v>
      </c>
      <c r="T64" s="24" t="str">
        <f aca="false">IF(R64=0,"",_xlfn.TEXTJOIN("; ",TRUE(),K64:Q64))</f>
        <v/>
      </c>
      <c r="U64" s="24" t="str">
        <f aca="false">IF(R64=0,"","Здравствуйте! В данных организации «"&amp;B64&amp;"» обнаружены ошибки: "&amp;T64&amp;". Просим проверить и прислать исправленную информацию.")</f>
        <v/>
      </c>
      <c r="V64" s="21" t="str">
        <f aca="false">IF(R64&gt;0,COUNTIF($R$2:R64,"&gt;0"),"")</f>
        <v/>
      </c>
      <c r="W64" s="21" t="n">
        <f aca="false">IF(R64=0,COUNTIF($R$2:R64,0),"")</f>
        <v>38</v>
      </c>
    </row>
    <row r="65" customFormat="false" ht="15" hidden="false" customHeight="false" outlineLevel="0" collapsed="false">
      <c r="A65" s="21" t="n">
        <v>64</v>
      </c>
      <c r="B65" s="22" t="s">
        <v>583</v>
      </c>
      <c r="C65" s="23" t="s">
        <v>584</v>
      </c>
      <c r="D65" s="23" t="s">
        <v>585</v>
      </c>
      <c r="E65" s="23"/>
      <c r="F65" s="22" t="s">
        <v>586</v>
      </c>
      <c r="G65" s="22" t="s">
        <v>587</v>
      </c>
      <c r="H65" s="22" t="s">
        <v>588</v>
      </c>
      <c r="I65" s="23" t="s">
        <v>589</v>
      </c>
      <c r="J65" s="24" t="str">
        <f aca="false">IFERROR(VLOOKUP(VALUE(LEFT(C65,2)),Справочники!$A$2:$B$16,2,FALSE()),"не определён")</f>
        <v>г. Москва</v>
      </c>
      <c r="K65" s="24" t="str">
        <f aca="false">IF(TRIM(C65)="","ИНН не указан",IF(LEN(C65)&lt;&gt;10,"ИНН: должно быть 10 цифр",IF(NOT(ISNUMBER(IFERROR(VALUE(C65),"x"))),"ИНН: есть нецифровые символы",IF(MOD(MOD(SUMPRODUCT(--MID(C65,{1,2,3,4,5,6,7,8,9},1),{2,4,10,3,5,9,4,6,8}),11),10)=VALUE(RIGHT(C65,1)),"","ИНН: неверная контрольная цифра"))))</f>
        <v/>
      </c>
      <c r="L65" s="24" t="str">
        <f aca="false">IF(TRIM(D65)="","ОГРН не указан",IF(LEN(D65)&lt;&gt;13,"ОГРН: должно быть 13 цифр",IF(NOT(ISNUMBER(IFERROR(VALUE(D65),"x"))),"ОГРН: есть нецифровые символы",IF(MOD(VALUE(LEFT(D65,12))-11*INT(VALUE(LEFT(D65,12))/11),10)=VALUE(RIGHT(D65,1)),"","ОГРН: неверная контрольная цифра"))))</f>
        <v/>
      </c>
      <c r="M65" s="24" t="str">
        <f aca="false">IF(TRIM(E65)="","КПП не указан",IF(LEN(E65)&lt;&gt;9,"КПП: должно быть 9 знаков",IF(NOT(AND(ISNUMBER(IFERROR(VALUE(LEFT(E65,4)),"x")),ISNUMBER(IFERROR(VALUE(RIGHT(E65,3)),"x")))),"КПП: неверный формат",IF(LEFT(E65,2)&lt;&gt;LEFT(C65,2),"КПП: код региона не совпадает с ИНН",""))))</f>
        <v>КПП не указан</v>
      </c>
      <c r="N65" s="24" t="str">
        <f aca="false">IF(TRIM(C65)="","",IF(COUNTIF($C$2:$C$401,C65)&gt;1,"Дубликат ИНН в реестре",""))</f>
        <v/>
      </c>
      <c r="O65" s="24" t="str">
        <f aca="false">IF(TRIM(H65)="","Email не указан",IF(AND(ISNUMBER(FIND("@",H65)),ISNUMBER(FIND(".",H65,IFERROR(FIND("@",H65),1))),ISERROR(FIND(" ",H65)),LEFT(H65,1)&lt;&gt;"@",RIGHT(H65,1)&lt;&gt;".",LEN(H65)-LEN(SUBSTITUTE(H65,"@",""))=1),"","Email: неверный формат"))</f>
        <v/>
      </c>
      <c r="P65" s="24" t="str">
        <f aca="false">IF(TRIM(I65)="","Телефон не указан",IF(AND(LEN(SUBSTITUTE(SUBSTITUTE(SUBSTITUTE(SUBSTITUTE(SUBSTITUTE(I65," ",""),"-",""),"(",""),")",""),"+",""))=11,OR(LEFT(SUBSTITUTE(SUBSTITUTE(SUBSTITUTE(SUBSTITUTE(SUBSTITUTE(I65," ",""),"-",""),"(",""),")",""),"+",""),1)="7",LEFT(SUBSTITUTE(SUBSTITUTE(SUBSTITUTE(SUBSTITUTE(SUBSTITUTE(I65," ",""),"-",""),"(",""),")",""),"+",""),1)="8"),ISNUMBER(IFERROR(VALUE(SUBSTITUTE(SUBSTITUTE(SUBSTITUTE(SUBSTITUTE(SUBSTITUTE(I65," ",""),"-",""),"(",""),")",""),"+","")),"x"))),"","Телефон: неверный формат"))</f>
        <v/>
      </c>
      <c r="Q65" s="24" t="str">
        <f aca="false">TRIM(IF(TRIM(B65)="","Нет наименования. ","")&amp;IF(TRIM(F65)="","Нет адреса. ","")&amp;IF(TRIM(G65)="","Нет контактного лица.",""))</f>
        <v/>
      </c>
      <c r="R65" s="21" t="n">
        <f aca="false">SUMPRODUCT(--(LEN(K65:Q65)&gt;0))</f>
        <v>1</v>
      </c>
      <c r="S65" s="24" t="str">
        <f aca="false">IF(R65=0,"Готово к передаче","Требует исправления")</f>
        <v>Требует исправления</v>
      </c>
      <c r="T65" s="24" t="str">
        <f aca="false">IF(R65=0,"",_xlfn.TEXTJOIN("; ",TRUE(),K65:Q65))</f>
        <v>КПП не указан</v>
      </c>
      <c r="U65" s="24" t="str">
        <f aca="false">IF(R65=0,"","Здравствуйте! В данных организации «"&amp;B65&amp;"» обнаружены ошибки: "&amp;T65&amp;". Просим проверить и прислать исправленную информацию.")</f>
        <v>Здравствуйте! В данных организации «АО «Берег Монтаж»» обнаружены ошибки: КПП не указан. Просим проверить и прислать исправленную информацию.</v>
      </c>
      <c r="V65" s="21" t="n">
        <f aca="false">IF(R65&gt;0,COUNTIF($R$2:R65,"&gt;0"),"")</f>
        <v>26</v>
      </c>
      <c r="W65" s="21" t="str">
        <f aca="false">IF(R65=0,COUNTIF($R$2:R65,0),"")</f>
        <v/>
      </c>
    </row>
    <row r="66" customFormat="false" ht="15" hidden="false" customHeight="false" outlineLevel="0" collapsed="false">
      <c r="A66" s="21" t="n">
        <v>65</v>
      </c>
      <c r="B66" s="22" t="s">
        <v>590</v>
      </c>
      <c r="C66" s="23" t="s">
        <v>591</v>
      </c>
      <c r="D66" s="23" t="s">
        <v>592</v>
      </c>
      <c r="E66" s="23" t="s">
        <v>593</v>
      </c>
      <c r="F66" s="22" t="s">
        <v>594</v>
      </c>
      <c r="G66" s="22" t="s">
        <v>595</v>
      </c>
      <c r="H66" s="22" t="s">
        <v>596</v>
      </c>
      <c r="I66" s="23" t="s">
        <v>597</v>
      </c>
      <c r="J66" s="24" t="str">
        <f aca="false">IFERROR(VLOOKUP(VALUE(LEFT(C66,2)),Справочники!$A$2:$B$16,2,FALSE()),"не определён")</f>
        <v>Красноярский край</v>
      </c>
      <c r="K66" s="24" t="str">
        <f aca="false">IF(TRIM(C66)="","ИНН не указан",IF(LEN(C66)&lt;&gt;10,"ИНН: должно быть 10 цифр",IF(NOT(ISNUMBER(IFERROR(VALUE(C66),"x"))),"ИНН: есть нецифровые символы",IF(MOD(MOD(SUMPRODUCT(--MID(C66,{1,2,3,4,5,6,7,8,9},1),{2,4,10,3,5,9,4,6,8}),11),10)=VALUE(RIGHT(C66,1)),"","ИНН: неверная контрольная цифра"))))</f>
        <v/>
      </c>
      <c r="L66" s="24" t="str">
        <f aca="false">IF(TRIM(D66)="","ОГРН не указан",IF(LEN(D66)&lt;&gt;13,"ОГРН: должно быть 13 цифр",IF(NOT(ISNUMBER(IFERROR(VALUE(D66),"x"))),"ОГРН: есть нецифровые символы",IF(MOD(VALUE(LEFT(D66,12))-11*INT(VALUE(LEFT(D66,12))/11),10)=VALUE(RIGHT(D66,1)),"","ОГРН: неверная контрольная цифра"))))</f>
        <v/>
      </c>
      <c r="M66" s="24" t="str">
        <f aca="false">IF(TRIM(E66)="","КПП не указан",IF(LEN(E66)&lt;&gt;9,"КПП: должно быть 9 знаков",IF(NOT(AND(ISNUMBER(IFERROR(VALUE(LEFT(E66,4)),"x")),ISNUMBER(IFERROR(VALUE(RIGHT(E66,3)),"x")))),"КПП: неверный формат",IF(LEFT(E66,2)&lt;&gt;LEFT(C66,2),"КПП: код региона не совпадает с ИНН",""))))</f>
        <v/>
      </c>
      <c r="N66" s="24" t="str">
        <f aca="false">IF(TRIM(C66)="","",IF(COUNTIF($C$2:$C$401,C66)&gt;1,"Дубликат ИНН в реестре",""))</f>
        <v/>
      </c>
      <c r="O66" s="24" t="str">
        <f aca="false">IF(TRIM(H66)="","Email не указан",IF(AND(ISNUMBER(FIND("@",H66)),ISNUMBER(FIND(".",H66,IFERROR(FIND("@",H66),1))),ISERROR(FIND(" ",H66)),LEFT(H66,1)&lt;&gt;"@",RIGHT(H66,1)&lt;&gt;".",LEN(H66)-LEN(SUBSTITUTE(H66,"@",""))=1),"","Email: неверный формат"))</f>
        <v/>
      </c>
      <c r="P66" s="24" t="str">
        <f aca="false">IF(TRIM(I66)="","Телефон не указан",IF(AND(LEN(SUBSTITUTE(SUBSTITUTE(SUBSTITUTE(SUBSTITUTE(SUBSTITUTE(I66," ",""),"-",""),"(",""),")",""),"+",""))=11,OR(LEFT(SUBSTITUTE(SUBSTITUTE(SUBSTITUTE(SUBSTITUTE(SUBSTITUTE(I66," ",""),"-",""),"(",""),")",""),"+",""),1)="7",LEFT(SUBSTITUTE(SUBSTITUTE(SUBSTITUTE(SUBSTITUTE(SUBSTITUTE(I66," ",""),"-",""),"(",""),")",""),"+",""),1)="8"),ISNUMBER(IFERROR(VALUE(SUBSTITUTE(SUBSTITUTE(SUBSTITUTE(SUBSTITUTE(SUBSTITUTE(I66," ",""),"-",""),"(",""),")",""),"+","")),"x"))),"","Телефон: неверный формат"))</f>
        <v/>
      </c>
      <c r="Q66" s="24" t="str">
        <f aca="false">TRIM(IF(TRIM(B66)="","Нет наименования. ","")&amp;IF(TRIM(F66)="","Нет адреса. ","")&amp;IF(TRIM(G66)="","Нет контактного лица.",""))</f>
        <v/>
      </c>
      <c r="R66" s="21" t="n">
        <f aca="false">SUMPRODUCT(--(LEN(K66:Q66)&gt;0))</f>
        <v>0</v>
      </c>
      <c r="S66" s="24" t="str">
        <f aca="false">IF(R66=0,"Готово к передаче","Требует исправления")</f>
        <v>Готово к передаче</v>
      </c>
      <c r="T66" s="24" t="str">
        <f aca="false">IF(R66=0,"",_xlfn.TEXTJOIN("; ",TRUE(),K66:Q66))</f>
        <v/>
      </c>
      <c r="U66" s="24" t="str">
        <f aca="false">IF(R66=0,"","Здравствуйте! В данных организации «"&amp;B66&amp;"» обнаружены ошибки: "&amp;T66&amp;". Просим проверить и прислать исправленную информацию.")</f>
        <v/>
      </c>
      <c r="V66" s="21" t="str">
        <f aca="false">IF(R66&gt;0,COUNTIF($R$2:R66,"&gt;0"),"")</f>
        <v/>
      </c>
      <c r="W66" s="21" t="n">
        <f aca="false">IF(R66=0,COUNTIF($R$2:R66,0),"")</f>
        <v>39</v>
      </c>
    </row>
    <row r="67" customFormat="false" ht="15" hidden="false" customHeight="false" outlineLevel="0" collapsed="false">
      <c r="A67" s="21" t="n">
        <v>66</v>
      </c>
      <c r="B67" s="22" t="s">
        <v>598</v>
      </c>
      <c r="C67" s="23" t="s">
        <v>599</v>
      </c>
      <c r="D67" s="23" t="s">
        <v>600</v>
      </c>
      <c r="E67" s="23" t="s">
        <v>601</v>
      </c>
      <c r="F67" s="22" t="s">
        <v>602</v>
      </c>
      <c r="G67" s="22" t="s">
        <v>603</v>
      </c>
      <c r="H67" s="22" t="s">
        <v>604</v>
      </c>
      <c r="I67" s="23" t="s">
        <v>605</v>
      </c>
      <c r="J67" s="24" t="str">
        <f aca="false">IFERROR(VLOOKUP(VALUE(LEFT(C67,2)),Справочники!$A$2:$B$16,2,FALSE()),"не определён")</f>
        <v>г. Москва</v>
      </c>
      <c r="K67" s="24" t="str">
        <f aca="false">IF(TRIM(C67)="","ИНН не указан",IF(LEN(C67)&lt;&gt;10,"ИНН: должно быть 10 цифр",IF(NOT(ISNUMBER(IFERROR(VALUE(C67),"x"))),"ИНН: есть нецифровые символы",IF(MOD(MOD(SUMPRODUCT(--MID(C67,{1,2,3,4,5,6,7,8,9},1),{2,4,10,3,5,9,4,6,8}),11),10)=VALUE(RIGHT(C67,1)),"","ИНН: неверная контрольная цифра"))))</f>
        <v/>
      </c>
      <c r="L67" s="24" t="str">
        <f aca="false">IF(TRIM(D67)="","ОГРН не указан",IF(LEN(D67)&lt;&gt;13,"ОГРН: должно быть 13 цифр",IF(NOT(ISNUMBER(IFERROR(VALUE(D67),"x"))),"ОГРН: есть нецифровые символы",IF(MOD(VALUE(LEFT(D67,12))-11*INT(VALUE(LEFT(D67,12))/11),10)=VALUE(RIGHT(D67,1)),"","ОГРН: неверная контрольная цифра"))))</f>
        <v/>
      </c>
      <c r="M67" s="24" t="str">
        <f aca="false">IF(TRIM(E67)="","КПП не указан",IF(LEN(E67)&lt;&gt;9,"КПП: должно быть 9 знаков",IF(NOT(AND(ISNUMBER(IFERROR(VALUE(LEFT(E67,4)),"x")),ISNUMBER(IFERROR(VALUE(RIGHT(E67,3)),"x")))),"КПП: неверный формат",IF(LEFT(E67,2)&lt;&gt;LEFT(C67,2),"КПП: код региона не совпадает с ИНН",""))))</f>
        <v/>
      </c>
      <c r="N67" s="24" t="str">
        <f aca="false">IF(TRIM(C67)="","",IF(COUNTIF($C$2:$C$401,C67)&gt;1,"Дубликат ИНН в реестре",""))</f>
        <v/>
      </c>
      <c r="O67" s="24" t="str">
        <f aca="false">IF(TRIM(H67)="","Email не указан",IF(AND(ISNUMBER(FIND("@",H67)),ISNUMBER(FIND(".",H67,IFERROR(FIND("@",H67),1))),ISERROR(FIND(" ",H67)),LEFT(H67,1)&lt;&gt;"@",RIGHT(H67,1)&lt;&gt;".",LEN(H67)-LEN(SUBSTITUTE(H67,"@",""))=1),"","Email: неверный формат"))</f>
        <v/>
      </c>
      <c r="P67" s="24" t="str">
        <f aca="false">IF(TRIM(I67)="","Телефон не указан",IF(AND(LEN(SUBSTITUTE(SUBSTITUTE(SUBSTITUTE(SUBSTITUTE(SUBSTITUTE(I67," ",""),"-",""),"(",""),")",""),"+",""))=11,OR(LEFT(SUBSTITUTE(SUBSTITUTE(SUBSTITUTE(SUBSTITUTE(SUBSTITUTE(I67," ",""),"-",""),"(",""),")",""),"+",""),1)="7",LEFT(SUBSTITUTE(SUBSTITUTE(SUBSTITUTE(SUBSTITUTE(SUBSTITUTE(I67," ",""),"-",""),"(",""),")",""),"+",""),1)="8"),ISNUMBER(IFERROR(VALUE(SUBSTITUTE(SUBSTITUTE(SUBSTITUTE(SUBSTITUTE(SUBSTITUTE(I67," ",""),"-",""),"(",""),")",""),"+","")),"x"))),"","Телефон: неверный формат"))</f>
        <v/>
      </c>
      <c r="Q67" s="24" t="str">
        <f aca="false">TRIM(IF(TRIM(B67)="","Нет наименования. ","")&amp;IF(TRIM(F67)="","Нет адреса. ","")&amp;IF(TRIM(G67)="","Нет контактного лица.",""))</f>
        <v/>
      </c>
      <c r="R67" s="21" t="n">
        <f aca="false">SUMPRODUCT(--(LEN(K67:Q67)&gt;0))</f>
        <v>0</v>
      </c>
      <c r="S67" s="24" t="str">
        <f aca="false">IF(R67=0,"Готово к передаче","Требует исправления")</f>
        <v>Готово к передаче</v>
      </c>
      <c r="T67" s="24" t="str">
        <f aca="false">IF(R67=0,"",_xlfn.TEXTJOIN("; ",TRUE(),K67:Q67))</f>
        <v/>
      </c>
      <c r="U67" s="24" t="str">
        <f aca="false">IF(R67=0,"","Здравствуйте! В данных организации «"&amp;B67&amp;"» обнаружены ошибки: "&amp;T67&amp;". Просим проверить и прислать исправленную информацию.")</f>
        <v/>
      </c>
      <c r="V67" s="21" t="str">
        <f aca="false">IF(R67&gt;0,COUNTIF($R$2:R67,"&gt;0"),"")</f>
        <v/>
      </c>
      <c r="W67" s="21" t="n">
        <f aca="false">IF(R67=0,COUNTIF($R$2:R67,0),"")</f>
        <v>40</v>
      </c>
    </row>
    <row r="68" customFormat="false" ht="15" hidden="false" customHeight="false" outlineLevel="0" collapsed="false">
      <c r="A68" s="21" t="n">
        <v>67</v>
      </c>
      <c r="B68" s="22" t="s">
        <v>606</v>
      </c>
      <c r="C68" s="23" t="s">
        <v>607</v>
      </c>
      <c r="D68" s="23" t="s">
        <v>608</v>
      </c>
      <c r="E68" s="23" t="s">
        <v>609</v>
      </c>
      <c r="F68" s="22" t="s">
        <v>610</v>
      </c>
      <c r="G68" s="22" t="s">
        <v>611</v>
      </c>
      <c r="H68" s="22" t="s">
        <v>612</v>
      </c>
      <c r="I68" s="23" t="s">
        <v>613</v>
      </c>
      <c r="J68" s="24" t="str">
        <f aca="false">IFERROR(VLOOKUP(VALUE(LEFT(C68,2)),Справочники!$A$2:$B$16,2,FALSE()),"не определён")</f>
        <v>Самарская область</v>
      </c>
      <c r="K68" s="24" t="str">
        <f aca="false">IF(TRIM(C68)="","ИНН не указан",IF(LEN(C68)&lt;&gt;10,"ИНН: должно быть 10 цифр",IF(NOT(ISNUMBER(IFERROR(VALUE(C68),"x"))),"ИНН: есть нецифровые символы",IF(MOD(MOD(SUMPRODUCT(--MID(C68,{1,2,3,4,5,6,7,8,9},1),{2,4,10,3,5,9,4,6,8}),11),10)=VALUE(RIGHT(C68,1)),"","ИНН: неверная контрольная цифра"))))</f>
        <v/>
      </c>
      <c r="L68" s="24" t="str">
        <f aca="false">IF(TRIM(D68)="","ОГРН не указан",IF(LEN(D68)&lt;&gt;13,"ОГРН: должно быть 13 цифр",IF(NOT(ISNUMBER(IFERROR(VALUE(D68),"x"))),"ОГРН: есть нецифровые символы",IF(MOD(VALUE(LEFT(D68,12))-11*INT(VALUE(LEFT(D68,12))/11),10)=VALUE(RIGHT(D68,1)),"","ОГРН: неверная контрольная цифра"))))</f>
        <v/>
      </c>
      <c r="M68" s="24" t="str">
        <f aca="false">IF(TRIM(E68)="","КПП не указан",IF(LEN(E68)&lt;&gt;9,"КПП: должно быть 9 знаков",IF(NOT(AND(ISNUMBER(IFERROR(VALUE(LEFT(E68,4)),"x")),ISNUMBER(IFERROR(VALUE(RIGHT(E68,3)),"x")))),"КПП: неверный формат",IF(LEFT(E68,2)&lt;&gt;LEFT(C68,2),"КПП: код региона не совпадает с ИНН",""))))</f>
        <v/>
      </c>
      <c r="N68" s="24" t="str">
        <f aca="false">IF(TRIM(C68)="","",IF(COUNTIF($C$2:$C$401,C68)&gt;1,"Дубликат ИНН в реестре",""))</f>
        <v/>
      </c>
      <c r="O68" s="24" t="str">
        <f aca="false">IF(TRIM(H68)="","Email не указан",IF(AND(ISNUMBER(FIND("@",H68)),ISNUMBER(FIND(".",H68,IFERROR(FIND("@",H68),1))),ISERROR(FIND(" ",H68)),LEFT(H68,1)&lt;&gt;"@",RIGHT(H68,1)&lt;&gt;".",LEN(H68)-LEN(SUBSTITUTE(H68,"@",""))=1),"","Email: неверный формат"))</f>
        <v/>
      </c>
      <c r="P68" s="24" t="str">
        <f aca="false">IF(TRIM(I68)="","Телефон не указан",IF(AND(LEN(SUBSTITUTE(SUBSTITUTE(SUBSTITUTE(SUBSTITUTE(SUBSTITUTE(I68," ",""),"-",""),"(",""),")",""),"+",""))=11,OR(LEFT(SUBSTITUTE(SUBSTITUTE(SUBSTITUTE(SUBSTITUTE(SUBSTITUTE(I68," ",""),"-",""),"(",""),")",""),"+",""),1)="7",LEFT(SUBSTITUTE(SUBSTITUTE(SUBSTITUTE(SUBSTITUTE(SUBSTITUTE(I68," ",""),"-",""),"(",""),")",""),"+",""),1)="8"),ISNUMBER(IFERROR(VALUE(SUBSTITUTE(SUBSTITUTE(SUBSTITUTE(SUBSTITUTE(SUBSTITUTE(I68," ",""),"-",""),"(",""),")",""),"+","")),"x"))),"","Телефон: неверный формат"))</f>
        <v/>
      </c>
      <c r="Q68" s="24" t="str">
        <f aca="false">TRIM(IF(TRIM(B68)="","Нет наименования. ","")&amp;IF(TRIM(F68)="","Нет адреса. ","")&amp;IF(TRIM(G68)="","Нет контактного лица.",""))</f>
        <v/>
      </c>
      <c r="R68" s="21" t="n">
        <f aca="false">SUMPRODUCT(--(LEN(K68:Q68)&gt;0))</f>
        <v>0</v>
      </c>
      <c r="S68" s="24" t="str">
        <f aca="false">IF(R68=0,"Готово к передаче","Требует исправления")</f>
        <v>Готово к передаче</v>
      </c>
      <c r="T68" s="24" t="str">
        <f aca="false">IF(R68=0,"",_xlfn.TEXTJOIN("; ",TRUE(),K68:Q68))</f>
        <v/>
      </c>
      <c r="U68" s="24" t="str">
        <f aca="false">IF(R68=0,"","Здравствуйте! В данных организации «"&amp;B68&amp;"» обнаружены ошибки: "&amp;T68&amp;". Просим проверить и прислать исправленную информацию.")</f>
        <v/>
      </c>
      <c r="V68" s="21" t="str">
        <f aca="false">IF(R68&gt;0,COUNTIF($R$2:R68,"&gt;0"),"")</f>
        <v/>
      </c>
      <c r="W68" s="21" t="n">
        <f aca="false">IF(R68=0,COUNTIF($R$2:R68,0),"")</f>
        <v>41</v>
      </c>
    </row>
    <row r="69" customFormat="false" ht="15" hidden="false" customHeight="false" outlineLevel="0" collapsed="false">
      <c r="A69" s="21" t="n">
        <v>68</v>
      </c>
      <c r="B69" s="22" t="s">
        <v>614</v>
      </c>
      <c r="C69" s="23" t="s">
        <v>615</v>
      </c>
      <c r="D69" s="23" t="s">
        <v>616</v>
      </c>
      <c r="E69" s="23" t="s">
        <v>617</v>
      </c>
      <c r="F69" s="22" t="s">
        <v>618</v>
      </c>
      <c r="G69" s="22" t="s">
        <v>619</v>
      </c>
      <c r="H69" s="22" t="s">
        <v>620</v>
      </c>
      <c r="I69" s="23" t="s">
        <v>621</v>
      </c>
      <c r="J69" s="24" t="str">
        <f aca="false">IFERROR(VLOOKUP(VALUE(LEFT(C69,2)),Справочники!$A$2:$B$16,2,FALSE()),"не определён")</f>
        <v>Свердловская область</v>
      </c>
      <c r="K69" s="24" t="str">
        <f aca="false">IF(TRIM(C69)="","ИНН не указан",IF(LEN(C69)&lt;&gt;10,"ИНН: должно быть 10 цифр",IF(NOT(ISNUMBER(IFERROR(VALUE(C69),"x"))),"ИНН: есть нецифровые символы",IF(MOD(MOD(SUMPRODUCT(--MID(C69,{1,2,3,4,5,6,7,8,9},1),{2,4,10,3,5,9,4,6,8}),11),10)=VALUE(RIGHT(C69,1)),"","ИНН: неверная контрольная цифра"))))</f>
        <v>ИНН: должно быть 10 цифр</v>
      </c>
      <c r="L69" s="24" t="str">
        <f aca="false">IF(TRIM(D69)="","ОГРН не указан",IF(LEN(D69)&lt;&gt;13,"ОГРН: должно быть 13 цифр",IF(NOT(ISNUMBER(IFERROR(VALUE(D69),"x"))),"ОГРН: есть нецифровые символы",IF(MOD(VALUE(LEFT(D69,12))-11*INT(VALUE(LEFT(D69,12))/11),10)=VALUE(RIGHT(D69,1)),"","ОГРН: неверная контрольная цифра"))))</f>
        <v/>
      </c>
      <c r="M69" s="24" t="str">
        <f aca="false">IF(TRIM(E69)="","КПП не указан",IF(LEN(E69)&lt;&gt;9,"КПП: должно быть 9 знаков",IF(NOT(AND(ISNUMBER(IFERROR(VALUE(LEFT(E69,4)),"x")),ISNUMBER(IFERROR(VALUE(RIGHT(E69,3)),"x")))),"КПП: неверный формат",IF(LEFT(E69,2)&lt;&gt;LEFT(C69,2),"КПП: код региона не совпадает с ИНН",""))))</f>
        <v/>
      </c>
      <c r="N69" s="24" t="str">
        <f aca="false">IF(TRIM(C69)="","",IF(COUNTIF($C$2:$C$401,C69)&gt;1,"Дубликат ИНН в реестре",""))</f>
        <v/>
      </c>
      <c r="O69" s="24" t="str">
        <f aca="false">IF(TRIM(H69)="","Email не указан",IF(AND(ISNUMBER(FIND("@",H69)),ISNUMBER(FIND(".",H69,IFERROR(FIND("@",H69),1))),ISERROR(FIND(" ",H69)),LEFT(H69,1)&lt;&gt;"@",RIGHT(H69,1)&lt;&gt;".",LEN(H69)-LEN(SUBSTITUTE(H69,"@",""))=1),"","Email: неверный формат"))</f>
        <v/>
      </c>
      <c r="P69" s="24" t="str">
        <f aca="false">IF(TRIM(I69)="","Телефон не указан",IF(AND(LEN(SUBSTITUTE(SUBSTITUTE(SUBSTITUTE(SUBSTITUTE(SUBSTITUTE(I69," ",""),"-",""),"(",""),")",""),"+",""))=11,OR(LEFT(SUBSTITUTE(SUBSTITUTE(SUBSTITUTE(SUBSTITUTE(SUBSTITUTE(I69," ",""),"-",""),"(",""),")",""),"+",""),1)="7",LEFT(SUBSTITUTE(SUBSTITUTE(SUBSTITUTE(SUBSTITUTE(SUBSTITUTE(I69," ",""),"-",""),"(",""),")",""),"+",""),1)="8"),ISNUMBER(IFERROR(VALUE(SUBSTITUTE(SUBSTITUTE(SUBSTITUTE(SUBSTITUTE(SUBSTITUTE(I69," ",""),"-",""),"(",""),")",""),"+","")),"x"))),"","Телефон: неверный формат"))</f>
        <v/>
      </c>
      <c r="Q69" s="24" t="str">
        <f aca="false">TRIM(IF(TRIM(B69)="","Нет наименования. ","")&amp;IF(TRIM(F69)="","Нет адреса. ","")&amp;IF(TRIM(G69)="","Нет контактного лица.",""))</f>
        <v/>
      </c>
      <c r="R69" s="21" t="n">
        <f aca="false">SUMPRODUCT(--(LEN(K69:Q69)&gt;0))</f>
        <v>1</v>
      </c>
      <c r="S69" s="24" t="str">
        <f aca="false">IF(R69=0,"Готово к передаче","Требует исправления")</f>
        <v>Требует исправления</v>
      </c>
      <c r="T69" s="24" t="str">
        <f aca="false">IF(R69=0,"",_xlfn.TEXTJOIN("; ",TRUE(),K69:Q69))</f>
        <v>ИНН: должно быть 10 цифр</v>
      </c>
      <c r="U69" s="24" t="str">
        <f aca="false">IF(R69=0,"","Здравствуйте! В данных организации «"&amp;B69&amp;"» обнаружены ошибки: "&amp;T69&amp;". Просим проверить и прислать исправленную информацию.")</f>
        <v>Здравствуйте! В данных организации «АО «Квант Агро»» обнаружены ошибки: ИНН: должно быть 10 цифр. Просим проверить и прислать исправленную информацию.</v>
      </c>
      <c r="V69" s="21" t="n">
        <f aca="false">IF(R69&gt;0,COUNTIF($R$2:R69,"&gt;0"),"")</f>
        <v>27</v>
      </c>
      <c r="W69" s="21" t="str">
        <f aca="false">IF(R69=0,COUNTIF($R$2:R69,0),"")</f>
        <v/>
      </c>
    </row>
    <row r="70" customFormat="false" ht="15" hidden="false" customHeight="false" outlineLevel="0" collapsed="false">
      <c r="A70" s="21" t="n">
        <v>69</v>
      </c>
      <c r="B70" s="22" t="s">
        <v>622</v>
      </c>
      <c r="C70" s="23" t="s">
        <v>623</v>
      </c>
      <c r="D70" s="23" t="s">
        <v>624</v>
      </c>
      <c r="E70" s="23" t="s">
        <v>625</v>
      </c>
      <c r="F70" s="22" t="s">
        <v>626</v>
      </c>
      <c r="G70" s="22"/>
      <c r="H70" s="22" t="s">
        <v>627</v>
      </c>
      <c r="I70" s="23" t="s">
        <v>628</v>
      </c>
      <c r="J70" s="24" t="str">
        <f aca="false">IFERROR(VLOOKUP(VALUE(LEFT(C70,2)),Справочники!$A$2:$B$16,2,FALSE()),"не определён")</f>
        <v>г. Москва</v>
      </c>
      <c r="K70" s="24" t="str">
        <f aca="false">IF(TRIM(C70)="","ИНН не указан",IF(LEN(C70)&lt;&gt;10,"ИНН: должно быть 10 цифр",IF(NOT(ISNUMBER(IFERROR(VALUE(C70),"x"))),"ИНН: есть нецифровые символы",IF(MOD(MOD(SUMPRODUCT(--MID(C70,{1,2,3,4,5,6,7,8,9},1),{2,4,10,3,5,9,4,6,8}),11),10)=VALUE(RIGHT(C70,1)),"","ИНН: неверная контрольная цифра"))))</f>
        <v/>
      </c>
      <c r="L70" s="24" t="str">
        <f aca="false">IF(TRIM(D70)="","ОГРН не указан",IF(LEN(D70)&lt;&gt;13,"ОГРН: должно быть 13 цифр",IF(NOT(ISNUMBER(IFERROR(VALUE(D70),"x"))),"ОГРН: есть нецифровые символы",IF(MOD(VALUE(LEFT(D70,12))-11*INT(VALUE(LEFT(D70,12))/11),10)=VALUE(RIGHT(D70,1)),"","ОГРН: неверная контрольная цифра"))))</f>
        <v/>
      </c>
      <c r="M70" s="24" t="str">
        <f aca="false">IF(TRIM(E70)="","КПП не указан",IF(LEN(E70)&lt;&gt;9,"КПП: должно быть 9 знаков",IF(NOT(AND(ISNUMBER(IFERROR(VALUE(LEFT(E70,4)),"x")),ISNUMBER(IFERROR(VALUE(RIGHT(E70,3)),"x")))),"КПП: неверный формат",IF(LEFT(E70,2)&lt;&gt;LEFT(C70,2),"КПП: код региона не совпадает с ИНН",""))))</f>
        <v/>
      </c>
      <c r="N70" s="24" t="str">
        <f aca="false">IF(TRIM(C70)="","",IF(COUNTIF($C$2:$C$401,C70)&gt;1,"Дубликат ИНН в реестре",""))</f>
        <v/>
      </c>
      <c r="O70" s="24" t="str">
        <f aca="false">IF(TRIM(H70)="","Email не указан",IF(AND(ISNUMBER(FIND("@",H70)),ISNUMBER(FIND(".",H70,IFERROR(FIND("@",H70),1))),ISERROR(FIND(" ",H70)),LEFT(H70,1)&lt;&gt;"@",RIGHT(H70,1)&lt;&gt;".",LEN(H70)-LEN(SUBSTITUTE(H70,"@",""))=1),"","Email: неверный формат"))</f>
        <v/>
      </c>
      <c r="P70" s="24" t="str">
        <f aca="false">IF(TRIM(I70)="","Телефон не указан",IF(AND(LEN(SUBSTITUTE(SUBSTITUTE(SUBSTITUTE(SUBSTITUTE(SUBSTITUTE(I70," ",""),"-",""),"(",""),")",""),"+",""))=11,OR(LEFT(SUBSTITUTE(SUBSTITUTE(SUBSTITUTE(SUBSTITUTE(SUBSTITUTE(I70," ",""),"-",""),"(",""),")",""),"+",""),1)="7",LEFT(SUBSTITUTE(SUBSTITUTE(SUBSTITUTE(SUBSTITUTE(SUBSTITUTE(I70," ",""),"-",""),"(",""),")",""),"+",""),1)="8"),ISNUMBER(IFERROR(VALUE(SUBSTITUTE(SUBSTITUTE(SUBSTITUTE(SUBSTITUTE(SUBSTITUTE(I70," ",""),"-",""),"(",""),")",""),"+","")),"x"))),"","Телефон: неверный формат"))</f>
        <v/>
      </c>
      <c r="Q70" s="24" t="str">
        <f aca="false">TRIM(IF(TRIM(B70)="","Нет наименования. ","")&amp;IF(TRIM(F70)="","Нет адреса. ","")&amp;IF(TRIM(G70)="","Нет контактного лица.",""))</f>
        <v>Нет контактного лица.</v>
      </c>
      <c r="R70" s="21" t="n">
        <f aca="false">SUMPRODUCT(--(LEN(K70:Q70)&gt;0))</f>
        <v>1</v>
      </c>
      <c r="S70" s="24" t="str">
        <f aca="false">IF(R70=0,"Готово к передаче","Требует исправления")</f>
        <v>Требует исправления</v>
      </c>
      <c r="T70" s="24" t="str">
        <f aca="false">IF(R70=0,"",_xlfn.TEXTJOIN("; ",TRUE(),K70:Q70))</f>
        <v>Нет контактного лица.</v>
      </c>
      <c r="U70" s="24" t="str">
        <f aca="false">IF(R70=0,"","Здравствуйте! В данных организации «"&amp;B70&amp;"» обнаружены ошибки: "&amp;T70&amp;". Просим проверить и прислать исправленную информацию.")</f>
        <v>Здравствуйте! В данных организации «ООО «Орбита Агро»» обнаружены ошибки: Нет контактного лица.. Просим проверить и прислать исправленную информацию.</v>
      </c>
      <c r="V70" s="21" t="n">
        <f aca="false">IF(R70&gt;0,COUNTIF($R$2:R70,"&gt;0"),"")</f>
        <v>28</v>
      </c>
      <c r="W70" s="21" t="str">
        <f aca="false">IF(R70=0,COUNTIF($R$2:R70,0),"")</f>
        <v/>
      </c>
    </row>
    <row r="71" customFormat="false" ht="15" hidden="false" customHeight="false" outlineLevel="0" collapsed="false">
      <c r="A71" s="21" t="n">
        <v>70</v>
      </c>
      <c r="B71" s="22" t="s">
        <v>629</v>
      </c>
      <c r="C71" s="23" t="s">
        <v>630</v>
      </c>
      <c r="D71" s="23" t="s">
        <v>631</v>
      </c>
      <c r="E71" s="23" t="s">
        <v>632</v>
      </c>
      <c r="F71" s="22" t="s">
        <v>633</v>
      </c>
      <c r="G71" s="22" t="s">
        <v>634</v>
      </c>
      <c r="H71" s="22" t="s">
        <v>635</v>
      </c>
      <c r="I71" s="23" t="s">
        <v>636</v>
      </c>
      <c r="J71" s="24" t="str">
        <f aca="false">IFERROR(VLOOKUP(VALUE(LEFT(C71,2)),Справочники!$A$2:$B$16,2,FALSE()),"не определён")</f>
        <v>Нижегородская область</v>
      </c>
      <c r="K71" s="24" t="str">
        <f aca="false">IF(TRIM(C71)="","ИНН не указан",IF(LEN(C71)&lt;&gt;10,"ИНН: должно быть 10 цифр",IF(NOT(ISNUMBER(IFERROR(VALUE(C71),"x"))),"ИНН: есть нецифровые символы",IF(MOD(MOD(SUMPRODUCT(--MID(C71,{1,2,3,4,5,6,7,8,9},1),{2,4,10,3,5,9,4,6,8}),11),10)=VALUE(RIGHT(C71,1)),"","ИНН: неверная контрольная цифра"))))</f>
        <v/>
      </c>
      <c r="L71" s="24" t="str">
        <f aca="false">IF(TRIM(D71)="","ОГРН не указан",IF(LEN(D71)&lt;&gt;13,"ОГРН: должно быть 13 цифр",IF(NOT(ISNUMBER(IFERROR(VALUE(D71),"x"))),"ОГРН: есть нецифровые символы",IF(MOD(VALUE(LEFT(D71,12))-11*INT(VALUE(LEFT(D71,12))/11),10)=VALUE(RIGHT(D71,1)),"","ОГРН: неверная контрольная цифра"))))</f>
        <v/>
      </c>
      <c r="M71" s="24" t="str">
        <f aca="false">IF(TRIM(E71)="","КПП не указан",IF(LEN(E71)&lt;&gt;9,"КПП: должно быть 9 знаков",IF(NOT(AND(ISNUMBER(IFERROR(VALUE(LEFT(E71,4)),"x")),ISNUMBER(IFERROR(VALUE(RIGHT(E71,3)),"x")))),"КПП: неверный формат",IF(LEFT(E71,2)&lt;&gt;LEFT(C71,2),"КПП: код региона не совпадает с ИНН",""))))</f>
        <v/>
      </c>
      <c r="N71" s="24" t="str">
        <f aca="false">IF(TRIM(C71)="","",IF(COUNTIF($C$2:$C$401,C71)&gt;1,"Дубликат ИНН в реестре",""))</f>
        <v/>
      </c>
      <c r="O71" s="24" t="str">
        <f aca="false">IF(TRIM(H71)="","Email не указан",IF(AND(ISNUMBER(FIND("@",H71)),ISNUMBER(FIND(".",H71,IFERROR(FIND("@",H71),1))),ISERROR(FIND(" ",H71)),LEFT(H71,1)&lt;&gt;"@",RIGHT(H71,1)&lt;&gt;".",LEN(H71)-LEN(SUBSTITUTE(H71,"@",""))=1),"","Email: неверный формат"))</f>
        <v/>
      </c>
      <c r="P71" s="24" t="str">
        <f aca="false">IF(TRIM(I71)="","Телефон не указан",IF(AND(LEN(SUBSTITUTE(SUBSTITUTE(SUBSTITUTE(SUBSTITUTE(SUBSTITUTE(I71," ",""),"-",""),"(",""),")",""),"+",""))=11,OR(LEFT(SUBSTITUTE(SUBSTITUTE(SUBSTITUTE(SUBSTITUTE(SUBSTITUTE(I71," ",""),"-",""),"(",""),")",""),"+",""),1)="7",LEFT(SUBSTITUTE(SUBSTITUTE(SUBSTITUTE(SUBSTITUTE(SUBSTITUTE(I71," ",""),"-",""),"(",""),")",""),"+",""),1)="8"),ISNUMBER(IFERROR(VALUE(SUBSTITUTE(SUBSTITUTE(SUBSTITUTE(SUBSTITUTE(SUBSTITUTE(I71," ",""),"-",""),"(",""),")",""),"+","")),"x"))),"","Телефон: неверный формат"))</f>
        <v/>
      </c>
      <c r="Q71" s="24" t="str">
        <f aca="false">TRIM(IF(TRIM(B71)="","Нет наименования. ","")&amp;IF(TRIM(F71)="","Нет адреса. ","")&amp;IF(TRIM(G71)="","Нет контактного лица.",""))</f>
        <v/>
      </c>
      <c r="R71" s="21" t="n">
        <f aca="false">SUMPRODUCT(--(LEN(K71:Q71)&gt;0))</f>
        <v>0</v>
      </c>
      <c r="S71" s="24" t="str">
        <f aca="false">IF(R71=0,"Готово к передаче","Требует исправления")</f>
        <v>Готово к передаче</v>
      </c>
      <c r="T71" s="24" t="str">
        <f aca="false">IF(R71=0,"",_xlfn.TEXTJOIN("; ",TRUE(),K71:Q71))</f>
        <v/>
      </c>
      <c r="U71" s="24" t="str">
        <f aca="false">IF(R71=0,"","Здравствуйте! В данных организации «"&amp;B71&amp;"» обнаружены ошибки: "&amp;T71&amp;". Просим проверить и прислать исправленную информацию.")</f>
        <v/>
      </c>
      <c r="V71" s="21" t="str">
        <f aca="false">IF(R71&gt;0,COUNTIF($R$2:R71,"&gt;0"),"")</f>
        <v/>
      </c>
      <c r="W71" s="21" t="n">
        <f aca="false">IF(R71=0,COUNTIF($R$2:R71,0),"")</f>
        <v>42</v>
      </c>
    </row>
    <row r="72" customFormat="false" ht="15" hidden="false" customHeight="false" outlineLevel="0" collapsed="false">
      <c r="A72" s="21" t="n">
        <v>71</v>
      </c>
      <c r="B72" s="22" t="s">
        <v>637</v>
      </c>
      <c r="C72" s="23" t="s">
        <v>638</v>
      </c>
      <c r="D72" s="23" t="s">
        <v>639</v>
      </c>
      <c r="E72" s="23" t="s">
        <v>640</v>
      </c>
      <c r="F72" s="22" t="s">
        <v>641</v>
      </c>
      <c r="G72" s="22" t="s">
        <v>642</v>
      </c>
      <c r="H72" s="22" t="s">
        <v>643</v>
      </c>
      <c r="I72" s="23" t="s">
        <v>644</v>
      </c>
      <c r="J72" s="24" t="str">
        <f aca="false">IFERROR(VLOOKUP(VALUE(LEFT(C72,2)),Справочники!$A$2:$B$16,2,FALSE()),"не определён")</f>
        <v>г. Санкт-Петербург</v>
      </c>
      <c r="K72" s="24" t="str">
        <f aca="false">IF(TRIM(C72)="","ИНН не указан",IF(LEN(C72)&lt;&gt;10,"ИНН: должно быть 10 цифр",IF(NOT(ISNUMBER(IFERROR(VALUE(C72),"x"))),"ИНН: есть нецифровые символы",IF(MOD(MOD(SUMPRODUCT(--MID(C72,{1,2,3,4,5,6,7,8,9},1),{2,4,10,3,5,9,4,6,8}),11),10)=VALUE(RIGHT(C72,1)),"","ИНН: неверная контрольная цифра"))))</f>
        <v/>
      </c>
      <c r="L72" s="24" t="str">
        <f aca="false">IF(TRIM(D72)="","ОГРН не указан",IF(LEN(D72)&lt;&gt;13,"ОГРН: должно быть 13 цифр",IF(NOT(ISNUMBER(IFERROR(VALUE(D72),"x"))),"ОГРН: есть нецифровые символы",IF(MOD(VALUE(LEFT(D72,12))-11*INT(VALUE(LEFT(D72,12))/11),10)=VALUE(RIGHT(D72,1)),"","ОГРН: неверная контрольная цифра"))))</f>
        <v/>
      </c>
      <c r="M72" s="24" t="str">
        <f aca="false">IF(TRIM(E72)="","КПП не указан",IF(LEN(E72)&lt;&gt;9,"КПП: должно быть 9 знаков",IF(NOT(AND(ISNUMBER(IFERROR(VALUE(LEFT(E72,4)),"x")),ISNUMBER(IFERROR(VALUE(RIGHT(E72,3)),"x")))),"КПП: неверный формат",IF(LEFT(E72,2)&lt;&gt;LEFT(C72,2),"КПП: код региона не совпадает с ИНН",""))))</f>
        <v/>
      </c>
      <c r="N72" s="24" t="str">
        <f aca="false">IF(TRIM(C72)="","",IF(COUNTIF($C$2:$C$401,C72)&gt;1,"Дубликат ИНН в реестре",""))</f>
        <v/>
      </c>
      <c r="O72" s="24" t="str">
        <f aca="false">IF(TRIM(H72)="","Email не указан",IF(AND(ISNUMBER(FIND("@",H72)),ISNUMBER(FIND(".",H72,IFERROR(FIND("@",H72),1))),ISERROR(FIND(" ",H72)),LEFT(H72,1)&lt;&gt;"@",RIGHT(H72,1)&lt;&gt;".",LEN(H72)-LEN(SUBSTITUTE(H72,"@",""))=1),"","Email: неверный формат"))</f>
        <v/>
      </c>
      <c r="P72" s="24" t="str">
        <f aca="false">IF(TRIM(I72)="","Телефон не указан",IF(AND(LEN(SUBSTITUTE(SUBSTITUTE(SUBSTITUTE(SUBSTITUTE(SUBSTITUTE(I72," ",""),"-",""),"(",""),")",""),"+",""))=11,OR(LEFT(SUBSTITUTE(SUBSTITUTE(SUBSTITUTE(SUBSTITUTE(SUBSTITUTE(I72," ",""),"-",""),"(",""),")",""),"+",""),1)="7",LEFT(SUBSTITUTE(SUBSTITUTE(SUBSTITUTE(SUBSTITUTE(SUBSTITUTE(I72," ",""),"-",""),"(",""),")",""),"+",""),1)="8"),ISNUMBER(IFERROR(VALUE(SUBSTITUTE(SUBSTITUTE(SUBSTITUTE(SUBSTITUTE(SUBSTITUTE(I72," ",""),"-",""),"(",""),")",""),"+","")),"x"))),"","Телефон: неверный формат"))</f>
        <v>Телефон: неверный формат</v>
      </c>
      <c r="Q72" s="24" t="str">
        <f aca="false">TRIM(IF(TRIM(B72)="","Нет наименования. ","")&amp;IF(TRIM(F72)="","Нет адреса. ","")&amp;IF(TRIM(G72)="","Нет контактного лица.",""))</f>
        <v/>
      </c>
      <c r="R72" s="21" t="n">
        <f aca="false">SUMPRODUCT(--(LEN(K72:Q72)&gt;0))</f>
        <v>1</v>
      </c>
      <c r="S72" s="24" t="str">
        <f aca="false">IF(R72=0,"Готово к передаче","Требует исправления")</f>
        <v>Требует исправления</v>
      </c>
      <c r="T72" s="24" t="str">
        <f aca="false">IF(R72=0,"",_xlfn.TEXTJOIN("; ",TRUE(),K72:Q72))</f>
        <v>Телефон: неверный формат</v>
      </c>
      <c r="U72" s="24" t="str">
        <f aca="false">IF(R72=0,"","Здравствуйте! В данных организации «"&amp;B72&amp;"» обнаружены ошибки: "&amp;T72&amp;". Просим проверить и прислать исправленную информацию.")</f>
        <v>Здравствуйте! В данных организации «ООО «Прогресс Принт»» обнаружены ошибки: Телефон: неверный формат. Просим проверить и прислать исправленную информацию.</v>
      </c>
      <c r="V72" s="21" t="n">
        <f aca="false">IF(R72&gt;0,COUNTIF($R$2:R72,"&gt;0"),"")</f>
        <v>29</v>
      </c>
      <c r="W72" s="21" t="str">
        <f aca="false">IF(R72=0,COUNTIF($R$2:R72,0),"")</f>
        <v/>
      </c>
    </row>
    <row r="73" customFormat="false" ht="15" hidden="false" customHeight="false" outlineLevel="0" collapsed="false">
      <c r="A73" s="21" t="n">
        <v>72</v>
      </c>
      <c r="B73" s="22" t="s">
        <v>645</v>
      </c>
      <c r="C73" s="23" t="s">
        <v>646</v>
      </c>
      <c r="D73" s="23" t="s">
        <v>647</v>
      </c>
      <c r="E73" s="23" t="s">
        <v>648</v>
      </c>
      <c r="F73" s="22" t="s">
        <v>649</v>
      </c>
      <c r="G73" s="22" t="s">
        <v>650</v>
      </c>
      <c r="H73" s="22" t="s">
        <v>651</v>
      </c>
      <c r="I73" s="23" t="s">
        <v>652</v>
      </c>
      <c r="J73" s="24" t="str">
        <f aca="false">IFERROR(VLOOKUP(VALUE(LEFT(C73,2)),Справочники!$A$2:$B$16,2,FALSE()),"не определён")</f>
        <v>г. Севастополь</v>
      </c>
      <c r="K73" s="24" t="str">
        <f aca="false">IF(TRIM(C73)="","ИНН не указан",IF(LEN(C73)&lt;&gt;10,"ИНН: должно быть 10 цифр",IF(NOT(ISNUMBER(IFERROR(VALUE(C73),"x"))),"ИНН: есть нецифровые символы",IF(MOD(MOD(SUMPRODUCT(--MID(C73,{1,2,3,4,5,6,7,8,9},1),{2,4,10,3,5,9,4,6,8}),11),10)=VALUE(RIGHT(C73,1)),"","ИНН: неверная контрольная цифра"))))</f>
        <v/>
      </c>
      <c r="L73" s="24" t="str">
        <f aca="false">IF(TRIM(D73)="","ОГРН не указан",IF(LEN(D73)&lt;&gt;13,"ОГРН: должно быть 13 цифр",IF(NOT(ISNUMBER(IFERROR(VALUE(D73),"x"))),"ОГРН: есть нецифровые символы",IF(MOD(VALUE(LEFT(D73,12))-11*INT(VALUE(LEFT(D73,12))/11),10)=VALUE(RIGHT(D73,1)),"","ОГРН: неверная контрольная цифра"))))</f>
        <v/>
      </c>
      <c r="M73" s="24" t="str">
        <f aca="false">IF(TRIM(E73)="","КПП не указан",IF(LEN(E73)&lt;&gt;9,"КПП: должно быть 9 знаков",IF(NOT(AND(ISNUMBER(IFERROR(VALUE(LEFT(E73,4)),"x")),ISNUMBER(IFERROR(VALUE(RIGHT(E73,3)),"x")))),"КПП: неверный формат",IF(LEFT(E73,2)&lt;&gt;LEFT(C73,2),"КПП: код региона не совпадает с ИНН",""))))</f>
        <v/>
      </c>
      <c r="N73" s="24" t="str">
        <f aca="false">IF(TRIM(C73)="","",IF(COUNTIF($C$2:$C$401,C73)&gt;1,"Дубликат ИНН в реестре",""))</f>
        <v/>
      </c>
      <c r="O73" s="24" t="str">
        <f aca="false">IF(TRIM(H73)="","Email не указан",IF(AND(ISNUMBER(FIND("@",H73)),ISNUMBER(FIND(".",H73,IFERROR(FIND("@",H73),1))),ISERROR(FIND(" ",H73)),LEFT(H73,1)&lt;&gt;"@",RIGHT(H73,1)&lt;&gt;".",LEN(H73)-LEN(SUBSTITUTE(H73,"@",""))=1),"","Email: неверный формат"))</f>
        <v/>
      </c>
      <c r="P73" s="24" t="str">
        <f aca="false">IF(TRIM(I73)="","Телефон не указан",IF(AND(LEN(SUBSTITUTE(SUBSTITUTE(SUBSTITUTE(SUBSTITUTE(SUBSTITUTE(I73," ",""),"-",""),"(",""),")",""),"+",""))=11,OR(LEFT(SUBSTITUTE(SUBSTITUTE(SUBSTITUTE(SUBSTITUTE(SUBSTITUTE(I73," ",""),"-",""),"(",""),")",""),"+",""),1)="7",LEFT(SUBSTITUTE(SUBSTITUTE(SUBSTITUTE(SUBSTITUTE(SUBSTITUTE(I73," ",""),"-",""),"(",""),")",""),"+",""),1)="8"),ISNUMBER(IFERROR(VALUE(SUBSTITUTE(SUBSTITUTE(SUBSTITUTE(SUBSTITUTE(SUBSTITUTE(I73," ",""),"-",""),"(",""),")",""),"+","")),"x"))),"","Телефон: неверный формат"))</f>
        <v/>
      </c>
      <c r="Q73" s="24" t="str">
        <f aca="false">TRIM(IF(TRIM(B73)="","Нет наименования. ","")&amp;IF(TRIM(F73)="","Нет адреса. ","")&amp;IF(TRIM(G73)="","Нет контактного лица.",""))</f>
        <v/>
      </c>
      <c r="R73" s="21" t="n">
        <f aca="false">SUMPRODUCT(--(LEN(K73:Q73)&gt;0))</f>
        <v>0</v>
      </c>
      <c r="S73" s="24" t="str">
        <f aca="false">IF(R73=0,"Готово к передаче","Требует исправления")</f>
        <v>Готово к передаче</v>
      </c>
      <c r="T73" s="24" t="str">
        <f aca="false">IF(R73=0,"",_xlfn.TEXTJOIN("; ",TRUE(),K73:Q73))</f>
        <v/>
      </c>
      <c r="U73" s="24" t="str">
        <f aca="false">IF(R73=0,"","Здравствуйте! В данных организации «"&amp;B73&amp;"» обнаружены ошибки: "&amp;T73&amp;". Просим проверить и прислать исправленную информацию.")</f>
        <v/>
      </c>
      <c r="V73" s="21" t="str">
        <f aca="false">IF(R73&gt;0,COUNTIF($R$2:R73,"&gt;0"),"")</f>
        <v/>
      </c>
      <c r="W73" s="21" t="n">
        <f aca="false">IF(R73=0,COUNTIF($R$2:R73,0),"")</f>
        <v>43</v>
      </c>
    </row>
    <row r="74" customFormat="false" ht="15" hidden="false" customHeight="false" outlineLevel="0" collapsed="false">
      <c r="A74" s="21" t="n">
        <v>73</v>
      </c>
      <c r="B74" s="22" t="s">
        <v>653</v>
      </c>
      <c r="C74" s="23" t="s">
        <v>654</v>
      </c>
      <c r="D74" s="23" t="s">
        <v>655</v>
      </c>
      <c r="E74" s="23" t="s">
        <v>656</v>
      </c>
      <c r="F74" s="22" t="s">
        <v>657</v>
      </c>
      <c r="G74" s="22" t="s">
        <v>658</v>
      </c>
      <c r="H74" s="22" t="s">
        <v>659</v>
      </c>
      <c r="I74" s="23" t="s">
        <v>660</v>
      </c>
      <c r="J74" s="24" t="str">
        <f aca="false">IFERROR(VLOOKUP(VALUE(LEFT(C74,2)),Справочники!$A$2:$B$16,2,FALSE()),"не определён")</f>
        <v>Московская область</v>
      </c>
      <c r="K74" s="24" t="str">
        <f aca="false">IF(TRIM(C74)="","ИНН не указан",IF(LEN(C74)&lt;&gt;10,"ИНН: должно быть 10 цифр",IF(NOT(ISNUMBER(IFERROR(VALUE(C74),"x"))),"ИНН: есть нецифровые символы",IF(MOD(MOD(SUMPRODUCT(--MID(C74,{1,2,3,4,5,6,7,8,9},1),{2,4,10,3,5,9,4,6,8}),11),10)=VALUE(RIGHT(C74,1)),"","ИНН: неверная контрольная цифра"))))</f>
        <v/>
      </c>
      <c r="L74" s="24" t="str">
        <f aca="false">IF(TRIM(D74)="","ОГРН не указан",IF(LEN(D74)&lt;&gt;13,"ОГРН: должно быть 13 цифр",IF(NOT(ISNUMBER(IFERROR(VALUE(D74),"x"))),"ОГРН: есть нецифровые символы",IF(MOD(VALUE(LEFT(D74,12))-11*INT(VALUE(LEFT(D74,12))/11),10)=VALUE(RIGHT(D74,1)),"","ОГРН: неверная контрольная цифра"))))</f>
        <v/>
      </c>
      <c r="M74" s="24" t="str">
        <f aca="false">IF(TRIM(E74)="","КПП не указан",IF(LEN(E74)&lt;&gt;9,"КПП: должно быть 9 знаков",IF(NOT(AND(ISNUMBER(IFERROR(VALUE(LEFT(E74,4)),"x")),ISNUMBER(IFERROR(VALUE(RIGHT(E74,3)),"x")))),"КПП: неверный формат",IF(LEFT(E74,2)&lt;&gt;LEFT(C74,2),"КПП: код региона не совпадает с ИНН",""))))</f>
        <v/>
      </c>
      <c r="N74" s="24" t="str">
        <f aca="false">IF(TRIM(C74)="","",IF(COUNTIF($C$2:$C$401,C74)&gt;1,"Дубликат ИНН в реестре",""))</f>
        <v/>
      </c>
      <c r="O74" s="24" t="str">
        <f aca="false">IF(TRIM(H74)="","Email не указан",IF(AND(ISNUMBER(FIND("@",H74)),ISNUMBER(FIND(".",H74,IFERROR(FIND("@",H74),1))),ISERROR(FIND(" ",H74)),LEFT(H74,1)&lt;&gt;"@",RIGHT(H74,1)&lt;&gt;".",LEN(H74)-LEN(SUBSTITUTE(H74,"@",""))=1),"","Email: неверный формат"))</f>
        <v/>
      </c>
      <c r="P74" s="24" t="str">
        <f aca="false">IF(TRIM(I74)="","Телефон не указан",IF(AND(LEN(SUBSTITUTE(SUBSTITUTE(SUBSTITUTE(SUBSTITUTE(SUBSTITUTE(I74," ",""),"-",""),"(",""),")",""),"+",""))=11,OR(LEFT(SUBSTITUTE(SUBSTITUTE(SUBSTITUTE(SUBSTITUTE(SUBSTITUTE(I74," ",""),"-",""),"(",""),")",""),"+",""),1)="7",LEFT(SUBSTITUTE(SUBSTITUTE(SUBSTITUTE(SUBSTITUTE(SUBSTITUTE(I74," ",""),"-",""),"(",""),")",""),"+",""),1)="8"),ISNUMBER(IFERROR(VALUE(SUBSTITUTE(SUBSTITUTE(SUBSTITUTE(SUBSTITUTE(SUBSTITUTE(I74," ",""),"-",""),"(",""),")",""),"+","")),"x"))),"","Телефон: неверный формат"))</f>
        <v/>
      </c>
      <c r="Q74" s="24" t="str">
        <f aca="false">TRIM(IF(TRIM(B74)="","Нет наименования. ","")&amp;IF(TRIM(F74)="","Нет адреса. ","")&amp;IF(TRIM(G74)="","Нет контактного лица.",""))</f>
        <v/>
      </c>
      <c r="R74" s="21" t="n">
        <f aca="false">SUMPRODUCT(--(LEN(K74:Q74)&gt;0))</f>
        <v>0</v>
      </c>
      <c r="S74" s="24" t="str">
        <f aca="false">IF(R74=0,"Готово к передаче","Требует исправления")</f>
        <v>Готово к передаче</v>
      </c>
      <c r="T74" s="24" t="str">
        <f aca="false">IF(R74=0,"",_xlfn.TEXTJOIN("; ",TRUE(),K74:Q74))</f>
        <v/>
      </c>
      <c r="U74" s="24" t="str">
        <f aca="false">IF(R74=0,"","Здравствуйте! В данных организации «"&amp;B74&amp;"» обнаружены ошибки: "&amp;T74&amp;". Просим проверить и прислать исправленную информацию.")</f>
        <v/>
      </c>
      <c r="V74" s="21" t="str">
        <f aca="false">IF(R74&gt;0,COUNTIF($R$2:R74,"&gt;0"),"")</f>
        <v/>
      </c>
      <c r="W74" s="21" t="n">
        <f aca="false">IF(R74=0,COUNTIF($R$2:R74,0),"")</f>
        <v>44</v>
      </c>
    </row>
    <row r="75" customFormat="false" ht="15" hidden="false" customHeight="false" outlineLevel="0" collapsed="false">
      <c r="A75" s="21" t="n">
        <v>74</v>
      </c>
      <c r="B75" s="22" t="s">
        <v>661</v>
      </c>
      <c r="C75" s="23" t="s">
        <v>662</v>
      </c>
      <c r="D75" s="23" t="s">
        <v>663</v>
      </c>
      <c r="E75" s="23" t="s">
        <v>664</v>
      </c>
      <c r="F75" s="22" t="s">
        <v>665</v>
      </c>
      <c r="G75" s="22" t="s">
        <v>666</v>
      </c>
      <c r="H75" s="22" t="s">
        <v>667</v>
      </c>
      <c r="I75" s="23" t="s">
        <v>668</v>
      </c>
      <c r="J75" s="24" t="str">
        <f aca="false">IFERROR(VLOOKUP(VALUE(LEFT(C75,2)),Справочники!$A$2:$B$16,2,FALSE()),"не определён")</f>
        <v>Республика Татарстан</v>
      </c>
      <c r="K75" s="24" t="str">
        <f aca="false">IF(TRIM(C75)="","ИНН не указан",IF(LEN(C75)&lt;&gt;10,"ИНН: должно быть 10 цифр",IF(NOT(ISNUMBER(IFERROR(VALUE(C75),"x"))),"ИНН: есть нецифровые символы",IF(MOD(MOD(SUMPRODUCT(--MID(C75,{1,2,3,4,5,6,7,8,9},1),{2,4,10,3,5,9,4,6,8}),11),10)=VALUE(RIGHT(C75,1)),"","ИНН: неверная контрольная цифра"))))</f>
        <v/>
      </c>
      <c r="L75" s="24" t="str">
        <f aca="false">IF(TRIM(D75)="","ОГРН не указан",IF(LEN(D75)&lt;&gt;13,"ОГРН: должно быть 13 цифр",IF(NOT(ISNUMBER(IFERROR(VALUE(D75),"x"))),"ОГРН: есть нецифровые символы",IF(MOD(VALUE(LEFT(D75,12))-11*INT(VALUE(LEFT(D75,12))/11),10)=VALUE(RIGHT(D75,1)),"","ОГРН: неверная контрольная цифра"))))</f>
        <v/>
      </c>
      <c r="M75" s="24" t="str">
        <f aca="false">IF(TRIM(E75)="","КПП не указан",IF(LEN(E75)&lt;&gt;9,"КПП: должно быть 9 знаков",IF(NOT(AND(ISNUMBER(IFERROR(VALUE(LEFT(E75,4)),"x")),ISNUMBER(IFERROR(VALUE(RIGHT(E75,3)),"x")))),"КПП: неверный формат",IF(LEFT(E75,2)&lt;&gt;LEFT(C75,2),"КПП: код региона не совпадает с ИНН",""))))</f>
        <v/>
      </c>
      <c r="N75" s="24" t="str">
        <f aca="false">IF(TRIM(C75)="","",IF(COUNTIF($C$2:$C$401,C75)&gt;1,"Дубликат ИНН в реестре",""))</f>
        <v/>
      </c>
      <c r="O75" s="24" t="str">
        <f aca="false">IF(TRIM(H75)="","Email не указан",IF(AND(ISNUMBER(FIND("@",H75)),ISNUMBER(FIND(".",H75,IFERROR(FIND("@",H75),1))),ISERROR(FIND(" ",H75)),LEFT(H75,1)&lt;&gt;"@",RIGHT(H75,1)&lt;&gt;".",LEN(H75)-LEN(SUBSTITUTE(H75,"@",""))=1),"","Email: неверный формат"))</f>
        <v/>
      </c>
      <c r="P75" s="24" t="str">
        <f aca="false">IF(TRIM(I75)="","Телефон не указан",IF(AND(LEN(SUBSTITUTE(SUBSTITUTE(SUBSTITUTE(SUBSTITUTE(SUBSTITUTE(I75," ",""),"-",""),"(",""),")",""),"+",""))=11,OR(LEFT(SUBSTITUTE(SUBSTITUTE(SUBSTITUTE(SUBSTITUTE(SUBSTITUTE(I75," ",""),"-",""),"(",""),")",""),"+",""),1)="7",LEFT(SUBSTITUTE(SUBSTITUTE(SUBSTITUTE(SUBSTITUTE(SUBSTITUTE(I75," ",""),"-",""),"(",""),")",""),"+",""),1)="8"),ISNUMBER(IFERROR(VALUE(SUBSTITUTE(SUBSTITUTE(SUBSTITUTE(SUBSTITUTE(SUBSTITUTE(I75," ",""),"-",""),"(",""),")",""),"+","")),"x"))),"","Телефон: неверный формат"))</f>
        <v/>
      </c>
      <c r="Q75" s="24" t="str">
        <f aca="false">TRIM(IF(TRIM(B75)="","Нет наименования. ","")&amp;IF(TRIM(F75)="","Нет адреса. ","")&amp;IF(TRIM(G75)="","Нет контактного лица.",""))</f>
        <v/>
      </c>
      <c r="R75" s="21" t="n">
        <f aca="false">SUMPRODUCT(--(LEN(K75:Q75)&gt;0))</f>
        <v>0</v>
      </c>
      <c r="S75" s="24" t="str">
        <f aca="false">IF(R75=0,"Готово к передаче","Требует исправления")</f>
        <v>Готово к передаче</v>
      </c>
      <c r="T75" s="24" t="str">
        <f aca="false">IF(R75=0,"",_xlfn.TEXTJOIN("; ",TRUE(),K75:Q75))</f>
        <v/>
      </c>
      <c r="U75" s="24" t="str">
        <f aca="false">IF(R75=0,"","Здравствуйте! В данных организации «"&amp;B75&amp;"» обнаружены ошибки: "&amp;T75&amp;". Просим проверить и прислать исправленную информацию.")</f>
        <v/>
      </c>
      <c r="V75" s="21" t="str">
        <f aca="false">IF(R75&gt;0,COUNTIF($R$2:R75,"&gt;0"),"")</f>
        <v/>
      </c>
      <c r="W75" s="21" t="n">
        <f aca="false">IF(R75=0,COUNTIF($R$2:R75,0),"")</f>
        <v>45</v>
      </c>
    </row>
    <row r="76" customFormat="false" ht="15" hidden="false" customHeight="false" outlineLevel="0" collapsed="false">
      <c r="A76" s="21" t="n">
        <v>75</v>
      </c>
      <c r="B76" s="22" t="s">
        <v>669</v>
      </c>
      <c r="C76" s="23" t="s">
        <v>670</v>
      </c>
      <c r="D76" s="23" t="s">
        <v>671</v>
      </c>
      <c r="E76" s="23" t="s">
        <v>672</v>
      </c>
      <c r="F76" s="22"/>
      <c r="G76" s="22" t="s">
        <v>673</v>
      </c>
      <c r="H76" s="22" t="s">
        <v>674</v>
      </c>
      <c r="I76" s="23" t="s">
        <v>675</v>
      </c>
      <c r="J76" s="24" t="str">
        <f aca="false">IFERROR(VLOOKUP(VALUE(LEFT(C76,2)),Справочники!$A$2:$B$16,2,FALSE()),"не определён")</f>
        <v>г. Севастополь</v>
      </c>
      <c r="K76" s="24" t="str">
        <f aca="false">IF(TRIM(C76)="","ИНН не указан",IF(LEN(C76)&lt;&gt;10,"ИНН: должно быть 10 цифр",IF(NOT(ISNUMBER(IFERROR(VALUE(C76),"x"))),"ИНН: есть нецифровые символы",IF(MOD(MOD(SUMPRODUCT(--MID(C76,{1,2,3,4,5,6,7,8,9},1),{2,4,10,3,5,9,4,6,8}),11),10)=VALUE(RIGHT(C76,1)),"","ИНН: неверная контрольная цифра"))))</f>
        <v/>
      </c>
      <c r="L76" s="24" t="str">
        <f aca="false">IF(TRIM(D76)="","ОГРН не указан",IF(LEN(D76)&lt;&gt;13,"ОГРН: должно быть 13 цифр",IF(NOT(ISNUMBER(IFERROR(VALUE(D76),"x"))),"ОГРН: есть нецифровые символы",IF(MOD(VALUE(LEFT(D76,12))-11*INT(VALUE(LEFT(D76,12))/11),10)=VALUE(RIGHT(D76,1)),"","ОГРН: неверная контрольная цифра"))))</f>
        <v/>
      </c>
      <c r="M76" s="24" t="str">
        <f aca="false">IF(TRIM(E76)="","КПП не указан",IF(LEN(E76)&lt;&gt;9,"КПП: должно быть 9 знаков",IF(NOT(AND(ISNUMBER(IFERROR(VALUE(LEFT(E76,4)),"x")),ISNUMBER(IFERROR(VALUE(RIGHT(E76,3)),"x")))),"КПП: неверный формат",IF(LEFT(E76,2)&lt;&gt;LEFT(C76,2),"КПП: код региона не совпадает с ИНН",""))))</f>
        <v/>
      </c>
      <c r="N76" s="24" t="str">
        <f aca="false">IF(TRIM(C76)="","",IF(COUNTIF($C$2:$C$401,C76)&gt;1,"Дубликат ИНН в реестре",""))</f>
        <v>Дубликат ИНН в реестре</v>
      </c>
      <c r="O76" s="24" t="str">
        <f aca="false">IF(TRIM(H76)="","Email не указан",IF(AND(ISNUMBER(FIND("@",H76)),ISNUMBER(FIND(".",H76,IFERROR(FIND("@",H76),1))),ISERROR(FIND(" ",H76)),LEFT(H76,1)&lt;&gt;"@",RIGHT(H76,1)&lt;&gt;".",LEN(H76)-LEN(SUBSTITUTE(H76,"@",""))=1),"","Email: неверный формат"))</f>
        <v/>
      </c>
      <c r="P76" s="24" t="str">
        <f aca="false">IF(TRIM(I76)="","Телефон не указан",IF(AND(LEN(SUBSTITUTE(SUBSTITUTE(SUBSTITUTE(SUBSTITUTE(SUBSTITUTE(I76," ",""),"-",""),"(",""),")",""),"+",""))=11,OR(LEFT(SUBSTITUTE(SUBSTITUTE(SUBSTITUTE(SUBSTITUTE(SUBSTITUTE(I76," ",""),"-",""),"(",""),")",""),"+",""),1)="7",LEFT(SUBSTITUTE(SUBSTITUTE(SUBSTITUTE(SUBSTITUTE(SUBSTITUTE(I76," ",""),"-",""),"(",""),")",""),"+",""),1)="8"),ISNUMBER(IFERROR(VALUE(SUBSTITUTE(SUBSTITUTE(SUBSTITUTE(SUBSTITUTE(SUBSTITUTE(I76," ",""),"-",""),"(",""),")",""),"+","")),"x"))),"","Телефон: неверный формат"))</f>
        <v/>
      </c>
      <c r="Q76" s="24" t="str">
        <f aca="false">TRIM(IF(TRIM(B76)="","Нет наименования. ","")&amp;IF(TRIM(F76)="","Нет адреса. ","")&amp;IF(TRIM(G76)="","Нет контактного лица.",""))</f>
        <v>Нет адреса.</v>
      </c>
      <c r="R76" s="21" t="n">
        <f aca="false">SUMPRODUCT(--(LEN(K76:Q76)&gt;0))</f>
        <v>2</v>
      </c>
      <c r="S76" s="24" t="str">
        <f aca="false">IF(R76=0,"Готово к передаче","Требует исправления")</f>
        <v>Требует исправления</v>
      </c>
      <c r="T76" s="24" t="str">
        <f aca="false">IF(R76=0,"",_xlfn.TEXTJOIN("; ",TRUE(),K76:Q76))</f>
        <v>Дубликат ИНН в реестре; Нет адреса.</v>
      </c>
      <c r="U76" s="24" t="str">
        <f aca="false">IF(R76=0,"","Здравствуйте! В данных организации «"&amp;B76&amp;"» обнаружены ошибки: "&amp;T76&amp;". Просим проверить и прислать исправленную информацию.")</f>
        <v>Здравствуйте! В данных организации «АО «Дельта Групп»» обнаружены ошибки: Дубликат ИНН в реестре; Нет адреса.. Просим проверить и прислать исправленную информацию.</v>
      </c>
      <c r="V76" s="21" t="n">
        <f aca="false">IF(R76&gt;0,COUNTIF($R$2:R76,"&gt;0"),"")</f>
        <v>30</v>
      </c>
      <c r="W76" s="21" t="str">
        <f aca="false">IF(R76=0,COUNTIF($R$2:R76,0),"")</f>
        <v/>
      </c>
    </row>
    <row r="77" customFormat="false" ht="15" hidden="false" customHeight="false" outlineLevel="0" collapsed="false">
      <c r="A77" s="21" t="n">
        <v>76</v>
      </c>
      <c r="B77" s="22" t="s">
        <v>676</v>
      </c>
      <c r="C77" s="23" t="s">
        <v>677</v>
      </c>
      <c r="D77" s="23" t="s">
        <v>678</v>
      </c>
      <c r="E77" s="23" t="s">
        <v>564</v>
      </c>
      <c r="F77" s="22" t="s">
        <v>679</v>
      </c>
      <c r="G77" s="22" t="s">
        <v>680</v>
      </c>
      <c r="H77" s="22" t="s">
        <v>681</v>
      </c>
      <c r="I77" s="23" t="s">
        <v>682</v>
      </c>
      <c r="J77" s="24" t="str">
        <f aca="false">IFERROR(VLOOKUP(VALUE(LEFT(C77,2)),Справочники!$A$2:$B$16,2,FALSE()),"не определён")</f>
        <v>г. Москва</v>
      </c>
      <c r="K77" s="24" t="str">
        <f aca="false">IF(TRIM(C77)="","ИНН не указан",IF(LEN(C77)&lt;&gt;10,"ИНН: должно быть 10 цифр",IF(NOT(ISNUMBER(IFERROR(VALUE(C77),"x"))),"ИНН: есть нецифровые символы",IF(MOD(MOD(SUMPRODUCT(--MID(C77,{1,2,3,4,5,6,7,8,9},1),{2,4,10,3,5,9,4,6,8}),11),10)=VALUE(RIGHT(C77,1)),"","ИНН: неверная контрольная цифра"))))</f>
        <v/>
      </c>
      <c r="L77" s="24" t="str">
        <f aca="false">IF(TRIM(D77)="","ОГРН не указан",IF(LEN(D77)&lt;&gt;13,"ОГРН: должно быть 13 цифр",IF(NOT(ISNUMBER(IFERROR(VALUE(D77),"x"))),"ОГРН: есть нецифровые символы",IF(MOD(VALUE(LEFT(D77,12))-11*INT(VALUE(LEFT(D77,12))/11),10)=VALUE(RIGHT(D77,1)),"","ОГРН: неверная контрольная цифра"))))</f>
        <v/>
      </c>
      <c r="M77" s="24" t="str">
        <f aca="false">IF(TRIM(E77)="","КПП не указан",IF(LEN(E77)&lt;&gt;9,"КПП: должно быть 9 знаков",IF(NOT(AND(ISNUMBER(IFERROR(VALUE(LEFT(E77,4)),"x")),ISNUMBER(IFERROR(VALUE(RIGHT(E77,3)),"x")))),"КПП: неверный формат",IF(LEFT(E77,2)&lt;&gt;LEFT(C77,2),"КПП: код региона не совпадает с ИНН",""))))</f>
        <v/>
      </c>
      <c r="N77" s="24" t="str">
        <f aca="false">IF(TRIM(C77)="","",IF(COUNTIF($C$2:$C$401,C77)&gt;1,"Дубликат ИНН в реестре",""))</f>
        <v/>
      </c>
      <c r="O77" s="24" t="str">
        <f aca="false">IF(TRIM(H77)="","Email не указан",IF(AND(ISNUMBER(FIND("@",H77)),ISNUMBER(FIND(".",H77,IFERROR(FIND("@",H77),1))),ISERROR(FIND(" ",H77)),LEFT(H77,1)&lt;&gt;"@",RIGHT(H77,1)&lt;&gt;".",LEN(H77)-LEN(SUBSTITUTE(H77,"@",""))=1),"","Email: неверный формат"))</f>
        <v/>
      </c>
      <c r="P77" s="24" t="str">
        <f aca="false">IF(TRIM(I77)="","Телефон не указан",IF(AND(LEN(SUBSTITUTE(SUBSTITUTE(SUBSTITUTE(SUBSTITUTE(SUBSTITUTE(I77," ",""),"-",""),"(",""),")",""),"+",""))=11,OR(LEFT(SUBSTITUTE(SUBSTITUTE(SUBSTITUTE(SUBSTITUTE(SUBSTITUTE(I77," ",""),"-",""),"(",""),")",""),"+",""),1)="7",LEFT(SUBSTITUTE(SUBSTITUTE(SUBSTITUTE(SUBSTITUTE(SUBSTITUTE(I77," ",""),"-",""),"(",""),")",""),"+",""),1)="8"),ISNUMBER(IFERROR(VALUE(SUBSTITUTE(SUBSTITUTE(SUBSTITUTE(SUBSTITUTE(SUBSTITUTE(I77," ",""),"-",""),"(",""),")",""),"+","")),"x"))),"","Телефон: неверный формат"))</f>
        <v/>
      </c>
      <c r="Q77" s="24" t="str">
        <f aca="false">TRIM(IF(TRIM(B77)="","Нет наименования. ","")&amp;IF(TRIM(F77)="","Нет адреса. ","")&amp;IF(TRIM(G77)="","Нет контактного лица.",""))</f>
        <v/>
      </c>
      <c r="R77" s="21" t="n">
        <f aca="false">SUMPRODUCT(--(LEN(K77:Q77)&gt;0))</f>
        <v>0</v>
      </c>
      <c r="S77" s="24" t="str">
        <f aca="false">IF(R77=0,"Готово к передаче","Требует исправления")</f>
        <v>Готово к передаче</v>
      </c>
      <c r="T77" s="24" t="str">
        <f aca="false">IF(R77=0,"",_xlfn.TEXTJOIN("; ",TRUE(),K77:Q77))</f>
        <v/>
      </c>
      <c r="U77" s="24" t="str">
        <f aca="false">IF(R77=0,"","Здравствуйте! В данных организации «"&amp;B77&amp;"» обнаружены ошибки: "&amp;T77&amp;". Просим проверить и прислать исправленную информацию.")</f>
        <v/>
      </c>
      <c r="V77" s="21" t="str">
        <f aca="false">IF(R77&gt;0,COUNTIF($R$2:R77,"&gt;0"),"")</f>
        <v/>
      </c>
      <c r="W77" s="21" t="n">
        <f aca="false">IF(R77=0,COUNTIF($R$2:R77,0),"")</f>
        <v>46</v>
      </c>
    </row>
    <row r="78" customFormat="false" ht="15" hidden="false" customHeight="false" outlineLevel="0" collapsed="false">
      <c r="A78" s="21" t="n">
        <v>77</v>
      </c>
      <c r="B78" s="22" t="s">
        <v>683</v>
      </c>
      <c r="C78" s="23" t="s">
        <v>466</v>
      </c>
      <c r="D78" s="23" t="s">
        <v>684</v>
      </c>
      <c r="E78" s="23" t="s">
        <v>685</v>
      </c>
      <c r="F78" s="22" t="s">
        <v>686</v>
      </c>
      <c r="G78" s="22" t="s">
        <v>687</v>
      </c>
      <c r="H78" s="22" t="s">
        <v>688</v>
      </c>
      <c r="I78" s="23" t="s">
        <v>689</v>
      </c>
      <c r="J78" s="24" t="str">
        <f aca="false">IFERROR(VLOOKUP(VALUE(LEFT(C78,2)),Справочники!$A$2:$B$16,2,FALSE()),"не определён")</f>
        <v>Московская область</v>
      </c>
      <c r="K78" s="24" t="str">
        <f aca="false">IF(TRIM(C78)="","ИНН не указан",IF(LEN(C78)&lt;&gt;10,"ИНН: должно быть 10 цифр",IF(NOT(ISNUMBER(IFERROR(VALUE(C78),"x"))),"ИНН: есть нецифровые символы",IF(MOD(MOD(SUMPRODUCT(--MID(C78,{1,2,3,4,5,6,7,8,9},1),{2,4,10,3,5,9,4,6,8}),11),10)=VALUE(RIGHT(C78,1)),"","ИНН: неверная контрольная цифра"))))</f>
        <v/>
      </c>
      <c r="L78" s="24" t="str">
        <f aca="false">IF(TRIM(D78)="","ОГРН не указан",IF(LEN(D78)&lt;&gt;13,"ОГРН: должно быть 13 цифр",IF(NOT(ISNUMBER(IFERROR(VALUE(D78),"x"))),"ОГРН: есть нецифровые символы",IF(MOD(VALUE(LEFT(D78,12))-11*INT(VALUE(LEFT(D78,12))/11),10)=VALUE(RIGHT(D78,1)),"","ОГРН: неверная контрольная цифра"))))</f>
        <v/>
      </c>
      <c r="M78" s="24" t="str">
        <f aca="false">IF(TRIM(E78)="","КПП не указан",IF(LEN(E78)&lt;&gt;9,"КПП: должно быть 9 знаков",IF(NOT(AND(ISNUMBER(IFERROR(VALUE(LEFT(E78,4)),"x")),ISNUMBER(IFERROR(VALUE(RIGHT(E78,3)),"x")))),"КПП: неверный формат",IF(LEFT(E78,2)&lt;&gt;LEFT(C78,2),"КПП: код региона не совпадает с ИНН",""))))</f>
        <v/>
      </c>
      <c r="N78" s="24" t="str">
        <f aca="false">IF(TRIM(C78)="","",IF(COUNTIF($C$2:$C$401,C78)&gt;1,"Дубликат ИНН в реестре",""))</f>
        <v>Дубликат ИНН в реестре</v>
      </c>
      <c r="O78" s="24" t="str">
        <f aca="false">IF(TRIM(H78)="","Email не указан",IF(AND(ISNUMBER(FIND("@",H78)),ISNUMBER(FIND(".",H78,IFERROR(FIND("@",H78),1))),ISERROR(FIND(" ",H78)),LEFT(H78,1)&lt;&gt;"@",RIGHT(H78,1)&lt;&gt;".",LEN(H78)-LEN(SUBSTITUTE(H78,"@",""))=1),"","Email: неверный формат"))</f>
        <v/>
      </c>
      <c r="P78" s="24" t="str">
        <f aca="false">IF(TRIM(I78)="","Телефон не указан",IF(AND(LEN(SUBSTITUTE(SUBSTITUTE(SUBSTITUTE(SUBSTITUTE(SUBSTITUTE(I78," ",""),"-",""),"(",""),")",""),"+",""))=11,OR(LEFT(SUBSTITUTE(SUBSTITUTE(SUBSTITUTE(SUBSTITUTE(SUBSTITUTE(I78," ",""),"-",""),"(",""),")",""),"+",""),1)="7",LEFT(SUBSTITUTE(SUBSTITUTE(SUBSTITUTE(SUBSTITUTE(SUBSTITUTE(I78," ",""),"-",""),"(",""),")",""),"+",""),1)="8"),ISNUMBER(IFERROR(VALUE(SUBSTITUTE(SUBSTITUTE(SUBSTITUTE(SUBSTITUTE(SUBSTITUTE(I78," ",""),"-",""),"(",""),")",""),"+","")),"x"))),"","Телефон: неверный формат"))</f>
        <v/>
      </c>
      <c r="Q78" s="24" t="str">
        <f aca="false">TRIM(IF(TRIM(B78)="","Нет наименования. ","")&amp;IF(TRIM(F78)="","Нет адреса. ","")&amp;IF(TRIM(G78)="","Нет контактного лица.",""))</f>
        <v/>
      </c>
      <c r="R78" s="21" t="n">
        <f aca="false">SUMPRODUCT(--(LEN(K78:Q78)&gt;0))</f>
        <v>1</v>
      </c>
      <c r="S78" s="24" t="str">
        <f aca="false">IF(R78=0,"Готово к передаче","Требует исправления")</f>
        <v>Требует исправления</v>
      </c>
      <c r="T78" s="24" t="str">
        <f aca="false">IF(R78=0,"",_xlfn.TEXTJOIN("; ",TRUE(),K78:Q78))</f>
        <v>Дубликат ИНН в реестре</v>
      </c>
      <c r="U78" s="24" t="str">
        <f aca="false">IF(R78=0,"","Здравствуйте! В данных организации «"&amp;B78&amp;"» обнаружены ошибки: "&amp;T78&amp;". Просим проверить и прислать исправленную информацию.")</f>
        <v>Здравствуйте! В данных организации «АО «Импульс Энерго»» обнаружены ошибки: Дубликат ИНН в реестре. Просим проверить и прислать исправленную информацию.</v>
      </c>
      <c r="V78" s="21" t="n">
        <f aca="false">IF(R78&gt;0,COUNTIF($R$2:R78,"&gt;0"),"")</f>
        <v>31</v>
      </c>
      <c r="W78" s="21" t="str">
        <f aca="false">IF(R78=0,COUNTIF($R$2:R78,0),"")</f>
        <v/>
      </c>
    </row>
    <row r="79" customFormat="false" ht="15" hidden="false" customHeight="false" outlineLevel="0" collapsed="false">
      <c r="A79" s="21" t="n">
        <v>78</v>
      </c>
      <c r="B79" s="22" t="s">
        <v>690</v>
      </c>
      <c r="C79" s="23" t="s">
        <v>691</v>
      </c>
      <c r="D79" s="23" t="s">
        <v>692</v>
      </c>
      <c r="E79" s="23" t="s">
        <v>693</v>
      </c>
      <c r="F79" s="22" t="s">
        <v>694</v>
      </c>
      <c r="G79" s="22" t="s">
        <v>695</v>
      </c>
      <c r="H79" s="22" t="s">
        <v>696</v>
      </c>
      <c r="I79" s="23" t="s">
        <v>697</v>
      </c>
      <c r="J79" s="24" t="str">
        <f aca="false">IFERROR(VLOOKUP(VALUE(LEFT(C79,2)),Справочники!$A$2:$B$16,2,FALSE()),"не определён")</f>
        <v>Краснодарский край</v>
      </c>
      <c r="K79" s="24" t="str">
        <f aca="false">IF(TRIM(C79)="","ИНН не указан",IF(LEN(C79)&lt;&gt;10,"ИНН: должно быть 10 цифр",IF(NOT(ISNUMBER(IFERROR(VALUE(C79),"x"))),"ИНН: есть нецифровые символы",IF(MOD(MOD(SUMPRODUCT(--MID(C79,{1,2,3,4,5,6,7,8,9},1),{2,4,10,3,5,9,4,6,8}),11),10)=VALUE(RIGHT(C79,1)),"","ИНН: неверная контрольная цифра"))))</f>
        <v/>
      </c>
      <c r="L79" s="24" t="str">
        <f aca="false">IF(TRIM(D79)="","ОГРН не указан",IF(LEN(D79)&lt;&gt;13,"ОГРН: должно быть 13 цифр",IF(NOT(ISNUMBER(IFERROR(VALUE(D79),"x"))),"ОГРН: есть нецифровые символы",IF(MOD(VALUE(LEFT(D79,12))-11*INT(VALUE(LEFT(D79,12))/11),10)=VALUE(RIGHT(D79,1)),"","ОГРН: неверная контрольная цифра"))))</f>
        <v/>
      </c>
      <c r="M79" s="24" t="str">
        <f aca="false">IF(TRIM(E79)="","КПП не указан",IF(LEN(E79)&lt;&gt;9,"КПП: должно быть 9 знаков",IF(NOT(AND(ISNUMBER(IFERROR(VALUE(LEFT(E79,4)),"x")),ISNUMBER(IFERROR(VALUE(RIGHT(E79,3)),"x")))),"КПП: неверный формат",IF(LEFT(E79,2)&lt;&gt;LEFT(C79,2),"КПП: код региона не совпадает с ИНН",""))))</f>
        <v/>
      </c>
      <c r="N79" s="24" t="str">
        <f aca="false">IF(TRIM(C79)="","",IF(COUNTIF($C$2:$C$401,C79)&gt;1,"Дубликат ИНН в реестре",""))</f>
        <v/>
      </c>
      <c r="O79" s="24" t="str">
        <f aca="false">IF(TRIM(H79)="","Email не указан",IF(AND(ISNUMBER(FIND("@",H79)),ISNUMBER(FIND(".",H79,IFERROR(FIND("@",H79),1))),ISERROR(FIND(" ",H79)),LEFT(H79,1)&lt;&gt;"@",RIGHT(H79,1)&lt;&gt;".",LEN(H79)-LEN(SUBSTITUTE(H79,"@",""))=1),"","Email: неверный формат"))</f>
        <v/>
      </c>
      <c r="P79" s="24" t="str">
        <f aca="false">IF(TRIM(I79)="","Телефон не указан",IF(AND(LEN(SUBSTITUTE(SUBSTITUTE(SUBSTITUTE(SUBSTITUTE(SUBSTITUTE(I79," ",""),"-",""),"(",""),")",""),"+",""))=11,OR(LEFT(SUBSTITUTE(SUBSTITUTE(SUBSTITUTE(SUBSTITUTE(SUBSTITUTE(I79," ",""),"-",""),"(",""),")",""),"+",""),1)="7",LEFT(SUBSTITUTE(SUBSTITUTE(SUBSTITUTE(SUBSTITUTE(SUBSTITUTE(I79," ",""),"-",""),"(",""),")",""),"+",""),1)="8"),ISNUMBER(IFERROR(VALUE(SUBSTITUTE(SUBSTITUTE(SUBSTITUTE(SUBSTITUTE(SUBSTITUTE(I79," ",""),"-",""),"(",""),")",""),"+","")),"x"))),"","Телефон: неверный формат"))</f>
        <v/>
      </c>
      <c r="Q79" s="24" t="str">
        <f aca="false">TRIM(IF(TRIM(B79)="","Нет наименования. ","")&amp;IF(TRIM(F79)="","Нет адреса. ","")&amp;IF(TRIM(G79)="","Нет контактного лица.",""))</f>
        <v/>
      </c>
      <c r="R79" s="21" t="n">
        <f aca="false">SUMPRODUCT(--(LEN(K79:Q79)&gt;0))</f>
        <v>0</v>
      </c>
      <c r="S79" s="24" t="str">
        <f aca="false">IF(R79=0,"Готово к передаче","Требует исправления")</f>
        <v>Готово к передаче</v>
      </c>
      <c r="T79" s="24" t="str">
        <f aca="false">IF(R79=0,"",_xlfn.TEXTJOIN("; ",TRUE(),K79:Q79))</f>
        <v/>
      </c>
      <c r="U79" s="24" t="str">
        <f aca="false">IF(R79=0,"","Здравствуйте! В данных организации «"&amp;B79&amp;"» обнаружены ошибки: "&amp;T79&amp;". Просим проверить и прислать исправленную информацию.")</f>
        <v/>
      </c>
      <c r="V79" s="21" t="str">
        <f aca="false">IF(R79&gt;0,COUNTIF($R$2:R79,"&gt;0"),"")</f>
        <v/>
      </c>
      <c r="W79" s="21" t="n">
        <f aca="false">IF(R79=0,COUNTIF($R$2:R79,0),"")</f>
        <v>47</v>
      </c>
    </row>
    <row r="80" customFormat="false" ht="15" hidden="false" customHeight="false" outlineLevel="0" collapsed="false">
      <c r="A80" s="21" t="n">
        <v>79</v>
      </c>
      <c r="B80" s="22" t="s">
        <v>698</v>
      </c>
      <c r="C80" s="23" t="s">
        <v>699</v>
      </c>
      <c r="D80" s="23" t="s">
        <v>700</v>
      </c>
      <c r="E80" s="23" t="s">
        <v>701</v>
      </c>
      <c r="F80" s="22" t="s">
        <v>702</v>
      </c>
      <c r="G80" s="22" t="s">
        <v>703</v>
      </c>
      <c r="H80" s="22" t="s">
        <v>704</v>
      </c>
      <c r="I80" s="23" t="s">
        <v>705</v>
      </c>
      <c r="J80" s="24" t="str">
        <f aca="false">IFERROR(VLOOKUP(VALUE(LEFT(C80,2)),Справочники!$A$2:$B$16,2,FALSE()),"не определён")</f>
        <v>Самарская область</v>
      </c>
      <c r="K80" s="24" t="str">
        <f aca="false">IF(TRIM(C80)="","ИНН не указан",IF(LEN(C80)&lt;&gt;10,"ИНН: должно быть 10 цифр",IF(NOT(ISNUMBER(IFERROR(VALUE(C80),"x"))),"ИНН: есть нецифровые символы",IF(MOD(MOD(SUMPRODUCT(--MID(C80,{1,2,3,4,5,6,7,8,9},1),{2,4,10,3,5,9,4,6,8}),11),10)=VALUE(RIGHT(C80,1)),"","ИНН: неверная контрольная цифра"))))</f>
        <v/>
      </c>
      <c r="L80" s="24" t="str">
        <f aca="false">IF(TRIM(D80)="","ОГРН не указан",IF(LEN(D80)&lt;&gt;13,"ОГРН: должно быть 13 цифр",IF(NOT(ISNUMBER(IFERROR(VALUE(D80),"x"))),"ОГРН: есть нецифровые символы",IF(MOD(VALUE(LEFT(D80,12))-11*INT(VALUE(LEFT(D80,12))/11),10)=VALUE(RIGHT(D80,1)),"","ОГРН: неверная контрольная цифра"))))</f>
        <v/>
      </c>
      <c r="M80" s="24" t="str">
        <f aca="false">IF(TRIM(E80)="","КПП не указан",IF(LEN(E80)&lt;&gt;9,"КПП: должно быть 9 знаков",IF(NOT(AND(ISNUMBER(IFERROR(VALUE(LEFT(E80,4)),"x")),ISNUMBER(IFERROR(VALUE(RIGHT(E80,3)),"x")))),"КПП: неверный формат",IF(LEFT(E80,2)&lt;&gt;LEFT(C80,2),"КПП: код региона не совпадает с ИНН",""))))</f>
        <v/>
      </c>
      <c r="N80" s="24" t="str">
        <f aca="false">IF(TRIM(C80)="","",IF(COUNTIF($C$2:$C$401,C80)&gt;1,"Дубликат ИНН в реестре",""))</f>
        <v/>
      </c>
      <c r="O80" s="24" t="str">
        <f aca="false">IF(TRIM(H80)="","Email не указан",IF(AND(ISNUMBER(FIND("@",H80)),ISNUMBER(FIND(".",H80,IFERROR(FIND("@",H80),1))),ISERROR(FIND(" ",H80)),LEFT(H80,1)&lt;&gt;"@",RIGHT(H80,1)&lt;&gt;".",LEN(H80)-LEN(SUBSTITUTE(H80,"@",""))=1),"","Email: неверный формат"))</f>
        <v/>
      </c>
      <c r="P80" s="24" t="str">
        <f aca="false">IF(TRIM(I80)="","Телефон не указан",IF(AND(LEN(SUBSTITUTE(SUBSTITUTE(SUBSTITUTE(SUBSTITUTE(SUBSTITUTE(I80," ",""),"-",""),"(",""),")",""),"+",""))=11,OR(LEFT(SUBSTITUTE(SUBSTITUTE(SUBSTITUTE(SUBSTITUTE(SUBSTITUTE(I80," ",""),"-",""),"(",""),")",""),"+",""),1)="7",LEFT(SUBSTITUTE(SUBSTITUTE(SUBSTITUTE(SUBSTITUTE(SUBSTITUTE(I80," ",""),"-",""),"(",""),")",""),"+",""),1)="8"),ISNUMBER(IFERROR(VALUE(SUBSTITUTE(SUBSTITUTE(SUBSTITUTE(SUBSTITUTE(SUBSTITUTE(I80," ",""),"-",""),"(",""),")",""),"+","")),"x"))),"","Телефон: неверный формат"))</f>
        <v/>
      </c>
      <c r="Q80" s="24" t="str">
        <f aca="false">TRIM(IF(TRIM(B80)="","Нет наименования. ","")&amp;IF(TRIM(F80)="","Нет адреса. ","")&amp;IF(TRIM(G80)="","Нет контактного лица.",""))</f>
        <v/>
      </c>
      <c r="R80" s="21" t="n">
        <f aca="false">SUMPRODUCT(--(LEN(K80:Q80)&gt;0))</f>
        <v>0</v>
      </c>
      <c r="S80" s="24" t="str">
        <f aca="false">IF(R80=0,"Готово к передаче","Требует исправления")</f>
        <v>Готово к передаче</v>
      </c>
      <c r="T80" s="24" t="str">
        <f aca="false">IF(R80=0,"",_xlfn.TEXTJOIN("; ",TRUE(),K80:Q80))</f>
        <v/>
      </c>
      <c r="U80" s="24" t="str">
        <f aca="false">IF(R80=0,"","Здравствуйте! В данных организации «"&amp;B80&amp;"» обнаружены ошибки: "&amp;T80&amp;". Просим проверить и прислать исправленную информацию.")</f>
        <v/>
      </c>
      <c r="V80" s="21" t="str">
        <f aca="false">IF(R80&gt;0,COUNTIF($R$2:R80,"&gt;0"),"")</f>
        <v/>
      </c>
      <c r="W80" s="21" t="n">
        <f aca="false">IF(R80=0,COUNTIF($R$2:R80,0),"")</f>
        <v>48</v>
      </c>
    </row>
    <row r="81" customFormat="false" ht="15" hidden="false" customHeight="false" outlineLevel="0" collapsed="false">
      <c r="A81" s="21" t="n">
        <v>80</v>
      </c>
      <c r="B81" s="22" t="s">
        <v>706</v>
      </c>
      <c r="C81" s="23" t="s">
        <v>707</v>
      </c>
      <c r="D81" s="23" t="s">
        <v>708</v>
      </c>
      <c r="E81" s="23" t="s">
        <v>709</v>
      </c>
      <c r="F81" s="22" t="s">
        <v>710</v>
      </c>
      <c r="G81" s="22" t="s">
        <v>711</v>
      </c>
      <c r="H81" s="22" t="s">
        <v>712</v>
      </c>
      <c r="I81" s="23" t="s">
        <v>713</v>
      </c>
      <c r="J81" s="24" t="str">
        <f aca="false">IFERROR(VLOOKUP(VALUE(LEFT(C81,2)),Справочники!$A$2:$B$16,2,FALSE()),"не определён")</f>
        <v>г. Санкт-Петербург</v>
      </c>
      <c r="K81" s="24" t="str">
        <f aca="false">IF(TRIM(C81)="","ИНН не указан",IF(LEN(C81)&lt;&gt;10,"ИНН: должно быть 10 цифр",IF(NOT(ISNUMBER(IFERROR(VALUE(C81),"x"))),"ИНН: есть нецифровые символы",IF(MOD(MOD(SUMPRODUCT(--MID(C81,{1,2,3,4,5,6,7,8,9},1),{2,4,10,3,5,9,4,6,8}),11),10)=VALUE(RIGHT(C81,1)),"","ИНН: неверная контрольная цифра"))))</f>
        <v/>
      </c>
      <c r="L81" s="24" t="str">
        <f aca="false">IF(TRIM(D81)="","ОГРН не указан",IF(LEN(D81)&lt;&gt;13,"ОГРН: должно быть 13 цифр",IF(NOT(ISNUMBER(IFERROR(VALUE(D81),"x"))),"ОГРН: есть нецифровые символы",IF(MOD(VALUE(LEFT(D81,12))-11*INT(VALUE(LEFT(D81,12))/11),10)=VALUE(RIGHT(D81,1)),"","ОГРН: неверная контрольная цифра"))))</f>
        <v>ОГРН: неверная контрольная цифра</v>
      </c>
      <c r="M81" s="24" t="str">
        <f aca="false">IF(TRIM(E81)="","КПП не указан",IF(LEN(E81)&lt;&gt;9,"КПП: должно быть 9 знаков",IF(NOT(AND(ISNUMBER(IFERROR(VALUE(LEFT(E81,4)),"x")),ISNUMBER(IFERROR(VALUE(RIGHT(E81,3)),"x")))),"КПП: неверный формат",IF(LEFT(E81,2)&lt;&gt;LEFT(C81,2),"КПП: код региона не совпадает с ИНН",""))))</f>
        <v/>
      </c>
      <c r="N81" s="24" t="str">
        <f aca="false">IF(TRIM(C81)="","",IF(COUNTIF($C$2:$C$401,C81)&gt;1,"Дубликат ИНН в реестре",""))</f>
        <v/>
      </c>
      <c r="O81" s="24" t="str">
        <f aca="false">IF(TRIM(H81)="","Email не указан",IF(AND(ISNUMBER(FIND("@",H81)),ISNUMBER(FIND(".",H81,IFERROR(FIND("@",H81),1))),ISERROR(FIND(" ",H81)),LEFT(H81,1)&lt;&gt;"@",RIGHT(H81,1)&lt;&gt;".",LEN(H81)-LEN(SUBSTITUTE(H81,"@",""))=1),"","Email: неверный формат"))</f>
        <v/>
      </c>
      <c r="P81" s="24" t="str">
        <f aca="false">IF(TRIM(I81)="","Телефон не указан",IF(AND(LEN(SUBSTITUTE(SUBSTITUTE(SUBSTITUTE(SUBSTITUTE(SUBSTITUTE(I81," ",""),"-",""),"(",""),")",""),"+",""))=11,OR(LEFT(SUBSTITUTE(SUBSTITUTE(SUBSTITUTE(SUBSTITUTE(SUBSTITUTE(I81," ",""),"-",""),"(",""),")",""),"+",""),1)="7",LEFT(SUBSTITUTE(SUBSTITUTE(SUBSTITUTE(SUBSTITUTE(SUBSTITUTE(I81," ",""),"-",""),"(",""),")",""),"+",""),1)="8"),ISNUMBER(IFERROR(VALUE(SUBSTITUTE(SUBSTITUTE(SUBSTITUTE(SUBSTITUTE(SUBSTITUTE(I81," ",""),"-",""),"(",""),")",""),"+","")),"x"))),"","Телефон: неверный формат"))</f>
        <v/>
      </c>
      <c r="Q81" s="24" t="str">
        <f aca="false">TRIM(IF(TRIM(B81)="","Нет наименования. ","")&amp;IF(TRIM(F81)="","Нет адреса. ","")&amp;IF(TRIM(G81)="","Нет контактного лица.",""))</f>
        <v/>
      </c>
      <c r="R81" s="21" t="n">
        <f aca="false">SUMPRODUCT(--(LEN(K81:Q81)&gt;0))</f>
        <v>1</v>
      </c>
      <c r="S81" s="24" t="str">
        <f aca="false">IF(R81=0,"Готово к передаче","Требует исправления")</f>
        <v>Требует исправления</v>
      </c>
      <c r="T81" s="24" t="str">
        <f aca="false">IF(R81=0,"",_xlfn.TEXTJOIN("; ",TRUE(),K81:Q81))</f>
        <v>ОГРН: неверная контрольная цифра</v>
      </c>
      <c r="U81" s="24" t="str">
        <f aca="false">IF(R81=0,"","Здравствуйте! В данных организации «"&amp;B81&amp;"» обнаружены ошибки: "&amp;T81&amp;". Просим проверить и прислать исправленную информацию.")</f>
        <v>Здравствуйте! В данных организации «АО «Навигатор Стандарт»» обнаружены ошибки: ОГРН: неверная контрольная цифра. Просим проверить и прислать исправленную информацию.</v>
      </c>
      <c r="V81" s="21" t="n">
        <f aca="false">IF(R81&gt;0,COUNTIF($R$2:R81,"&gt;0"),"")</f>
        <v>32</v>
      </c>
      <c r="W81" s="21" t="str">
        <f aca="false">IF(R81=0,COUNTIF($R$2:R81,0),"")</f>
        <v/>
      </c>
    </row>
    <row r="82" customFormat="false" ht="15" hidden="false" customHeight="false" outlineLevel="0" collapsed="false">
      <c r="A82" s="21" t="n">
        <v>81</v>
      </c>
      <c r="B82" s="22" t="s">
        <v>714</v>
      </c>
      <c r="C82" s="23" t="s">
        <v>715</v>
      </c>
      <c r="D82" s="23" t="s">
        <v>716</v>
      </c>
      <c r="E82" s="23" t="s">
        <v>717</v>
      </c>
      <c r="F82" s="22" t="s">
        <v>718</v>
      </c>
      <c r="G82" s="22" t="s">
        <v>719</v>
      </c>
      <c r="H82" s="22" t="s">
        <v>720</v>
      </c>
      <c r="I82" s="23" t="s">
        <v>721</v>
      </c>
      <c r="J82" s="24" t="str">
        <f aca="false">IFERROR(VLOOKUP(VALUE(LEFT(C82,2)),Справочники!$A$2:$B$16,2,FALSE()),"не определён")</f>
        <v>Красноярский край</v>
      </c>
      <c r="K82" s="24" t="str">
        <f aca="false">IF(TRIM(C82)="","ИНН не указан",IF(LEN(C82)&lt;&gt;10,"ИНН: должно быть 10 цифр",IF(NOT(ISNUMBER(IFERROR(VALUE(C82),"x"))),"ИНН: есть нецифровые символы",IF(MOD(MOD(SUMPRODUCT(--MID(C82,{1,2,3,4,5,6,7,8,9},1),{2,4,10,3,5,9,4,6,8}),11),10)=VALUE(RIGHT(C82,1)),"","ИНН: неверная контрольная цифра"))))</f>
        <v/>
      </c>
      <c r="L82" s="24" t="str">
        <f aca="false">IF(TRIM(D82)="","ОГРН не указан",IF(LEN(D82)&lt;&gt;13,"ОГРН: должно быть 13 цифр",IF(NOT(ISNUMBER(IFERROR(VALUE(D82),"x"))),"ОГРН: есть нецифровые символы",IF(MOD(VALUE(LEFT(D82,12))-11*INT(VALUE(LEFT(D82,12))/11),10)=VALUE(RIGHT(D82,1)),"","ОГРН: неверная контрольная цифра"))))</f>
        <v/>
      </c>
      <c r="M82" s="24" t="str">
        <f aca="false">IF(TRIM(E82)="","КПП не указан",IF(LEN(E82)&lt;&gt;9,"КПП: должно быть 9 знаков",IF(NOT(AND(ISNUMBER(IFERROR(VALUE(LEFT(E82,4)),"x")),ISNUMBER(IFERROR(VALUE(RIGHT(E82,3)),"x")))),"КПП: неверный формат",IF(LEFT(E82,2)&lt;&gt;LEFT(C82,2),"КПП: код региона не совпадает с ИНН",""))))</f>
        <v/>
      </c>
      <c r="N82" s="24" t="str">
        <f aca="false">IF(TRIM(C82)="","",IF(COUNTIF($C$2:$C$401,C82)&gt;1,"Дубликат ИНН в реестре",""))</f>
        <v/>
      </c>
      <c r="O82" s="24" t="str">
        <f aca="false">IF(TRIM(H82)="","Email не указан",IF(AND(ISNUMBER(FIND("@",H82)),ISNUMBER(FIND(".",H82,IFERROR(FIND("@",H82),1))),ISERROR(FIND(" ",H82)),LEFT(H82,1)&lt;&gt;"@",RIGHT(H82,1)&lt;&gt;".",LEN(H82)-LEN(SUBSTITUTE(H82,"@",""))=1),"","Email: неверный формат"))</f>
        <v/>
      </c>
      <c r="P82" s="24" t="str">
        <f aca="false">IF(TRIM(I82)="","Телефон не указан",IF(AND(LEN(SUBSTITUTE(SUBSTITUTE(SUBSTITUTE(SUBSTITUTE(SUBSTITUTE(I82," ",""),"-",""),"(",""),")",""),"+",""))=11,OR(LEFT(SUBSTITUTE(SUBSTITUTE(SUBSTITUTE(SUBSTITUTE(SUBSTITUTE(I82," ",""),"-",""),"(",""),")",""),"+",""),1)="7",LEFT(SUBSTITUTE(SUBSTITUTE(SUBSTITUTE(SUBSTITUTE(SUBSTITUTE(I82," ",""),"-",""),"(",""),")",""),"+",""),1)="8"),ISNUMBER(IFERROR(VALUE(SUBSTITUTE(SUBSTITUTE(SUBSTITUTE(SUBSTITUTE(SUBSTITUTE(I82," ",""),"-",""),"(",""),")",""),"+","")),"x"))),"","Телефон: неверный формат"))</f>
        <v/>
      </c>
      <c r="Q82" s="24" t="str">
        <f aca="false">TRIM(IF(TRIM(B82)="","Нет наименования. ","")&amp;IF(TRIM(F82)="","Нет адреса. ","")&amp;IF(TRIM(G82)="","Нет контактного лица.",""))</f>
        <v/>
      </c>
      <c r="R82" s="21" t="n">
        <f aca="false">SUMPRODUCT(--(LEN(K82:Q82)&gt;0))</f>
        <v>0</v>
      </c>
      <c r="S82" s="24" t="str">
        <f aca="false">IF(R82=0,"Готово к передаче","Требует исправления")</f>
        <v>Готово к передаче</v>
      </c>
      <c r="T82" s="24" t="str">
        <f aca="false">IF(R82=0,"",_xlfn.TEXTJOIN("; ",TRUE(),K82:Q82))</f>
        <v/>
      </c>
      <c r="U82" s="24" t="str">
        <f aca="false">IF(R82=0,"","Здравствуйте! В данных организации «"&amp;B82&amp;"» обнаружены ошибки: "&amp;T82&amp;". Просим проверить и прислать исправленную информацию.")</f>
        <v/>
      </c>
      <c r="V82" s="21" t="str">
        <f aca="false">IF(R82&gt;0,COUNTIF($R$2:R82,"&gt;0"),"")</f>
        <v/>
      </c>
      <c r="W82" s="21" t="n">
        <f aca="false">IF(R82=0,COUNTIF($R$2:R82,0),"")</f>
        <v>49</v>
      </c>
    </row>
    <row r="83" customFormat="false" ht="15" hidden="false" customHeight="false" outlineLevel="0" collapsed="false">
      <c r="A83" s="21" t="n">
        <v>82</v>
      </c>
      <c r="B83" s="22" t="s">
        <v>722</v>
      </c>
      <c r="C83" s="23" t="s">
        <v>723</v>
      </c>
      <c r="D83" s="23" t="s">
        <v>724</v>
      </c>
      <c r="E83" s="23" t="s">
        <v>725</v>
      </c>
      <c r="F83" s="22" t="s">
        <v>726</v>
      </c>
      <c r="G83" s="22" t="s">
        <v>727</v>
      </c>
      <c r="H83" s="22" t="s">
        <v>728</v>
      </c>
      <c r="I83" s="23" t="s">
        <v>729</v>
      </c>
      <c r="J83" s="24" t="str">
        <f aca="false">IFERROR(VLOOKUP(VALUE(LEFT(C83,2)),Справочники!$A$2:$B$16,2,FALSE()),"не определён")</f>
        <v>Ростовская область</v>
      </c>
      <c r="K83" s="24" t="str">
        <f aca="false">IF(TRIM(C83)="","ИНН не указан",IF(LEN(C83)&lt;&gt;10,"ИНН: должно быть 10 цифр",IF(NOT(ISNUMBER(IFERROR(VALUE(C83),"x"))),"ИНН: есть нецифровые символы",IF(MOD(MOD(SUMPRODUCT(--MID(C83,{1,2,3,4,5,6,7,8,9},1),{2,4,10,3,5,9,4,6,8}),11),10)=VALUE(RIGHT(C83,1)),"","ИНН: неверная контрольная цифра"))))</f>
        <v/>
      </c>
      <c r="L83" s="24" t="str">
        <f aca="false">IF(TRIM(D83)="","ОГРН не указан",IF(LEN(D83)&lt;&gt;13,"ОГРН: должно быть 13 цифр",IF(NOT(ISNUMBER(IFERROR(VALUE(D83),"x"))),"ОГРН: есть нецифровые символы",IF(MOD(VALUE(LEFT(D83,12))-11*INT(VALUE(LEFT(D83,12))/11),10)=VALUE(RIGHT(D83,1)),"","ОГРН: неверная контрольная цифра"))))</f>
        <v/>
      </c>
      <c r="M83" s="24" t="str">
        <f aca="false">IF(TRIM(E83)="","КПП не указан",IF(LEN(E83)&lt;&gt;9,"КПП: должно быть 9 знаков",IF(NOT(AND(ISNUMBER(IFERROR(VALUE(LEFT(E83,4)),"x")),ISNUMBER(IFERROR(VALUE(RIGHT(E83,3)),"x")))),"КПП: неверный формат",IF(LEFT(E83,2)&lt;&gt;LEFT(C83,2),"КПП: код региона не совпадает с ИНН",""))))</f>
        <v/>
      </c>
      <c r="N83" s="24" t="str">
        <f aca="false">IF(TRIM(C83)="","",IF(COUNTIF($C$2:$C$401,C83)&gt;1,"Дубликат ИНН в реестре",""))</f>
        <v/>
      </c>
      <c r="O83" s="24" t="str">
        <f aca="false">IF(TRIM(H83)="","Email не указан",IF(AND(ISNUMBER(FIND("@",H83)),ISNUMBER(FIND(".",H83,IFERROR(FIND("@",H83),1))),ISERROR(FIND(" ",H83)),LEFT(H83,1)&lt;&gt;"@",RIGHT(H83,1)&lt;&gt;".",LEN(H83)-LEN(SUBSTITUTE(H83,"@",""))=1),"","Email: неверный формат"))</f>
        <v/>
      </c>
      <c r="P83" s="24" t="str">
        <f aca="false">IF(TRIM(I83)="","Телефон не указан",IF(AND(LEN(SUBSTITUTE(SUBSTITUTE(SUBSTITUTE(SUBSTITUTE(SUBSTITUTE(I83," ",""),"-",""),"(",""),")",""),"+",""))=11,OR(LEFT(SUBSTITUTE(SUBSTITUTE(SUBSTITUTE(SUBSTITUTE(SUBSTITUTE(I83," ",""),"-",""),"(",""),")",""),"+",""),1)="7",LEFT(SUBSTITUTE(SUBSTITUTE(SUBSTITUTE(SUBSTITUTE(SUBSTITUTE(I83," ",""),"-",""),"(",""),")",""),"+",""),1)="8"),ISNUMBER(IFERROR(VALUE(SUBSTITUTE(SUBSTITUTE(SUBSTITUTE(SUBSTITUTE(SUBSTITUTE(I83," ",""),"-",""),"(",""),")",""),"+","")),"x"))),"","Телефон: неверный формат"))</f>
        <v/>
      </c>
      <c r="Q83" s="24" t="str">
        <f aca="false">TRIM(IF(TRIM(B83)="","Нет наименования. ","")&amp;IF(TRIM(F83)="","Нет адреса. ","")&amp;IF(TRIM(G83)="","Нет контактного лица.",""))</f>
        <v/>
      </c>
      <c r="R83" s="21" t="n">
        <f aca="false">SUMPRODUCT(--(LEN(K83:Q83)&gt;0))</f>
        <v>0</v>
      </c>
      <c r="S83" s="24" t="str">
        <f aca="false">IF(R83=0,"Готово к передаче","Требует исправления")</f>
        <v>Готово к передаче</v>
      </c>
      <c r="T83" s="24" t="str">
        <f aca="false">IF(R83=0,"",_xlfn.TEXTJOIN("; ",TRUE(),K83:Q83))</f>
        <v/>
      </c>
      <c r="U83" s="24" t="str">
        <f aca="false">IF(R83=0,"","Здравствуйте! В данных организации «"&amp;B83&amp;"» обнаружены ошибки: "&amp;T83&amp;". Просим проверить и прислать исправленную информацию.")</f>
        <v/>
      </c>
      <c r="V83" s="21" t="str">
        <f aca="false">IF(R83&gt;0,COUNTIF($R$2:R83,"&gt;0"),"")</f>
        <v/>
      </c>
      <c r="W83" s="21" t="n">
        <f aca="false">IF(R83=0,COUNTIF($R$2:R83,0),"")</f>
        <v>50</v>
      </c>
    </row>
    <row r="84" customFormat="false" ht="15" hidden="false" customHeight="false" outlineLevel="0" collapsed="false">
      <c r="A84" s="21" t="n">
        <v>83</v>
      </c>
      <c r="B84" s="22" t="s">
        <v>730</v>
      </c>
      <c r="C84" s="23" t="s">
        <v>731</v>
      </c>
      <c r="D84" s="23" t="s">
        <v>732</v>
      </c>
      <c r="E84" s="23" t="s">
        <v>733</v>
      </c>
      <c r="F84" s="22" t="s">
        <v>734</v>
      </c>
      <c r="G84" s="22" t="s">
        <v>735</v>
      </c>
      <c r="H84" s="22" t="s">
        <v>736</v>
      </c>
      <c r="I84" s="23" t="s">
        <v>737</v>
      </c>
      <c r="J84" s="24" t="str">
        <f aca="false">IFERROR(VLOOKUP(VALUE(LEFT(C84,2)),Справочники!$A$2:$B$16,2,FALSE()),"не определён")</f>
        <v>г. Севастополь</v>
      </c>
      <c r="K84" s="24" t="str">
        <f aca="false">IF(TRIM(C84)="","ИНН не указан",IF(LEN(C84)&lt;&gt;10,"ИНН: должно быть 10 цифр",IF(NOT(ISNUMBER(IFERROR(VALUE(C84),"x"))),"ИНН: есть нецифровые символы",IF(MOD(MOD(SUMPRODUCT(--MID(C84,{1,2,3,4,5,6,7,8,9},1),{2,4,10,3,5,9,4,6,8}),11),10)=VALUE(RIGHT(C84,1)),"","ИНН: неверная контрольная цифра"))))</f>
        <v/>
      </c>
      <c r="L84" s="24" t="str">
        <f aca="false">IF(TRIM(D84)="","ОГРН не указан",IF(LEN(D84)&lt;&gt;13,"ОГРН: должно быть 13 цифр",IF(NOT(ISNUMBER(IFERROR(VALUE(D84),"x"))),"ОГРН: есть нецифровые символы",IF(MOD(VALUE(LEFT(D84,12))-11*INT(VALUE(LEFT(D84,12))/11),10)=VALUE(RIGHT(D84,1)),"","ОГРН: неверная контрольная цифра"))))</f>
        <v/>
      </c>
      <c r="M84" s="24" t="str">
        <f aca="false">IF(TRIM(E84)="","КПП не указан",IF(LEN(E84)&lt;&gt;9,"КПП: должно быть 9 знаков",IF(NOT(AND(ISNUMBER(IFERROR(VALUE(LEFT(E84,4)),"x")),ISNUMBER(IFERROR(VALUE(RIGHT(E84,3)),"x")))),"КПП: неверный формат",IF(LEFT(E84,2)&lt;&gt;LEFT(C84,2),"КПП: код региона не совпадает с ИНН",""))))</f>
        <v/>
      </c>
      <c r="N84" s="24" t="str">
        <f aca="false">IF(TRIM(C84)="","",IF(COUNTIF($C$2:$C$401,C84)&gt;1,"Дубликат ИНН в реестре",""))</f>
        <v/>
      </c>
      <c r="O84" s="24" t="str">
        <f aca="false">IF(TRIM(H84)="","Email не указан",IF(AND(ISNUMBER(FIND("@",H84)),ISNUMBER(FIND(".",H84,IFERROR(FIND("@",H84),1))),ISERROR(FIND(" ",H84)),LEFT(H84,1)&lt;&gt;"@",RIGHT(H84,1)&lt;&gt;".",LEN(H84)-LEN(SUBSTITUTE(H84,"@",""))=1),"","Email: неверный формат"))</f>
        <v/>
      </c>
      <c r="P84" s="24" t="str">
        <f aca="false">IF(TRIM(I84)="","Телефон не указан",IF(AND(LEN(SUBSTITUTE(SUBSTITUTE(SUBSTITUTE(SUBSTITUTE(SUBSTITUTE(I84," ",""),"-",""),"(",""),")",""),"+",""))=11,OR(LEFT(SUBSTITUTE(SUBSTITUTE(SUBSTITUTE(SUBSTITUTE(SUBSTITUTE(I84," ",""),"-",""),"(",""),")",""),"+",""),1)="7",LEFT(SUBSTITUTE(SUBSTITUTE(SUBSTITUTE(SUBSTITUTE(SUBSTITUTE(I84," ",""),"-",""),"(",""),")",""),"+",""),1)="8"),ISNUMBER(IFERROR(VALUE(SUBSTITUTE(SUBSTITUTE(SUBSTITUTE(SUBSTITUTE(SUBSTITUTE(I84," ",""),"-",""),"(",""),")",""),"+","")),"x"))),"","Телефон: неверный формат"))</f>
        <v/>
      </c>
      <c r="Q84" s="24" t="str">
        <f aca="false">TRIM(IF(TRIM(B84)="","Нет наименования. ","")&amp;IF(TRIM(F84)="","Нет адреса. ","")&amp;IF(TRIM(G84)="","Нет контактного лица.",""))</f>
        <v/>
      </c>
      <c r="R84" s="21" t="n">
        <f aca="false">SUMPRODUCT(--(LEN(K84:Q84)&gt;0))</f>
        <v>0</v>
      </c>
      <c r="S84" s="24" t="str">
        <f aca="false">IF(R84=0,"Готово к передаче","Требует исправления")</f>
        <v>Готово к передаче</v>
      </c>
      <c r="T84" s="24" t="str">
        <f aca="false">IF(R84=0,"",_xlfn.TEXTJOIN("; ",TRUE(),K84:Q84))</f>
        <v/>
      </c>
      <c r="U84" s="24" t="str">
        <f aca="false">IF(R84=0,"","Здравствуйте! В данных организации «"&amp;B84&amp;"» обнаружены ошибки: "&amp;T84&amp;". Просим проверить и прислать исправленную информацию.")</f>
        <v/>
      </c>
      <c r="V84" s="21" t="str">
        <f aca="false">IF(R84&gt;0,COUNTIF($R$2:R84,"&gt;0"),"")</f>
        <v/>
      </c>
      <c r="W84" s="21" t="n">
        <f aca="false">IF(R84=0,COUNTIF($R$2:R84,0),"")</f>
        <v>51</v>
      </c>
    </row>
    <row r="85" customFormat="false" ht="15" hidden="false" customHeight="false" outlineLevel="0" collapsed="false">
      <c r="A85" s="21" t="n">
        <v>84</v>
      </c>
      <c r="B85" s="22" t="s">
        <v>738</v>
      </c>
      <c r="C85" s="23" t="s">
        <v>260</v>
      </c>
      <c r="D85" s="23" t="s">
        <v>739</v>
      </c>
      <c r="E85" s="23" t="s">
        <v>740</v>
      </c>
      <c r="F85" s="22" t="s">
        <v>741</v>
      </c>
      <c r="G85" s="22" t="s">
        <v>742</v>
      </c>
      <c r="H85" s="22" t="s">
        <v>743</v>
      </c>
      <c r="I85" s="23" t="s">
        <v>744</v>
      </c>
      <c r="J85" s="24" t="str">
        <f aca="false">IFERROR(VLOOKUP(VALUE(LEFT(C85,2)),Справочники!$A$2:$B$16,2,FALSE()),"не определён")</f>
        <v>Республика Татарстан</v>
      </c>
      <c r="K85" s="24" t="str">
        <f aca="false">IF(TRIM(C85)="","ИНН не указан",IF(LEN(C85)&lt;&gt;10,"ИНН: должно быть 10 цифр",IF(NOT(ISNUMBER(IFERROR(VALUE(C85),"x"))),"ИНН: есть нецифровые символы",IF(MOD(MOD(SUMPRODUCT(--MID(C85,{1,2,3,4,5,6,7,8,9},1),{2,4,10,3,5,9,4,6,8}),11),10)=VALUE(RIGHT(C85,1)),"","ИНН: неверная контрольная цифра"))))</f>
        <v/>
      </c>
      <c r="L85" s="24" t="str">
        <f aca="false">IF(TRIM(D85)="","ОГРН не указан",IF(LEN(D85)&lt;&gt;13,"ОГРН: должно быть 13 цифр",IF(NOT(ISNUMBER(IFERROR(VALUE(D85),"x"))),"ОГРН: есть нецифровые символы",IF(MOD(VALUE(LEFT(D85,12))-11*INT(VALUE(LEFT(D85,12))/11),10)=VALUE(RIGHT(D85,1)),"","ОГРН: неверная контрольная цифра"))))</f>
        <v/>
      </c>
      <c r="M85" s="24" t="str">
        <f aca="false">IF(TRIM(E85)="","КПП не указан",IF(LEN(E85)&lt;&gt;9,"КПП: должно быть 9 знаков",IF(NOT(AND(ISNUMBER(IFERROR(VALUE(LEFT(E85,4)),"x")),ISNUMBER(IFERROR(VALUE(RIGHT(E85,3)),"x")))),"КПП: неверный формат",IF(LEFT(E85,2)&lt;&gt;LEFT(C85,2),"КПП: код региона не совпадает с ИНН",""))))</f>
        <v/>
      </c>
      <c r="N85" s="24" t="str">
        <f aca="false">IF(TRIM(C85)="","",IF(COUNTIF($C$2:$C$401,C85)&gt;1,"Дубликат ИНН в реестре",""))</f>
        <v>Дубликат ИНН в реестре</v>
      </c>
      <c r="O85" s="24" t="str">
        <f aca="false">IF(TRIM(H85)="","Email не указан",IF(AND(ISNUMBER(FIND("@",H85)),ISNUMBER(FIND(".",H85,IFERROR(FIND("@",H85),1))),ISERROR(FIND(" ",H85)),LEFT(H85,1)&lt;&gt;"@",RIGHT(H85,1)&lt;&gt;".",LEN(H85)-LEN(SUBSTITUTE(H85,"@",""))=1),"","Email: неверный формат"))</f>
        <v/>
      </c>
      <c r="P85" s="24" t="str">
        <f aca="false">IF(TRIM(I85)="","Телефон не указан",IF(AND(LEN(SUBSTITUTE(SUBSTITUTE(SUBSTITUTE(SUBSTITUTE(SUBSTITUTE(I85," ",""),"-",""),"(",""),")",""),"+",""))=11,OR(LEFT(SUBSTITUTE(SUBSTITUTE(SUBSTITUTE(SUBSTITUTE(SUBSTITUTE(I85," ",""),"-",""),"(",""),")",""),"+",""),1)="7",LEFT(SUBSTITUTE(SUBSTITUTE(SUBSTITUTE(SUBSTITUTE(SUBSTITUTE(I85," ",""),"-",""),"(",""),")",""),"+",""),1)="8"),ISNUMBER(IFERROR(VALUE(SUBSTITUTE(SUBSTITUTE(SUBSTITUTE(SUBSTITUTE(SUBSTITUTE(I85," ",""),"-",""),"(",""),")",""),"+","")),"x"))),"","Телефон: неверный формат"))</f>
        <v>Телефон: неверный формат</v>
      </c>
      <c r="Q85" s="24" t="str">
        <f aca="false">TRIM(IF(TRIM(B85)="","Нет наименования. ","")&amp;IF(TRIM(F85)="","Нет адреса. ","")&amp;IF(TRIM(G85)="","Нет контактного лица.",""))</f>
        <v/>
      </c>
      <c r="R85" s="21" t="n">
        <f aca="false">SUMPRODUCT(--(LEN(K85:Q85)&gt;0))</f>
        <v>2</v>
      </c>
      <c r="S85" s="24" t="str">
        <f aca="false">IF(R85=0,"Готово к передаче","Требует исправления")</f>
        <v>Требует исправления</v>
      </c>
      <c r="T85" s="24" t="str">
        <f aca="false">IF(R85=0,"",_xlfn.TEXTJOIN("; ",TRUE(),K85:Q85))</f>
        <v>Дубликат ИНН в реестре; Телефон: неверный формат</v>
      </c>
      <c r="U85" s="24" t="str">
        <f aca="false">IF(R85=0,"","Здравствуйте! В данных организации «"&amp;B85&amp;"» обнаружены ошибки: "&amp;T85&amp;". Просим проверить и прислать исправленную информацию.")</f>
        <v>Здравствуйте! В данных организации «ООО «Линия Фуд»» обнаружены ошибки: Дубликат ИНН в реестре; Телефон: неверный формат. Просим проверить и прислать исправленную информацию.</v>
      </c>
      <c r="V85" s="21" t="n">
        <f aca="false">IF(R85&gt;0,COUNTIF($R$2:R85,"&gt;0"),"")</f>
        <v>33</v>
      </c>
      <c r="W85" s="21" t="str">
        <f aca="false">IF(R85=0,COUNTIF($R$2:R85,0),"")</f>
        <v/>
      </c>
    </row>
    <row r="86" customFormat="false" ht="15" hidden="false" customHeight="false" outlineLevel="0" collapsed="false">
      <c r="A86" s="21" t="n">
        <v>85</v>
      </c>
      <c r="B86" s="22" t="s">
        <v>745</v>
      </c>
      <c r="C86" s="23" t="s">
        <v>746</v>
      </c>
      <c r="D86" s="23" t="s">
        <v>747</v>
      </c>
      <c r="E86" s="23" t="s">
        <v>748</v>
      </c>
      <c r="F86" s="22" t="s">
        <v>749</v>
      </c>
      <c r="G86" s="22" t="s">
        <v>750</v>
      </c>
      <c r="H86" s="22" t="s">
        <v>751</v>
      </c>
      <c r="I86" s="23" t="s">
        <v>752</v>
      </c>
      <c r="J86" s="24" t="str">
        <f aca="false">IFERROR(VLOOKUP(VALUE(LEFT(C86,2)),Справочники!$A$2:$B$16,2,FALSE()),"не определён")</f>
        <v>г. Москва</v>
      </c>
      <c r="K86" s="24" t="str">
        <f aca="false">IF(TRIM(C86)="","ИНН не указан",IF(LEN(C86)&lt;&gt;10,"ИНН: должно быть 10 цифр",IF(NOT(ISNUMBER(IFERROR(VALUE(C86),"x"))),"ИНН: есть нецифровые символы",IF(MOD(MOD(SUMPRODUCT(--MID(C86,{1,2,3,4,5,6,7,8,9},1),{2,4,10,3,5,9,4,6,8}),11),10)=VALUE(RIGHT(C86,1)),"","ИНН: неверная контрольная цифра"))))</f>
        <v/>
      </c>
      <c r="L86" s="24" t="str">
        <f aca="false">IF(TRIM(D86)="","ОГРН не указан",IF(LEN(D86)&lt;&gt;13,"ОГРН: должно быть 13 цифр",IF(NOT(ISNUMBER(IFERROR(VALUE(D86),"x"))),"ОГРН: есть нецифровые символы",IF(MOD(VALUE(LEFT(D86,12))-11*INT(VALUE(LEFT(D86,12))/11),10)=VALUE(RIGHT(D86,1)),"","ОГРН: неверная контрольная цифра"))))</f>
        <v/>
      </c>
      <c r="M86" s="24" t="str">
        <f aca="false">IF(TRIM(E86)="","КПП не указан",IF(LEN(E86)&lt;&gt;9,"КПП: должно быть 9 знаков",IF(NOT(AND(ISNUMBER(IFERROR(VALUE(LEFT(E86,4)),"x")),ISNUMBER(IFERROR(VALUE(RIGHT(E86,3)),"x")))),"КПП: неверный формат",IF(LEFT(E86,2)&lt;&gt;LEFT(C86,2),"КПП: код региона не совпадает с ИНН",""))))</f>
        <v/>
      </c>
      <c r="N86" s="24" t="str">
        <f aca="false">IF(TRIM(C86)="","",IF(COUNTIF($C$2:$C$401,C86)&gt;1,"Дубликат ИНН в реестре",""))</f>
        <v/>
      </c>
      <c r="O86" s="24" t="str">
        <f aca="false">IF(TRIM(H86)="","Email не указан",IF(AND(ISNUMBER(FIND("@",H86)),ISNUMBER(FIND(".",H86,IFERROR(FIND("@",H86),1))),ISERROR(FIND(" ",H86)),LEFT(H86,1)&lt;&gt;"@",RIGHT(H86,1)&lt;&gt;".",LEN(H86)-LEN(SUBSTITUTE(H86,"@",""))=1),"","Email: неверный формат"))</f>
        <v/>
      </c>
      <c r="P86" s="24" t="str">
        <f aca="false">IF(TRIM(I86)="","Телефон не указан",IF(AND(LEN(SUBSTITUTE(SUBSTITUTE(SUBSTITUTE(SUBSTITUTE(SUBSTITUTE(I86," ",""),"-",""),"(",""),")",""),"+",""))=11,OR(LEFT(SUBSTITUTE(SUBSTITUTE(SUBSTITUTE(SUBSTITUTE(SUBSTITUTE(I86," ",""),"-",""),"(",""),")",""),"+",""),1)="7",LEFT(SUBSTITUTE(SUBSTITUTE(SUBSTITUTE(SUBSTITUTE(SUBSTITUTE(I86," ",""),"-",""),"(",""),")",""),"+",""),1)="8"),ISNUMBER(IFERROR(VALUE(SUBSTITUTE(SUBSTITUTE(SUBSTITUTE(SUBSTITUTE(SUBSTITUTE(I86," ",""),"-",""),"(",""),")",""),"+","")),"x"))),"","Телефон: неверный формат"))</f>
        <v/>
      </c>
      <c r="Q86" s="24" t="str">
        <f aca="false">TRIM(IF(TRIM(B86)="","Нет наименования. ","")&amp;IF(TRIM(F86)="","Нет адреса. ","")&amp;IF(TRIM(G86)="","Нет контактного лица.",""))</f>
        <v/>
      </c>
      <c r="R86" s="21" t="n">
        <f aca="false">SUMPRODUCT(--(LEN(K86:Q86)&gt;0))</f>
        <v>0</v>
      </c>
      <c r="S86" s="24" t="str">
        <f aca="false">IF(R86=0,"Готово к передаче","Требует исправления")</f>
        <v>Готово к передаче</v>
      </c>
      <c r="T86" s="24" t="str">
        <f aca="false">IF(R86=0,"",_xlfn.TEXTJOIN("; ",TRUE(),K86:Q86))</f>
        <v/>
      </c>
      <c r="U86" s="24" t="str">
        <f aca="false">IF(R86=0,"","Здравствуйте! В данных организации «"&amp;B86&amp;"» обнаружены ошибки: "&amp;T86&amp;". Просим проверить и прислать исправленную информацию.")</f>
        <v/>
      </c>
      <c r="V86" s="21" t="str">
        <f aca="false">IF(R86&gt;0,COUNTIF($R$2:R86,"&gt;0"),"")</f>
        <v/>
      </c>
      <c r="W86" s="21" t="n">
        <f aca="false">IF(R86=0,COUNTIF($R$2:R86,0),"")</f>
        <v>52</v>
      </c>
    </row>
    <row r="87" customFormat="false" ht="15" hidden="false" customHeight="false" outlineLevel="0" collapsed="false">
      <c r="A87" s="21" t="n">
        <v>86</v>
      </c>
      <c r="B87" s="22" t="s">
        <v>753</v>
      </c>
      <c r="C87" s="23" t="s">
        <v>754</v>
      </c>
      <c r="D87" s="23" t="s">
        <v>755</v>
      </c>
      <c r="E87" s="23" t="s">
        <v>756</v>
      </c>
      <c r="F87" s="22" t="s">
        <v>757</v>
      </c>
      <c r="G87" s="22" t="s">
        <v>758</v>
      </c>
      <c r="H87" s="22" t="s">
        <v>759</v>
      </c>
      <c r="I87" s="23" t="s">
        <v>760</v>
      </c>
      <c r="J87" s="24" t="str">
        <f aca="false">IFERROR(VLOOKUP(VALUE(LEFT(C87,2)),Справочники!$A$2:$B$16,2,FALSE()),"не определён")</f>
        <v>г. Москва</v>
      </c>
      <c r="K87" s="24" t="str">
        <f aca="false">IF(TRIM(C87)="","ИНН не указан",IF(LEN(C87)&lt;&gt;10,"ИНН: должно быть 10 цифр",IF(NOT(ISNUMBER(IFERROR(VALUE(C87),"x"))),"ИНН: есть нецифровые символы",IF(MOD(MOD(SUMPRODUCT(--MID(C87,{1,2,3,4,5,6,7,8,9},1),{2,4,10,3,5,9,4,6,8}),11),10)=VALUE(RIGHT(C87,1)),"","ИНН: неверная контрольная цифра"))))</f>
        <v/>
      </c>
      <c r="L87" s="24" t="str">
        <f aca="false">IF(TRIM(D87)="","ОГРН не указан",IF(LEN(D87)&lt;&gt;13,"ОГРН: должно быть 13 цифр",IF(NOT(ISNUMBER(IFERROR(VALUE(D87),"x"))),"ОГРН: есть нецифровые символы",IF(MOD(VALUE(LEFT(D87,12))-11*INT(VALUE(LEFT(D87,12))/11),10)=VALUE(RIGHT(D87,1)),"","ОГРН: неверная контрольная цифра"))))</f>
        <v/>
      </c>
      <c r="M87" s="24" t="str">
        <f aca="false">IF(TRIM(E87)="","КПП не указан",IF(LEN(E87)&lt;&gt;9,"КПП: должно быть 9 знаков",IF(NOT(AND(ISNUMBER(IFERROR(VALUE(LEFT(E87,4)),"x")),ISNUMBER(IFERROR(VALUE(RIGHT(E87,3)),"x")))),"КПП: неверный формат",IF(LEFT(E87,2)&lt;&gt;LEFT(C87,2),"КПП: код региона не совпадает с ИНН",""))))</f>
        <v>КПП: неверный формат</v>
      </c>
      <c r="N87" s="24" t="str">
        <f aca="false">IF(TRIM(C87)="","",IF(COUNTIF($C$2:$C$401,C87)&gt;1,"Дубликат ИНН в реестре",""))</f>
        <v/>
      </c>
      <c r="O87" s="24" t="str">
        <f aca="false">IF(TRIM(H87)="","Email не указан",IF(AND(ISNUMBER(FIND("@",H87)),ISNUMBER(FIND(".",H87,IFERROR(FIND("@",H87),1))),ISERROR(FIND(" ",H87)),LEFT(H87,1)&lt;&gt;"@",RIGHT(H87,1)&lt;&gt;".",LEN(H87)-LEN(SUBSTITUTE(H87,"@",""))=1),"","Email: неверный формат"))</f>
        <v/>
      </c>
      <c r="P87" s="24" t="str">
        <f aca="false">IF(TRIM(I87)="","Телефон не указан",IF(AND(LEN(SUBSTITUTE(SUBSTITUTE(SUBSTITUTE(SUBSTITUTE(SUBSTITUTE(I87," ",""),"-",""),"(",""),")",""),"+",""))=11,OR(LEFT(SUBSTITUTE(SUBSTITUTE(SUBSTITUTE(SUBSTITUTE(SUBSTITUTE(I87," ",""),"-",""),"(",""),")",""),"+",""),1)="7",LEFT(SUBSTITUTE(SUBSTITUTE(SUBSTITUTE(SUBSTITUTE(SUBSTITUTE(I87," ",""),"-",""),"(",""),")",""),"+",""),1)="8"),ISNUMBER(IFERROR(VALUE(SUBSTITUTE(SUBSTITUTE(SUBSTITUTE(SUBSTITUTE(SUBSTITUTE(I87," ",""),"-",""),"(",""),")",""),"+","")),"x"))),"","Телефон: неверный формат"))</f>
        <v/>
      </c>
      <c r="Q87" s="24" t="str">
        <f aca="false">TRIM(IF(TRIM(B87)="","Нет наименования. ","")&amp;IF(TRIM(F87)="","Нет адреса. ","")&amp;IF(TRIM(G87)="","Нет контактного лица.",""))</f>
        <v/>
      </c>
      <c r="R87" s="21" t="n">
        <f aca="false">SUMPRODUCT(--(LEN(K87:Q87)&gt;0))</f>
        <v>1</v>
      </c>
      <c r="S87" s="24" t="str">
        <f aca="false">IF(R87=0,"Готово к передаче","Требует исправления")</f>
        <v>Требует исправления</v>
      </c>
      <c r="T87" s="24" t="str">
        <f aca="false">IF(R87=0,"",_xlfn.TEXTJOIN("; ",TRUE(),K87:Q87))</f>
        <v>КПП: неверный формат</v>
      </c>
      <c r="U87" s="24" t="str">
        <f aca="false">IF(R87=0,"","Здравствуйте! В данных организации «"&amp;B87&amp;"» обнаружены ошибки: "&amp;T87&amp;". Просим проверить и прислать исправленную информацию.")</f>
        <v>Здравствуйте! В данных организации «ООО «Берег Торг»» обнаружены ошибки: КПП: неверный формат. Просим проверить и прислать исправленную информацию.</v>
      </c>
      <c r="V87" s="21" t="n">
        <f aca="false">IF(R87&gt;0,COUNTIF($R$2:R87,"&gt;0"),"")</f>
        <v>34</v>
      </c>
      <c r="W87" s="21" t="str">
        <f aca="false">IF(R87=0,COUNTIF($R$2:R87,0),"")</f>
        <v/>
      </c>
    </row>
    <row r="88" customFormat="false" ht="15" hidden="false" customHeight="false" outlineLevel="0" collapsed="false">
      <c r="A88" s="21" t="n">
        <v>87</v>
      </c>
      <c r="B88" s="22" t="s">
        <v>761</v>
      </c>
      <c r="C88" s="23" t="s">
        <v>762</v>
      </c>
      <c r="D88" s="23" t="s">
        <v>763</v>
      </c>
      <c r="E88" s="23" t="s">
        <v>764</v>
      </c>
      <c r="F88" s="22" t="s">
        <v>765</v>
      </c>
      <c r="G88" s="22" t="s">
        <v>766</v>
      </c>
      <c r="H88" s="22" t="s">
        <v>767</v>
      </c>
      <c r="I88" s="23" t="s">
        <v>768</v>
      </c>
      <c r="J88" s="24" t="str">
        <f aca="false">IFERROR(VLOOKUP(VALUE(LEFT(C88,2)),Справочники!$A$2:$B$16,2,FALSE()),"не определён")</f>
        <v>г. Москва</v>
      </c>
      <c r="K88" s="24" t="str">
        <f aca="false">IF(TRIM(C88)="","ИНН не указан",IF(LEN(C88)&lt;&gt;10,"ИНН: должно быть 10 цифр",IF(NOT(ISNUMBER(IFERROR(VALUE(C88),"x"))),"ИНН: есть нецифровые символы",IF(MOD(MOD(SUMPRODUCT(--MID(C88,{1,2,3,4,5,6,7,8,9},1),{2,4,10,3,5,9,4,6,8}),11),10)=VALUE(RIGHT(C88,1)),"","ИНН: неверная контрольная цифра"))))</f>
        <v/>
      </c>
      <c r="L88" s="24" t="str">
        <f aca="false">IF(TRIM(D88)="","ОГРН не указан",IF(LEN(D88)&lt;&gt;13,"ОГРН: должно быть 13 цифр",IF(NOT(ISNUMBER(IFERROR(VALUE(D88),"x"))),"ОГРН: есть нецифровые символы",IF(MOD(VALUE(LEFT(D88,12))-11*INT(VALUE(LEFT(D88,12))/11),10)=VALUE(RIGHT(D88,1)),"","ОГРН: неверная контрольная цифра"))))</f>
        <v/>
      </c>
      <c r="M88" s="24" t="str">
        <f aca="false">IF(TRIM(E88)="","КПП не указан",IF(LEN(E88)&lt;&gt;9,"КПП: должно быть 9 знаков",IF(NOT(AND(ISNUMBER(IFERROR(VALUE(LEFT(E88,4)),"x")),ISNUMBER(IFERROR(VALUE(RIGHT(E88,3)),"x")))),"КПП: неверный формат",IF(LEFT(E88,2)&lt;&gt;LEFT(C88,2),"КПП: код региона не совпадает с ИНН",""))))</f>
        <v/>
      </c>
      <c r="N88" s="24" t="str">
        <f aca="false">IF(TRIM(C88)="","",IF(COUNTIF($C$2:$C$401,C88)&gt;1,"Дубликат ИНН в реестре",""))</f>
        <v/>
      </c>
      <c r="O88" s="24" t="str">
        <f aca="false">IF(TRIM(H88)="","Email не указан",IF(AND(ISNUMBER(FIND("@",H88)),ISNUMBER(FIND(".",H88,IFERROR(FIND("@",H88),1))),ISERROR(FIND(" ",H88)),LEFT(H88,1)&lt;&gt;"@",RIGHT(H88,1)&lt;&gt;".",LEN(H88)-LEN(SUBSTITUTE(H88,"@",""))=1),"","Email: неверный формат"))</f>
        <v/>
      </c>
      <c r="P88" s="24" t="str">
        <f aca="false">IF(TRIM(I88)="","Телефон не указан",IF(AND(LEN(SUBSTITUTE(SUBSTITUTE(SUBSTITUTE(SUBSTITUTE(SUBSTITUTE(I88," ",""),"-",""),"(",""),")",""),"+",""))=11,OR(LEFT(SUBSTITUTE(SUBSTITUTE(SUBSTITUTE(SUBSTITUTE(SUBSTITUTE(I88," ",""),"-",""),"(",""),")",""),"+",""),1)="7",LEFT(SUBSTITUTE(SUBSTITUTE(SUBSTITUTE(SUBSTITUTE(SUBSTITUTE(I88," ",""),"-",""),"(",""),")",""),"+",""),1)="8"),ISNUMBER(IFERROR(VALUE(SUBSTITUTE(SUBSTITUTE(SUBSTITUTE(SUBSTITUTE(SUBSTITUTE(I88," ",""),"-",""),"(",""),")",""),"+","")),"x"))),"","Телефон: неверный формат"))</f>
        <v/>
      </c>
      <c r="Q88" s="24" t="str">
        <f aca="false">TRIM(IF(TRIM(B88)="","Нет наименования. ","")&amp;IF(TRIM(F88)="","Нет адреса. ","")&amp;IF(TRIM(G88)="","Нет контактного лица.",""))</f>
        <v/>
      </c>
      <c r="R88" s="21" t="n">
        <f aca="false">SUMPRODUCT(--(LEN(K88:Q88)&gt;0))</f>
        <v>0</v>
      </c>
      <c r="S88" s="24" t="str">
        <f aca="false">IF(R88=0,"Готово к передаче","Требует исправления")</f>
        <v>Готово к передаче</v>
      </c>
      <c r="T88" s="24" t="str">
        <f aca="false">IF(R88=0,"",_xlfn.TEXTJOIN("; ",TRUE(),K88:Q88))</f>
        <v/>
      </c>
      <c r="U88" s="24" t="str">
        <f aca="false">IF(R88=0,"","Здравствуйте! В данных организации «"&amp;B88&amp;"» обнаружены ошибки: "&amp;T88&amp;". Просим проверить и прислать исправленную информацию.")</f>
        <v/>
      </c>
      <c r="V88" s="21" t="str">
        <f aca="false">IF(R88&gt;0,COUNTIF($R$2:R88,"&gt;0"),"")</f>
        <v/>
      </c>
      <c r="W88" s="21" t="n">
        <f aca="false">IF(R88=0,COUNTIF($R$2:R88,0),"")</f>
        <v>53</v>
      </c>
    </row>
    <row r="89" customFormat="false" ht="15" hidden="false" customHeight="false" outlineLevel="0" collapsed="false">
      <c r="A89" s="21" t="n">
        <v>88</v>
      </c>
      <c r="B89" s="22" t="s">
        <v>769</v>
      </c>
      <c r="C89" s="23" t="s">
        <v>770</v>
      </c>
      <c r="D89" s="23" t="s">
        <v>771</v>
      </c>
      <c r="E89" s="23" t="s">
        <v>772</v>
      </c>
      <c r="F89" s="22" t="s">
        <v>773</v>
      </c>
      <c r="G89" s="22" t="s">
        <v>774</v>
      </c>
      <c r="H89" s="22" t="s">
        <v>775</v>
      </c>
      <c r="I89" s="23" t="s">
        <v>776</v>
      </c>
      <c r="J89" s="24" t="str">
        <f aca="false">IFERROR(VLOOKUP(VALUE(LEFT(C89,2)),Справочники!$A$2:$B$16,2,FALSE()),"не определён")</f>
        <v>Нижегородская область</v>
      </c>
      <c r="K89" s="24" t="str">
        <f aca="false">IF(TRIM(C89)="","ИНН не указан",IF(LEN(C89)&lt;&gt;10,"ИНН: должно быть 10 цифр",IF(NOT(ISNUMBER(IFERROR(VALUE(C89),"x"))),"ИНН: есть нецифровые символы",IF(MOD(MOD(SUMPRODUCT(--MID(C89,{1,2,3,4,5,6,7,8,9},1),{2,4,10,3,5,9,4,6,8}),11),10)=VALUE(RIGHT(C89,1)),"","ИНН: неверная контрольная цифра"))))</f>
        <v/>
      </c>
      <c r="L89" s="24" t="str">
        <f aca="false">IF(TRIM(D89)="","ОГРН не указан",IF(LEN(D89)&lt;&gt;13,"ОГРН: должно быть 13 цифр",IF(NOT(ISNUMBER(IFERROR(VALUE(D89),"x"))),"ОГРН: есть нецифровые символы",IF(MOD(VALUE(LEFT(D89,12))-11*INT(VALUE(LEFT(D89,12))/11),10)=VALUE(RIGHT(D89,1)),"","ОГРН: неверная контрольная цифра"))))</f>
        <v/>
      </c>
      <c r="M89" s="24" t="str">
        <f aca="false">IF(TRIM(E89)="","КПП не указан",IF(LEN(E89)&lt;&gt;9,"КПП: должно быть 9 знаков",IF(NOT(AND(ISNUMBER(IFERROR(VALUE(LEFT(E89,4)),"x")),ISNUMBER(IFERROR(VALUE(RIGHT(E89,3)),"x")))),"КПП: неверный формат",IF(LEFT(E89,2)&lt;&gt;LEFT(C89,2),"КПП: код региона не совпадает с ИНН",""))))</f>
        <v/>
      </c>
      <c r="N89" s="24" t="str">
        <f aca="false">IF(TRIM(C89)="","",IF(COUNTIF($C$2:$C$401,C89)&gt;1,"Дубликат ИНН в реестре",""))</f>
        <v>Дубликат ИНН в реестре</v>
      </c>
      <c r="O89" s="24" t="str">
        <f aca="false">IF(TRIM(H89)="","Email не указан",IF(AND(ISNUMBER(FIND("@",H89)),ISNUMBER(FIND(".",H89,IFERROR(FIND("@",H89),1))),ISERROR(FIND(" ",H89)),LEFT(H89,1)&lt;&gt;"@",RIGHT(H89,1)&lt;&gt;".",LEN(H89)-LEN(SUBSTITUTE(H89,"@",""))=1),"","Email: неверный формат"))</f>
        <v/>
      </c>
      <c r="P89" s="24" t="str">
        <f aca="false">IF(TRIM(I89)="","Телефон не указан",IF(AND(LEN(SUBSTITUTE(SUBSTITUTE(SUBSTITUTE(SUBSTITUTE(SUBSTITUTE(I89," ",""),"-",""),"(",""),")",""),"+",""))=11,OR(LEFT(SUBSTITUTE(SUBSTITUTE(SUBSTITUTE(SUBSTITUTE(SUBSTITUTE(I89," ",""),"-",""),"(",""),")",""),"+",""),1)="7",LEFT(SUBSTITUTE(SUBSTITUTE(SUBSTITUTE(SUBSTITUTE(SUBSTITUTE(I89," ",""),"-",""),"(",""),")",""),"+",""),1)="8"),ISNUMBER(IFERROR(VALUE(SUBSTITUTE(SUBSTITUTE(SUBSTITUTE(SUBSTITUTE(SUBSTITUTE(I89," ",""),"-",""),"(",""),")",""),"+","")),"x"))),"","Телефон: неверный формат"))</f>
        <v/>
      </c>
      <c r="Q89" s="24" t="str">
        <f aca="false">TRIM(IF(TRIM(B89)="","Нет наименования. ","")&amp;IF(TRIM(F89)="","Нет адреса. ","")&amp;IF(TRIM(G89)="","Нет контактного лица.",""))</f>
        <v/>
      </c>
      <c r="R89" s="21" t="n">
        <f aca="false">SUMPRODUCT(--(LEN(K89:Q89)&gt;0))</f>
        <v>1</v>
      </c>
      <c r="S89" s="24" t="str">
        <f aca="false">IF(R89=0,"Готово к передаче","Требует исправления")</f>
        <v>Требует исправления</v>
      </c>
      <c r="T89" s="24" t="str">
        <f aca="false">IF(R89=0,"",_xlfn.TEXTJOIN("; ",TRUE(),K89:Q89))</f>
        <v>Дубликат ИНН в реестре</v>
      </c>
      <c r="U89" s="24" t="str">
        <f aca="false">IF(R89=0,"","Здравствуйте! В данных организации «"&amp;B89&amp;"» обнаружены ошибки: "&amp;T89&amp;". Просим проверить и прислать исправленную информацию.")</f>
        <v>Здравствуйте! В данных организации «ООО «Импульс Монтаж»» обнаружены ошибки: Дубликат ИНН в реестре. Просим проверить и прислать исправленную информацию.</v>
      </c>
      <c r="V89" s="21" t="n">
        <f aca="false">IF(R89&gt;0,COUNTIF($R$2:R89,"&gt;0"),"")</f>
        <v>35</v>
      </c>
      <c r="W89" s="21" t="str">
        <f aca="false">IF(R89=0,COUNTIF($R$2:R89,0),"")</f>
        <v/>
      </c>
    </row>
    <row r="90" customFormat="false" ht="15" hidden="false" customHeight="false" outlineLevel="0" collapsed="false">
      <c r="A90" s="21" t="n">
        <v>89</v>
      </c>
      <c r="B90" s="22" t="s">
        <v>777</v>
      </c>
      <c r="C90" s="23" t="s">
        <v>778</v>
      </c>
      <c r="D90" s="23" t="s">
        <v>779</v>
      </c>
      <c r="E90" s="23" t="s">
        <v>780</v>
      </c>
      <c r="F90" s="22" t="s">
        <v>781</v>
      </c>
      <c r="G90" s="22" t="s">
        <v>782</v>
      </c>
      <c r="H90" s="22" t="s">
        <v>783</v>
      </c>
      <c r="I90" s="23" t="s">
        <v>784</v>
      </c>
      <c r="J90" s="24" t="str">
        <f aca="false">IFERROR(VLOOKUP(VALUE(LEFT(C90,2)),Справочники!$A$2:$B$16,2,FALSE()),"не определён")</f>
        <v>Краснодарский край</v>
      </c>
      <c r="K90" s="24" t="str">
        <f aca="false">IF(TRIM(C90)="","ИНН не указан",IF(LEN(C90)&lt;&gt;10,"ИНН: должно быть 10 цифр",IF(NOT(ISNUMBER(IFERROR(VALUE(C90),"x"))),"ИНН: есть нецифровые символы",IF(MOD(MOD(SUMPRODUCT(--MID(C90,{1,2,3,4,5,6,7,8,9},1),{2,4,10,3,5,9,4,6,8}),11),10)=VALUE(RIGHT(C90,1)),"","ИНН: неверная контрольная цифра"))))</f>
        <v/>
      </c>
      <c r="L90" s="24" t="str">
        <f aca="false">IF(TRIM(D90)="","ОГРН не указан",IF(LEN(D90)&lt;&gt;13,"ОГРН: должно быть 13 цифр",IF(NOT(ISNUMBER(IFERROR(VALUE(D90),"x"))),"ОГРН: есть нецифровые символы",IF(MOD(VALUE(LEFT(D90,12))-11*INT(VALUE(LEFT(D90,12))/11),10)=VALUE(RIGHT(D90,1)),"","ОГРН: неверная контрольная цифра"))))</f>
        <v/>
      </c>
      <c r="M90" s="24" t="str">
        <f aca="false">IF(TRIM(E90)="","КПП не указан",IF(LEN(E90)&lt;&gt;9,"КПП: должно быть 9 знаков",IF(NOT(AND(ISNUMBER(IFERROR(VALUE(LEFT(E90,4)),"x")),ISNUMBER(IFERROR(VALUE(RIGHT(E90,3)),"x")))),"КПП: неверный формат",IF(LEFT(E90,2)&lt;&gt;LEFT(C90,2),"КПП: код региона не совпадает с ИНН",""))))</f>
        <v/>
      </c>
      <c r="N90" s="24" t="str">
        <f aca="false">IF(TRIM(C90)="","",IF(COUNTIF($C$2:$C$401,C90)&gt;1,"Дубликат ИНН в реестре",""))</f>
        <v/>
      </c>
      <c r="O90" s="24" t="str">
        <f aca="false">IF(TRIM(H90)="","Email не указан",IF(AND(ISNUMBER(FIND("@",H90)),ISNUMBER(FIND(".",H90,IFERROR(FIND("@",H90),1))),ISERROR(FIND(" ",H90)),LEFT(H90,1)&lt;&gt;"@",RIGHT(H90,1)&lt;&gt;".",LEN(H90)-LEN(SUBSTITUTE(H90,"@",""))=1),"","Email: неверный формат"))</f>
        <v/>
      </c>
      <c r="P90" s="24" t="str">
        <f aca="false">IF(TRIM(I90)="","Телефон не указан",IF(AND(LEN(SUBSTITUTE(SUBSTITUTE(SUBSTITUTE(SUBSTITUTE(SUBSTITUTE(I90," ",""),"-",""),"(",""),")",""),"+",""))=11,OR(LEFT(SUBSTITUTE(SUBSTITUTE(SUBSTITUTE(SUBSTITUTE(SUBSTITUTE(I90," ",""),"-",""),"(",""),")",""),"+",""),1)="7",LEFT(SUBSTITUTE(SUBSTITUTE(SUBSTITUTE(SUBSTITUTE(SUBSTITUTE(I90," ",""),"-",""),"(",""),")",""),"+",""),1)="8"),ISNUMBER(IFERROR(VALUE(SUBSTITUTE(SUBSTITUTE(SUBSTITUTE(SUBSTITUTE(SUBSTITUTE(I90," ",""),"-",""),"(",""),")",""),"+","")),"x"))),"","Телефон: неверный формат"))</f>
        <v/>
      </c>
      <c r="Q90" s="24" t="str">
        <f aca="false">TRIM(IF(TRIM(B90)="","Нет наименования. ","")&amp;IF(TRIM(F90)="","Нет адреса. ","")&amp;IF(TRIM(G90)="","Нет контактного лица.",""))</f>
        <v/>
      </c>
      <c r="R90" s="21" t="n">
        <f aca="false">SUMPRODUCT(--(LEN(K90:Q90)&gt;0))</f>
        <v>0</v>
      </c>
      <c r="S90" s="24" t="str">
        <f aca="false">IF(R90=0,"Готово к передаче","Требует исправления")</f>
        <v>Готово к передаче</v>
      </c>
      <c r="T90" s="24" t="str">
        <f aca="false">IF(R90=0,"",_xlfn.TEXTJOIN("; ",TRUE(),K90:Q90))</f>
        <v/>
      </c>
      <c r="U90" s="24" t="str">
        <f aca="false">IF(R90=0,"","Здравствуйте! В данных организации «"&amp;B90&amp;"» обнаружены ошибки: "&amp;T90&amp;". Просим проверить и прислать исправленную информацию.")</f>
        <v/>
      </c>
      <c r="V90" s="21" t="str">
        <f aca="false">IF(R90&gt;0,COUNTIF($R$2:R90,"&gt;0"),"")</f>
        <v/>
      </c>
      <c r="W90" s="21" t="n">
        <f aca="false">IF(R90=0,COUNTIF($R$2:R90,0),"")</f>
        <v>54</v>
      </c>
    </row>
    <row r="91" customFormat="false" ht="15" hidden="false" customHeight="false" outlineLevel="0" collapsed="false">
      <c r="A91" s="21" t="n">
        <v>90</v>
      </c>
      <c r="B91" s="22" t="s">
        <v>785</v>
      </c>
      <c r="C91" s="23" t="s">
        <v>786</v>
      </c>
      <c r="D91" s="23" t="s">
        <v>787</v>
      </c>
      <c r="E91" s="23" t="s">
        <v>788</v>
      </c>
      <c r="F91" s="22" t="s">
        <v>789</v>
      </c>
      <c r="G91" s="22" t="s">
        <v>790</v>
      </c>
      <c r="H91" s="22" t="s">
        <v>791</v>
      </c>
      <c r="I91" s="23" t="s">
        <v>792</v>
      </c>
      <c r="J91" s="24" t="str">
        <f aca="false">IFERROR(VLOOKUP(VALUE(LEFT(C91,2)),Справочники!$A$2:$B$16,2,FALSE()),"не определён")</f>
        <v>г. Москва</v>
      </c>
      <c r="K91" s="24" t="str">
        <f aca="false">IF(TRIM(C91)="","ИНН не указан",IF(LEN(C91)&lt;&gt;10,"ИНН: должно быть 10 цифр",IF(NOT(ISNUMBER(IFERROR(VALUE(C91),"x"))),"ИНН: есть нецифровые символы",IF(MOD(MOD(SUMPRODUCT(--MID(C91,{1,2,3,4,5,6,7,8,9},1),{2,4,10,3,5,9,4,6,8}),11),10)=VALUE(RIGHT(C91,1)),"","ИНН: неверная контрольная цифра"))))</f>
        <v/>
      </c>
      <c r="L91" s="24" t="str">
        <f aca="false">IF(TRIM(D91)="","ОГРН не указан",IF(LEN(D91)&lt;&gt;13,"ОГРН: должно быть 13 цифр",IF(NOT(ISNUMBER(IFERROR(VALUE(D91),"x"))),"ОГРН: есть нецифровые символы",IF(MOD(VALUE(LEFT(D91,12))-11*INT(VALUE(LEFT(D91,12))/11),10)=VALUE(RIGHT(D91,1)),"","ОГРН: неверная контрольная цифра"))))</f>
        <v/>
      </c>
      <c r="M91" s="24" t="str">
        <f aca="false">IF(TRIM(E91)="","КПП не указан",IF(LEN(E91)&lt;&gt;9,"КПП: должно быть 9 знаков",IF(NOT(AND(ISNUMBER(IFERROR(VALUE(LEFT(E91,4)),"x")),ISNUMBER(IFERROR(VALUE(RIGHT(E91,3)),"x")))),"КПП: неверный формат",IF(LEFT(E91,2)&lt;&gt;LEFT(C91,2),"КПП: код региона не совпадает с ИНН",""))))</f>
        <v/>
      </c>
      <c r="N91" s="24" t="str">
        <f aca="false">IF(TRIM(C91)="","",IF(COUNTIF($C$2:$C$401,C91)&gt;1,"Дубликат ИНН в реестре",""))</f>
        <v/>
      </c>
      <c r="O91" s="24" t="str">
        <f aca="false">IF(TRIM(H91)="","Email не указан",IF(AND(ISNUMBER(FIND("@",H91)),ISNUMBER(FIND(".",H91,IFERROR(FIND("@",H91),1))),ISERROR(FIND(" ",H91)),LEFT(H91,1)&lt;&gt;"@",RIGHT(H91,1)&lt;&gt;".",LEN(H91)-LEN(SUBSTITUTE(H91,"@",""))=1),"","Email: неверный формат"))</f>
        <v/>
      </c>
      <c r="P91" s="24" t="str">
        <f aca="false">IF(TRIM(I91)="","Телефон не указан",IF(AND(LEN(SUBSTITUTE(SUBSTITUTE(SUBSTITUTE(SUBSTITUTE(SUBSTITUTE(I91," ",""),"-",""),"(",""),")",""),"+",""))=11,OR(LEFT(SUBSTITUTE(SUBSTITUTE(SUBSTITUTE(SUBSTITUTE(SUBSTITUTE(I91," ",""),"-",""),"(",""),")",""),"+",""),1)="7",LEFT(SUBSTITUTE(SUBSTITUTE(SUBSTITUTE(SUBSTITUTE(SUBSTITUTE(I91," ",""),"-",""),"(",""),")",""),"+",""),1)="8"),ISNUMBER(IFERROR(VALUE(SUBSTITUTE(SUBSTITUTE(SUBSTITUTE(SUBSTITUTE(SUBSTITUTE(I91," ",""),"-",""),"(",""),")",""),"+","")),"x"))),"","Телефон: неверный формат"))</f>
        <v/>
      </c>
      <c r="Q91" s="24" t="str">
        <f aca="false">TRIM(IF(TRIM(B91)="","Нет наименования. ","")&amp;IF(TRIM(F91)="","Нет адреса. ","")&amp;IF(TRIM(G91)="","Нет контактного лица.",""))</f>
        <v/>
      </c>
      <c r="R91" s="21" t="n">
        <f aca="false">SUMPRODUCT(--(LEN(K91:Q91)&gt;0))</f>
        <v>0</v>
      </c>
      <c r="S91" s="24" t="str">
        <f aca="false">IF(R91=0,"Готово к передаче","Требует исправления")</f>
        <v>Готово к передаче</v>
      </c>
      <c r="T91" s="24" t="str">
        <f aca="false">IF(R91=0,"",_xlfn.TEXTJOIN("; ",TRUE(),K91:Q91))</f>
        <v/>
      </c>
      <c r="U91" s="24" t="str">
        <f aca="false">IF(R91=0,"","Здравствуйте! В данных организации «"&amp;B91&amp;"» обнаружены ошибки: "&amp;T91&amp;". Просим проверить и прислать исправленную информацию.")</f>
        <v/>
      </c>
      <c r="V91" s="21" t="str">
        <f aca="false">IF(R91&gt;0,COUNTIF($R$2:R91,"&gt;0"),"")</f>
        <v/>
      </c>
      <c r="W91" s="21" t="n">
        <f aca="false">IF(R91=0,COUNTIF($R$2:R91,0),"")</f>
        <v>55</v>
      </c>
    </row>
    <row r="92" customFormat="false" ht="15" hidden="false" customHeight="false" outlineLevel="0" collapsed="false">
      <c r="A92" s="21" t="n">
        <v>91</v>
      </c>
      <c r="B92" s="22" t="s">
        <v>793</v>
      </c>
      <c r="C92" s="23" t="s">
        <v>794</v>
      </c>
      <c r="D92" s="23" t="s">
        <v>795</v>
      </c>
      <c r="E92" s="23" t="s">
        <v>796</v>
      </c>
      <c r="F92" s="22" t="s">
        <v>797</v>
      </c>
      <c r="G92" s="22" t="s">
        <v>798</v>
      </c>
      <c r="H92" s="22" t="s">
        <v>799</v>
      </c>
      <c r="I92" s="23" t="s">
        <v>800</v>
      </c>
      <c r="J92" s="24" t="str">
        <f aca="false">IFERROR(VLOOKUP(VALUE(LEFT(C92,2)),Справочники!$A$2:$B$16,2,FALSE()),"не определён")</f>
        <v>г. Санкт-Петербург</v>
      </c>
      <c r="K92" s="24" t="str">
        <f aca="false">IF(TRIM(C92)="","ИНН не указан",IF(LEN(C92)&lt;&gt;10,"ИНН: должно быть 10 цифр",IF(NOT(ISNUMBER(IFERROR(VALUE(C92),"x"))),"ИНН: есть нецифровые символы",IF(MOD(MOD(SUMPRODUCT(--MID(C92,{1,2,3,4,5,6,7,8,9},1),{2,4,10,3,5,9,4,6,8}),11),10)=VALUE(RIGHT(C92,1)),"","ИНН: неверная контрольная цифра"))))</f>
        <v>ИНН: должно быть 10 цифр</v>
      </c>
      <c r="L92" s="24" t="str">
        <f aca="false">IF(TRIM(D92)="","ОГРН не указан",IF(LEN(D92)&lt;&gt;13,"ОГРН: должно быть 13 цифр",IF(NOT(ISNUMBER(IFERROR(VALUE(D92),"x"))),"ОГРН: есть нецифровые символы",IF(MOD(VALUE(LEFT(D92,12))-11*INT(VALUE(LEFT(D92,12))/11),10)=VALUE(RIGHT(D92,1)),"","ОГРН: неверная контрольная цифра"))))</f>
        <v/>
      </c>
      <c r="M92" s="24" t="str">
        <f aca="false">IF(TRIM(E92)="","КПП не указан",IF(LEN(E92)&lt;&gt;9,"КПП: должно быть 9 знаков",IF(NOT(AND(ISNUMBER(IFERROR(VALUE(LEFT(E92,4)),"x")),ISNUMBER(IFERROR(VALUE(RIGHT(E92,3)),"x")))),"КПП: неверный формат",IF(LEFT(E92,2)&lt;&gt;LEFT(C92,2),"КПП: код региона не совпадает с ИНН",""))))</f>
        <v/>
      </c>
      <c r="N92" s="24" t="str">
        <f aca="false">IF(TRIM(C92)="","",IF(COUNTIF($C$2:$C$401,C92)&gt;1,"Дубликат ИНН в реестре",""))</f>
        <v/>
      </c>
      <c r="O92" s="24" t="str">
        <f aca="false">IF(TRIM(H92)="","Email не указан",IF(AND(ISNUMBER(FIND("@",H92)),ISNUMBER(FIND(".",H92,IFERROR(FIND("@",H92),1))),ISERROR(FIND(" ",H92)),LEFT(H92,1)&lt;&gt;"@",RIGHT(H92,1)&lt;&gt;".",LEN(H92)-LEN(SUBSTITUTE(H92,"@",""))=1),"","Email: неверный формат"))</f>
        <v/>
      </c>
      <c r="P92" s="24" t="str">
        <f aca="false">IF(TRIM(I92)="","Телефон не указан",IF(AND(LEN(SUBSTITUTE(SUBSTITUTE(SUBSTITUTE(SUBSTITUTE(SUBSTITUTE(I92," ",""),"-",""),"(",""),")",""),"+",""))=11,OR(LEFT(SUBSTITUTE(SUBSTITUTE(SUBSTITUTE(SUBSTITUTE(SUBSTITUTE(I92," ",""),"-",""),"(",""),")",""),"+",""),1)="7",LEFT(SUBSTITUTE(SUBSTITUTE(SUBSTITUTE(SUBSTITUTE(SUBSTITUTE(I92," ",""),"-",""),"(",""),")",""),"+",""),1)="8"),ISNUMBER(IFERROR(VALUE(SUBSTITUTE(SUBSTITUTE(SUBSTITUTE(SUBSTITUTE(SUBSTITUTE(I92," ",""),"-",""),"(",""),")",""),"+","")),"x"))),"","Телефон: неверный формат"))</f>
        <v/>
      </c>
      <c r="Q92" s="24" t="str">
        <f aca="false">TRIM(IF(TRIM(B92)="","Нет наименования. ","")&amp;IF(TRIM(F92)="","Нет адреса. ","")&amp;IF(TRIM(G92)="","Нет контактного лица.",""))</f>
        <v/>
      </c>
      <c r="R92" s="21" t="n">
        <f aca="false">SUMPRODUCT(--(LEN(K92:Q92)&gt;0))</f>
        <v>1</v>
      </c>
      <c r="S92" s="24" t="str">
        <f aca="false">IF(R92=0,"Готово к передаче","Требует исправления")</f>
        <v>Требует исправления</v>
      </c>
      <c r="T92" s="24" t="str">
        <f aca="false">IF(R92=0,"",_xlfn.TEXTJOIN("; ",TRUE(),K92:Q92))</f>
        <v>ИНН: должно быть 10 цифр</v>
      </c>
      <c r="U92" s="24" t="str">
        <f aca="false">IF(R92=0,"","Здравствуйте! В данных организации «"&amp;B92&amp;"» обнаружены ошибки: "&amp;T92&amp;". Просим проверить и прислать исправленную информацию.")</f>
        <v>Здравствуйте! В данных организации «ООО «Вектор Принт»» обнаружены ошибки: ИНН: должно быть 10 цифр. Просим проверить и прислать исправленную информацию.</v>
      </c>
      <c r="V92" s="21" t="n">
        <f aca="false">IF(R92&gt;0,COUNTIF($R$2:R92,"&gt;0"),"")</f>
        <v>36</v>
      </c>
      <c r="W92" s="21" t="str">
        <f aca="false">IF(R92=0,COUNTIF($R$2:R92,0),"")</f>
        <v/>
      </c>
    </row>
    <row r="93" customFormat="false" ht="15" hidden="false" customHeight="false" outlineLevel="0" collapsed="false">
      <c r="A93" s="21" t="n">
        <v>92</v>
      </c>
      <c r="B93" s="22" t="s">
        <v>801</v>
      </c>
      <c r="C93" s="23" t="s">
        <v>802</v>
      </c>
      <c r="D93" s="23" t="s">
        <v>803</v>
      </c>
      <c r="E93" s="23" t="s">
        <v>804</v>
      </c>
      <c r="F93" s="22" t="s">
        <v>805</v>
      </c>
      <c r="G93" s="22" t="s">
        <v>806</v>
      </c>
      <c r="H93" s="22" t="s">
        <v>807</v>
      </c>
      <c r="I93" s="23" t="s">
        <v>808</v>
      </c>
      <c r="J93" s="24" t="str">
        <f aca="false">IFERROR(VLOOKUP(VALUE(LEFT(C93,2)),Справочники!$A$2:$B$16,2,FALSE()),"не определён")</f>
        <v>г. Москва</v>
      </c>
      <c r="K93" s="24" t="str">
        <f aca="false">IF(TRIM(C93)="","ИНН не указан",IF(LEN(C93)&lt;&gt;10,"ИНН: должно быть 10 цифр",IF(NOT(ISNUMBER(IFERROR(VALUE(C93),"x"))),"ИНН: есть нецифровые символы",IF(MOD(MOD(SUMPRODUCT(--MID(C93,{1,2,3,4,5,6,7,8,9},1),{2,4,10,3,5,9,4,6,8}),11),10)=VALUE(RIGHT(C93,1)),"","ИНН: неверная контрольная цифра"))))</f>
        <v/>
      </c>
      <c r="L93" s="24" t="str">
        <f aca="false">IF(TRIM(D93)="","ОГРН не указан",IF(LEN(D93)&lt;&gt;13,"ОГРН: должно быть 13 цифр",IF(NOT(ISNUMBER(IFERROR(VALUE(D93),"x"))),"ОГРН: есть нецифровые символы",IF(MOD(VALUE(LEFT(D93,12))-11*INT(VALUE(LEFT(D93,12))/11),10)=VALUE(RIGHT(D93,1)),"","ОГРН: неверная контрольная цифра"))))</f>
        <v/>
      </c>
      <c r="M93" s="24" t="str">
        <f aca="false">IF(TRIM(E93)="","КПП не указан",IF(LEN(E93)&lt;&gt;9,"КПП: должно быть 9 знаков",IF(NOT(AND(ISNUMBER(IFERROR(VALUE(LEFT(E93,4)),"x")),ISNUMBER(IFERROR(VALUE(RIGHT(E93,3)),"x")))),"КПП: неверный формат",IF(LEFT(E93,2)&lt;&gt;LEFT(C93,2),"КПП: код региона не совпадает с ИНН",""))))</f>
        <v/>
      </c>
      <c r="N93" s="24" t="str">
        <f aca="false">IF(TRIM(C93)="","",IF(COUNTIF($C$2:$C$401,C93)&gt;1,"Дубликат ИНН в реестре",""))</f>
        <v/>
      </c>
      <c r="O93" s="24" t="str">
        <f aca="false">IF(TRIM(H93)="","Email не указан",IF(AND(ISNUMBER(FIND("@",H93)),ISNUMBER(FIND(".",H93,IFERROR(FIND("@",H93),1))),ISERROR(FIND(" ",H93)),LEFT(H93,1)&lt;&gt;"@",RIGHT(H93,1)&lt;&gt;".",LEN(H93)-LEN(SUBSTITUTE(H93,"@",""))=1),"","Email: неверный формат"))</f>
        <v/>
      </c>
      <c r="P93" s="24" t="str">
        <f aca="false">IF(TRIM(I93)="","Телефон не указан",IF(AND(LEN(SUBSTITUTE(SUBSTITUTE(SUBSTITUTE(SUBSTITUTE(SUBSTITUTE(I93," ",""),"-",""),"(",""),")",""),"+",""))=11,OR(LEFT(SUBSTITUTE(SUBSTITUTE(SUBSTITUTE(SUBSTITUTE(SUBSTITUTE(I93," ",""),"-",""),"(",""),")",""),"+",""),1)="7",LEFT(SUBSTITUTE(SUBSTITUTE(SUBSTITUTE(SUBSTITUTE(SUBSTITUTE(I93," ",""),"-",""),"(",""),")",""),"+",""),1)="8"),ISNUMBER(IFERROR(VALUE(SUBSTITUTE(SUBSTITUTE(SUBSTITUTE(SUBSTITUTE(SUBSTITUTE(I93," ",""),"-",""),"(",""),")",""),"+","")),"x"))),"","Телефон: неверный формат"))</f>
        <v/>
      </c>
      <c r="Q93" s="24" t="str">
        <f aca="false">TRIM(IF(TRIM(B93)="","Нет наименования. ","")&amp;IF(TRIM(F93)="","Нет адреса. ","")&amp;IF(TRIM(G93)="","Нет контактного лица.",""))</f>
        <v/>
      </c>
      <c r="R93" s="21" t="n">
        <f aca="false">SUMPRODUCT(--(LEN(K93:Q93)&gt;0))</f>
        <v>0</v>
      </c>
      <c r="S93" s="24" t="str">
        <f aca="false">IF(R93=0,"Готово к передаче","Требует исправления")</f>
        <v>Готово к передаче</v>
      </c>
      <c r="T93" s="24" t="str">
        <f aca="false">IF(R93=0,"",_xlfn.TEXTJOIN("; ",TRUE(),K93:Q93))</f>
        <v/>
      </c>
      <c r="U93" s="24" t="str">
        <f aca="false">IF(R93=0,"","Здравствуйте! В данных организации «"&amp;B93&amp;"» обнаружены ошибки: "&amp;T93&amp;". Просим проверить и прислать исправленную информацию.")</f>
        <v/>
      </c>
      <c r="V93" s="21" t="str">
        <f aca="false">IF(R93&gt;0,COUNTIF($R$2:R93,"&gt;0"),"")</f>
        <v/>
      </c>
      <c r="W93" s="21" t="n">
        <f aca="false">IF(R93=0,COUNTIF($R$2:R93,0),"")</f>
        <v>56</v>
      </c>
    </row>
    <row r="94" customFormat="false" ht="15" hidden="false" customHeight="false" outlineLevel="0" collapsed="false">
      <c r="A94" s="21" t="n">
        <v>93</v>
      </c>
      <c r="B94" s="22" t="s">
        <v>809</v>
      </c>
      <c r="C94" s="23" t="s">
        <v>810</v>
      </c>
      <c r="D94" s="23" t="s">
        <v>811</v>
      </c>
      <c r="E94" s="23" t="s">
        <v>812</v>
      </c>
      <c r="F94" s="22" t="s">
        <v>813</v>
      </c>
      <c r="G94" s="22" t="s">
        <v>814</v>
      </c>
      <c r="H94" s="22" t="s">
        <v>815</v>
      </c>
      <c r="I94" s="23" t="s">
        <v>816</v>
      </c>
      <c r="J94" s="24" t="str">
        <f aca="false">IFERROR(VLOOKUP(VALUE(LEFT(C94,2)),Справочники!$A$2:$B$16,2,FALSE()),"не определён")</f>
        <v>Республика Крым</v>
      </c>
      <c r="K94" s="24" t="str">
        <f aca="false">IF(TRIM(C94)="","ИНН не указан",IF(LEN(C94)&lt;&gt;10,"ИНН: должно быть 10 цифр",IF(NOT(ISNUMBER(IFERROR(VALUE(C94),"x"))),"ИНН: есть нецифровые символы",IF(MOD(MOD(SUMPRODUCT(--MID(C94,{1,2,3,4,5,6,7,8,9},1),{2,4,10,3,5,9,4,6,8}),11),10)=VALUE(RIGHT(C94,1)),"","ИНН: неверная контрольная цифра"))))</f>
        <v/>
      </c>
      <c r="L94" s="24" t="str">
        <f aca="false">IF(TRIM(D94)="","ОГРН не указан",IF(LEN(D94)&lt;&gt;13,"ОГРН: должно быть 13 цифр",IF(NOT(ISNUMBER(IFERROR(VALUE(D94),"x"))),"ОГРН: есть нецифровые символы",IF(MOD(VALUE(LEFT(D94,12))-11*INT(VALUE(LEFT(D94,12))/11),10)=VALUE(RIGHT(D94,1)),"","ОГРН: неверная контрольная цифра"))))</f>
        <v/>
      </c>
      <c r="M94" s="24" t="str">
        <f aca="false">IF(TRIM(E94)="","КПП не указан",IF(LEN(E94)&lt;&gt;9,"КПП: должно быть 9 знаков",IF(NOT(AND(ISNUMBER(IFERROR(VALUE(LEFT(E94,4)),"x")),ISNUMBER(IFERROR(VALUE(RIGHT(E94,3)),"x")))),"КПП: неверный формат",IF(LEFT(E94,2)&lt;&gt;LEFT(C94,2),"КПП: код региона не совпадает с ИНН",""))))</f>
        <v/>
      </c>
      <c r="N94" s="24" t="str">
        <f aca="false">IF(TRIM(C94)="","",IF(COUNTIF($C$2:$C$401,C94)&gt;1,"Дубликат ИНН в реестре",""))</f>
        <v/>
      </c>
      <c r="O94" s="24" t="str">
        <f aca="false">IF(TRIM(H94)="","Email не указан",IF(AND(ISNUMBER(FIND("@",H94)),ISNUMBER(FIND(".",H94,IFERROR(FIND("@",H94),1))),ISERROR(FIND(" ",H94)),LEFT(H94,1)&lt;&gt;"@",RIGHT(H94,1)&lt;&gt;".",LEN(H94)-LEN(SUBSTITUTE(H94,"@",""))=1),"","Email: неверный формат"))</f>
        <v/>
      </c>
      <c r="P94" s="24" t="str">
        <f aca="false">IF(TRIM(I94)="","Телефон не указан",IF(AND(LEN(SUBSTITUTE(SUBSTITUTE(SUBSTITUTE(SUBSTITUTE(SUBSTITUTE(I94," ",""),"-",""),"(",""),")",""),"+",""))=11,OR(LEFT(SUBSTITUTE(SUBSTITUTE(SUBSTITUTE(SUBSTITUTE(SUBSTITUTE(I94," ",""),"-",""),"(",""),")",""),"+",""),1)="7",LEFT(SUBSTITUTE(SUBSTITUTE(SUBSTITUTE(SUBSTITUTE(SUBSTITUTE(I94," ",""),"-",""),"(",""),")",""),"+",""),1)="8"),ISNUMBER(IFERROR(VALUE(SUBSTITUTE(SUBSTITUTE(SUBSTITUTE(SUBSTITUTE(SUBSTITUTE(I94," ",""),"-",""),"(",""),")",""),"+","")),"x"))),"","Телефон: неверный формат"))</f>
        <v/>
      </c>
      <c r="Q94" s="24" t="str">
        <f aca="false">TRIM(IF(TRIM(B94)="","Нет наименования. ","")&amp;IF(TRIM(F94)="","Нет адреса. ","")&amp;IF(TRIM(G94)="","Нет контактного лица.",""))</f>
        <v/>
      </c>
      <c r="R94" s="21" t="n">
        <f aca="false">SUMPRODUCT(--(LEN(K94:Q94)&gt;0))</f>
        <v>0</v>
      </c>
      <c r="S94" s="24" t="str">
        <f aca="false">IF(R94=0,"Готово к передаче","Требует исправления")</f>
        <v>Готово к передаче</v>
      </c>
      <c r="T94" s="24" t="str">
        <f aca="false">IF(R94=0,"",_xlfn.TEXTJOIN("; ",TRUE(),K94:Q94))</f>
        <v/>
      </c>
      <c r="U94" s="24" t="str">
        <f aca="false">IF(R94=0,"","Здравствуйте! В данных организации «"&amp;B94&amp;"» обнаружены ошибки: "&amp;T94&amp;". Просим проверить и прислать исправленную информацию.")</f>
        <v/>
      </c>
      <c r="V94" s="21" t="str">
        <f aca="false">IF(R94&gt;0,COUNTIF($R$2:R94,"&gt;0"),"")</f>
        <v/>
      </c>
      <c r="W94" s="21" t="n">
        <f aca="false">IF(R94=0,COUNTIF($R$2:R94,0),"")</f>
        <v>57</v>
      </c>
    </row>
    <row r="95" customFormat="false" ht="15" hidden="false" customHeight="false" outlineLevel="0" collapsed="false">
      <c r="A95" s="21" t="n">
        <v>94</v>
      </c>
      <c r="B95" s="22" t="s">
        <v>817</v>
      </c>
      <c r="C95" s="23" t="s">
        <v>818</v>
      </c>
      <c r="D95" s="23" t="s">
        <v>819</v>
      </c>
      <c r="E95" s="23" t="s">
        <v>820</v>
      </c>
      <c r="F95" s="22" t="s">
        <v>821</v>
      </c>
      <c r="G95" s="22" t="s">
        <v>822</v>
      </c>
      <c r="H95" s="22" t="s">
        <v>823</v>
      </c>
      <c r="I95" s="23" t="s">
        <v>824</v>
      </c>
      <c r="J95" s="24" t="str">
        <f aca="false">IFERROR(VLOOKUP(VALUE(LEFT(C95,2)),Справочники!$A$2:$B$16,2,FALSE()),"не определён")</f>
        <v>Краснодарский край</v>
      </c>
      <c r="K95" s="24" t="str">
        <f aca="false">IF(TRIM(C95)="","ИНН не указан",IF(LEN(C95)&lt;&gt;10,"ИНН: должно быть 10 цифр",IF(NOT(ISNUMBER(IFERROR(VALUE(C95),"x"))),"ИНН: есть нецифровые символы",IF(MOD(MOD(SUMPRODUCT(--MID(C95,{1,2,3,4,5,6,7,8,9},1),{2,4,10,3,5,9,4,6,8}),11),10)=VALUE(RIGHT(C95,1)),"","ИНН: неверная контрольная цифра"))))</f>
        <v/>
      </c>
      <c r="L95" s="24" t="str">
        <f aca="false">IF(TRIM(D95)="","ОГРН не указан",IF(LEN(D95)&lt;&gt;13,"ОГРН: должно быть 13 цифр",IF(NOT(ISNUMBER(IFERROR(VALUE(D95),"x"))),"ОГРН: есть нецифровые символы",IF(MOD(VALUE(LEFT(D95,12))-11*INT(VALUE(LEFT(D95,12))/11),10)=VALUE(RIGHT(D95,1)),"","ОГРН: неверная контрольная цифра"))))</f>
        <v/>
      </c>
      <c r="M95" s="24" t="str">
        <f aca="false">IF(TRIM(E95)="","КПП не указан",IF(LEN(E95)&lt;&gt;9,"КПП: должно быть 9 знаков",IF(NOT(AND(ISNUMBER(IFERROR(VALUE(LEFT(E95,4)),"x")),ISNUMBER(IFERROR(VALUE(RIGHT(E95,3)),"x")))),"КПП: неверный формат",IF(LEFT(E95,2)&lt;&gt;LEFT(C95,2),"КПП: код региона не совпадает с ИНН",""))))</f>
        <v/>
      </c>
      <c r="N95" s="24" t="str">
        <f aca="false">IF(TRIM(C95)="","",IF(COUNTIF($C$2:$C$401,C95)&gt;1,"Дубликат ИНН в реестре",""))</f>
        <v/>
      </c>
      <c r="O95" s="24" t="str">
        <f aca="false">IF(TRIM(H95)="","Email не указан",IF(AND(ISNUMBER(FIND("@",H95)),ISNUMBER(FIND(".",H95,IFERROR(FIND("@",H95),1))),ISERROR(FIND(" ",H95)),LEFT(H95,1)&lt;&gt;"@",RIGHT(H95,1)&lt;&gt;".",LEN(H95)-LEN(SUBSTITUTE(H95,"@",""))=1),"","Email: неверный формат"))</f>
        <v/>
      </c>
      <c r="P95" s="24" t="str">
        <f aca="false">IF(TRIM(I95)="","Телефон не указан",IF(AND(LEN(SUBSTITUTE(SUBSTITUTE(SUBSTITUTE(SUBSTITUTE(SUBSTITUTE(I95," ",""),"-",""),"(",""),")",""),"+",""))=11,OR(LEFT(SUBSTITUTE(SUBSTITUTE(SUBSTITUTE(SUBSTITUTE(SUBSTITUTE(I95," ",""),"-",""),"(",""),")",""),"+",""),1)="7",LEFT(SUBSTITUTE(SUBSTITUTE(SUBSTITUTE(SUBSTITUTE(SUBSTITUTE(I95," ",""),"-",""),"(",""),")",""),"+",""),1)="8"),ISNUMBER(IFERROR(VALUE(SUBSTITUTE(SUBSTITUTE(SUBSTITUTE(SUBSTITUTE(SUBSTITUTE(I95," ",""),"-",""),"(",""),")",""),"+","")),"x"))),"","Телефон: неверный формат"))</f>
        <v/>
      </c>
      <c r="Q95" s="24" t="str">
        <f aca="false">TRIM(IF(TRIM(B95)="","Нет наименования. ","")&amp;IF(TRIM(F95)="","Нет адреса. ","")&amp;IF(TRIM(G95)="","Нет контактного лица.",""))</f>
        <v/>
      </c>
      <c r="R95" s="21" t="n">
        <f aca="false">SUMPRODUCT(--(LEN(K95:Q95)&gt;0))</f>
        <v>0</v>
      </c>
      <c r="S95" s="24" t="str">
        <f aca="false">IF(R95=0,"Готово к передаче","Требует исправления")</f>
        <v>Готово к передаче</v>
      </c>
      <c r="T95" s="24" t="str">
        <f aca="false">IF(R95=0,"",_xlfn.TEXTJOIN("; ",TRUE(),K95:Q95))</f>
        <v/>
      </c>
      <c r="U95" s="24" t="str">
        <f aca="false">IF(R95=0,"","Здравствуйте! В данных организации «"&amp;B95&amp;"» обнаружены ошибки: "&amp;T95&amp;". Просим проверить и прислать исправленную информацию.")</f>
        <v/>
      </c>
      <c r="V95" s="21" t="str">
        <f aca="false">IF(R95&gt;0,COUNTIF($R$2:R95,"&gt;0"),"")</f>
        <v/>
      </c>
      <c r="W95" s="21" t="n">
        <f aca="false">IF(R95=0,COUNTIF($R$2:R95,0),"")</f>
        <v>58</v>
      </c>
    </row>
    <row r="96" customFormat="false" ht="15" hidden="false" customHeight="false" outlineLevel="0" collapsed="false">
      <c r="A96" s="21" t="n">
        <v>95</v>
      </c>
      <c r="B96" s="22" t="s">
        <v>825</v>
      </c>
      <c r="C96" s="23" t="s">
        <v>826</v>
      </c>
      <c r="D96" s="23" t="s">
        <v>827</v>
      </c>
      <c r="E96" s="23" t="s">
        <v>828</v>
      </c>
      <c r="F96" s="22" t="s">
        <v>829</v>
      </c>
      <c r="G96" s="22" t="s">
        <v>830</v>
      </c>
      <c r="H96" s="22" t="s">
        <v>831</v>
      </c>
      <c r="I96" s="23" t="s">
        <v>832</v>
      </c>
      <c r="J96" s="24" t="str">
        <f aca="false">IFERROR(VLOOKUP(VALUE(LEFT(C96,2)),Справочники!$A$2:$B$16,2,FALSE()),"не определён")</f>
        <v>Челябинская область</v>
      </c>
      <c r="K96" s="24" t="str">
        <f aca="false">IF(TRIM(C96)="","ИНН не указан",IF(LEN(C96)&lt;&gt;10,"ИНН: должно быть 10 цифр",IF(NOT(ISNUMBER(IFERROR(VALUE(C96),"x"))),"ИНН: есть нецифровые символы",IF(MOD(MOD(SUMPRODUCT(--MID(C96,{1,2,3,4,5,6,7,8,9},1),{2,4,10,3,5,9,4,6,8}),11),10)=VALUE(RIGHT(C96,1)),"","ИНН: неверная контрольная цифра"))))</f>
        <v/>
      </c>
      <c r="L96" s="24" t="str">
        <f aca="false">IF(TRIM(D96)="","ОГРН не указан",IF(LEN(D96)&lt;&gt;13,"ОГРН: должно быть 13 цифр",IF(NOT(ISNUMBER(IFERROR(VALUE(D96),"x"))),"ОГРН: есть нецифровые символы",IF(MOD(VALUE(LEFT(D96,12))-11*INT(VALUE(LEFT(D96,12))/11),10)=VALUE(RIGHT(D96,1)),"","ОГРН: неверная контрольная цифра"))))</f>
        <v/>
      </c>
      <c r="M96" s="24" t="str">
        <f aca="false">IF(TRIM(E96)="","КПП не указан",IF(LEN(E96)&lt;&gt;9,"КПП: должно быть 9 знаков",IF(NOT(AND(ISNUMBER(IFERROR(VALUE(LEFT(E96,4)),"x")),ISNUMBER(IFERROR(VALUE(RIGHT(E96,3)),"x")))),"КПП: неверный формат",IF(LEFT(E96,2)&lt;&gt;LEFT(C96,2),"КПП: код региона не совпадает с ИНН",""))))</f>
        <v/>
      </c>
      <c r="N96" s="24" t="str">
        <f aca="false">IF(TRIM(C96)="","",IF(COUNTIF($C$2:$C$401,C96)&gt;1,"Дубликат ИНН в реестре",""))</f>
        <v/>
      </c>
      <c r="O96" s="24" t="str">
        <f aca="false">IF(TRIM(H96)="","Email не указан",IF(AND(ISNUMBER(FIND("@",H96)),ISNUMBER(FIND(".",H96,IFERROR(FIND("@",H96),1))),ISERROR(FIND(" ",H96)),LEFT(H96,1)&lt;&gt;"@",RIGHT(H96,1)&lt;&gt;".",LEN(H96)-LEN(SUBSTITUTE(H96,"@",""))=1),"","Email: неверный формат"))</f>
        <v/>
      </c>
      <c r="P96" s="24" t="str">
        <f aca="false">IF(TRIM(I96)="","Телефон не указан",IF(AND(LEN(SUBSTITUTE(SUBSTITUTE(SUBSTITUTE(SUBSTITUTE(SUBSTITUTE(I96," ",""),"-",""),"(",""),")",""),"+",""))=11,OR(LEFT(SUBSTITUTE(SUBSTITUTE(SUBSTITUTE(SUBSTITUTE(SUBSTITUTE(I96," ",""),"-",""),"(",""),")",""),"+",""),1)="7",LEFT(SUBSTITUTE(SUBSTITUTE(SUBSTITUTE(SUBSTITUTE(SUBSTITUTE(I96," ",""),"-",""),"(",""),")",""),"+",""),1)="8"),ISNUMBER(IFERROR(VALUE(SUBSTITUTE(SUBSTITUTE(SUBSTITUTE(SUBSTITUTE(SUBSTITUTE(I96," ",""),"-",""),"(",""),")",""),"+","")),"x"))),"","Телефон: неверный формат"))</f>
        <v/>
      </c>
      <c r="Q96" s="24" t="str">
        <f aca="false">TRIM(IF(TRIM(B96)="","Нет наименования. ","")&amp;IF(TRIM(F96)="","Нет адреса. ","")&amp;IF(TRIM(G96)="","Нет контактного лица.",""))</f>
        <v/>
      </c>
      <c r="R96" s="21" t="n">
        <f aca="false">SUMPRODUCT(--(LEN(K96:Q96)&gt;0))</f>
        <v>0</v>
      </c>
      <c r="S96" s="24" t="str">
        <f aca="false">IF(R96=0,"Готово к передаче","Требует исправления")</f>
        <v>Готово к передаче</v>
      </c>
      <c r="T96" s="24" t="str">
        <f aca="false">IF(R96=0,"",_xlfn.TEXTJOIN("; ",TRUE(),K96:Q96))</f>
        <v/>
      </c>
      <c r="U96" s="24" t="str">
        <f aca="false">IF(R96=0,"","Здравствуйте! В данных организации «"&amp;B96&amp;"» обнаружены ошибки: "&amp;T96&amp;". Просим проверить и прислать исправленную информацию.")</f>
        <v/>
      </c>
      <c r="V96" s="21" t="str">
        <f aca="false">IF(R96&gt;0,COUNTIF($R$2:R96,"&gt;0"),"")</f>
        <v/>
      </c>
      <c r="W96" s="21" t="n">
        <f aca="false">IF(R96=0,COUNTIF($R$2:R96,0),"")</f>
        <v>59</v>
      </c>
    </row>
    <row r="97" customFormat="false" ht="15" hidden="false" customHeight="false" outlineLevel="0" collapsed="false">
      <c r="A97" s="21" t="n">
        <v>96</v>
      </c>
      <c r="B97" s="22" t="s">
        <v>833</v>
      </c>
      <c r="C97" s="23" t="s">
        <v>834</v>
      </c>
      <c r="D97" s="23" t="s">
        <v>835</v>
      </c>
      <c r="E97" s="23" t="s">
        <v>836</v>
      </c>
      <c r="F97" s="22" t="s">
        <v>837</v>
      </c>
      <c r="G97" s="22" t="s">
        <v>838</v>
      </c>
      <c r="H97" s="22" t="s">
        <v>839</v>
      </c>
      <c r="I97" s="23" t="s">
        <v>840</v>
      </c>
      <c r="J97" s="24" t="str">
        <f aca="false">IFERROR(VLOOKUP(VALUE(LEFT(C97,2)),Справочники!$A$2:$B$16,2,FALSE()),"не определён")</f>
        <v>Новосибирская область</v>
      </c>
      <c r="K97" s="24" t="str">
        <f aca="false">IF(TRIM(C97)="","ИНН не указан",IF(LEN(C97)&lt;&gt;10,"ИНН: должно быть 10 цифр",IF(NOT(ISNUMBER(IFERROR(VALUE(C97),"x"))),"ИНН: есть нецифровые символы",IF(MOD(MOD(SUMPRODUCT(--MID(C97,{1,2,3,4,5,6,7,8,9},1),{2,4,10,3,5,9,4,6,8}),11),10)=VALUE(RIGHT(C97,1)),"","ИНН: неверная контрольная цифра"))))</f>
        <v/>
      </c>
      <c r="L97" s="24" t="str">
        <f aca="false">IF(TRIM(D97)="","ОГРН не указан",IF(LEN(D97)&lt;&gt;13,"ОГРН: должно быть 13 цифр",IF(NOT(ISNUMBER(IFERROR(VALUE(D97),"x"))),"ОГРН: есть нецифровые символы",IF(MOD(VALUE(LEFT(D97,12))-11*INT(VALUE(LEFT(D97,12))/11),10)=VALUE(RIGHT(D97,1)),"","ОГРН: неверная контрольная цифра"))))</f>
        <v/>
      </c>
      <c r="M97" s="24" t="str">
        <f aca="false">IF(TRIM(E97)="","КПП не указан",IF(LEN(E97)&lt;&gt;9,"КПП: должно быть 9 знаков",IF(NOT(AND(ISNUMBER(IFERROR(VALUE(LEFT(E97,4)),"x")),ISNUMBER(IFERROR(VALUE(RIGHT(E97,3)),"x")))),"КПП: неверный формат",IF(LEFT(E97,2)&lt;&gt;LEFT(C97,2),"КПП: код региона не совпадает с ИНН",""))))</f>
        <v/>
      </c>
      <c r="N97" s="24" t="str">
        <f aca="false">IF(TRIM(C97)="","",IF(COUNTIF($C$2:$C$401,C97)&gt;1,"Дубликат ИНН в реестре",""))</f>
        <v/>
      </c>
      <c r="O97" s="24" t="str">
        <f aca="false">IF(TRIM(H97)="","Email не указан",IF(AND(ISNUMBER(FIND("@",H97)),ISNUMBER(FIND(".",H97,IFERROR(FIND("@",H97),1))),ISERROR(FIND(" ",H97)),LEFT(H97,1)&lt;&gt;"@",RIGHT(H97,1)&lt;&gt;".",LEN(H97)-LEN(SUBSTITUTE(H97,"@",""))=1),"","Email: неверный формат"))</f>
        <v/>
      </c>
      <c r="P97" s="24" t="str">
        <f aca="false">IF(TRIM(I97)="","Телефон не указан",IF(AND(LEN(SUBSTITUTE(SUBSTITUTE(SUBSTITUTE(SUBSTITUTE(SUBSTITUTE(I97," ",""),"-",""),"(",""),")",""),"+",""))=11,OR(LEFT(SUBSTITUTE(SUBSTITUTE(SUBSTITUTE(SUBSTITUTE(SUBSTITUTE(I97," ",""),"-",""),"(",""),")",""),"+",""),1)="7",LEFT(SUBSTITUTE(SUBSTITUTE(SUBSTITUTE(SUBSTITUTE(SUBSTITUTE(I97," ",""),"-",""),"(",""),")",""),"+",""),1)="8"),ISNUMBER(IFERROR(VALUE(SUBSTITUTE(SUBSTITUTE(SUBSTITUTE(SUBSTITUTE(SUBSTITUTE(I97," ",""),"-",""),"(",""),")",""),"+","")),"x"))),"","Телефон: неверный формат"))</f>
        <v/>
      </c>
      <c r="Q97" s="24" t="str">
        <f aca="false">TRIM(IF(TRIM(B97)="","Нет наименования. ","")&amp;IF(TRIM(F97)="","Нет адреса. ","")&amp;IF(TRIM(G97)="","Нет контактного лица.",""))</f>
        <v/>
      </c>
      <c r="R97" s="21" t="n">
        <f aca="false">SUMPRODUCT(--(LEN(K97:Q97)&gt;0))</f>
        <v>0</v>
      </c>
      <c r="S97" s="24" t="str">
        <f aca="false">IF(R97=0,"Готово к передаче","Требует исправления")</f>
        <v>Готово к передаче</v>
      </c>
      <c r="T97" s="24" t="str">
        <f aca="false">IF(R97=0,"",_xlfn.TEXTJOIN("; ",TRUE(),K97:Q97))</f>
        <v/>
      </c>
      <c r="U97" s="24" t="str">
        <f aca="false">IF(R97=0,"","Здравствуйте! В данных организации «"&amp;B97&amp;"» обнаружены ошибки: "&amp;T97&amp;". Просим проверить и прислать исправленную информацию.")</f>
        <v/>
      </c>
      <c r="V97" s="21" t="str">
        <f aca="false">IF(R97&gt;0,COUNTIF($R$2:R97,"&gt;0"),"")</f>
        <v/>
      </c>
      <c r="W97" s="21" t="n">
        <f aca="false">IF(R97=0,COUNTIF($R$2:R97,0),"")</f>
        <v>60</v>
      </c>
    </row>
    <row r="98" customFormat="false" ht="15" hidden="false" customHeight="false" outlineLevel="0" collapsed="false">
      <c r="A98" s="21" t="n">
        <v>97</v>
      </c>
      <c r="B98" s="22" t="s">
        <v>841</v>
      </c>
      <c r="C98" s="23" t="s">
        <v>842</v>
      </c>
      <c r="D98" s="23" t="s">
        <v>843</v>
      </c>
      <c r="E98" s="23" t="s">
        <v>844</v>
      </c>
      <c r="F98" s="22" t="s">
        <v>845</v>
      </c>
      <c r="G98" s="22" t="s">
        <v>846</v>
      </c>
      <c r="H98" s="22" t="s">
        <v>847</v>
      </c>
      <c r="I98" s="23" t="s">
        <v>848</v>
      </c>
      <c r="J98" s="24" t="str">
        <f aca="false">IFERROR(VLOOKUP(VALUE(LEFT(C98,2)),Справочники!$A$2:$B$16,2,FALSE()),"не определён")</f>
        <v>Республика Крым</v>
      </c>
      <c r="K98" s="24" t="str">
        <f aca="false">IF(TRIM(C98)="","ИНН не указан",IF(LEN(C98)&lt;&gt;10,"ИНН: должно быть 10 цифр",IF(NOT(ISNUMBER(IFERROR(VALUE(C98),"x"))),"ИНН: есть нецифровые символы",IF(MOD(MOD(SUMPRODUCT(--MID(C98,{1,2,3,4,5,6,7,8,9},1),{2,4,10,3,5,9,4,6,8}),11),10)=VALUE(RIGHT(C98,1)),"","ИНН: неверная контрольная цифра"))))</f>
        <v/>
      </c>
      <c r="L98" s="24" t="str">
        <f aca="false">IF(TRIM(D98)="","ОГРН не указан",IF(LEN(D98)&lt;&gt;13,"ОГРН: должно быть 13 цифр",IF(NOT(ISNUMBER(IFERROR(VALUE(D98),"x"))),"ОГРН: есть нецифровые символы",IF(MOD(VALUE(LEFT(D98,12))-11*INT(VALUE(LEFT(D98,12))/11),10)=VALUE(RIGHT(D98,1)),"","ОГРН: неверная контрольная цифра"))))</f>
        <v/>
      </c>
      <c r="M98" s="24" t="str">
        <f aca="false">IF(TRIM(E98)="","КПП не указан",IF(LEN(E98)&lt;&gt;9,"КПП: должно быть 9 знаков",IF(NOT(AND(ISNUMBER(IFERROR(VALUE(LEFT(E98,4)),"x")),ISNUMBER(IFERROR(VALUE(RIGHT(E98,3)),"x")))),"КПП: неверный формат",IF(LEFT(E98,2)&lt;&gt;LEFT(C98,2),"КПП: код региона не совпадает с ИНН",""))))</f>
        <v>КПП: код региона не совпадает с ИНН</v>
      </c>
      <c r="N98" s="24" t="str">
        <f aca="false">IF(TRIM(C98)="","",IF(COUNTIF($C$2:$C$401,C98)&gt;1,"Дубликат ИНН в реестре",""))</f>
        <v/>
      </c>
      <c r="O98" s="24" t="str">
        <f aca="false">IF(TRIM(H98)="","Email не указан",IF(AND(ISNUMBER(FIND("@",H98)),ISNUMBER(FIND(".",H98,IFERROR(FIND("@",H98),1))),ISERROR(FIND(" ",H98)),LEFT(H98,1)&lt;&gt;"@",RIGHT(H98,1)&lt;&gt;".",LEN(H98)-LEN(SUBSTITUTE(H98,"@",""))=1),"","Email: неверный формат"))</f>
        <v/>
      </c>
      <c r="P98" s="24" t="str">
        <f aca="false">IF(TRIM(I98)="","Телефон не указан",IF(AND(LEN(SUBSTITUTE(SUBSTITUTE(SUBSTITUTE(SUBSTITUTE(SUBSTITUTE(I98," ",""),"-",""),"(",""),")",""),"+",""))=11,OR(LEFT(SUBSTITUTE(SUBSTITUTE(SUBSTITUTE(SUBSTITUTE(SUBSTITUTE(I98," ",""),"-",""),"(",""),")",""),"+",""),1)="7",LEFT(SUBSTITUTE(SUBSTITUTE(SUBSTITUTE(SUBSTITUTE(SUBSTITUTE(I98," ",""),"-",""),"(",""),")",""),"+",""),1)="8"),ISNUMBER(IFERROR(VALUE(SUBSTITUTE(SUBSTITUTE(SUBSTITUTE(SUBSTITUTE(SUBSTITUTE(I98," ",""),"-",""),"(",""),")",""),"+","")),"x"))),"","Телефон: неверный формат"))</f>
        <v/>
      </c>
      <c r="Q98" s="24" t="str">
        <f aca="false">TRIM(IF(TRIM(B98)="","Нет наименования. ","")&amp;IF(TRIM(F98)="","Нет адреса. ","")&amp;IF(TRIM(G98)="","Нет контактного лица.",""))</f>
        <v/>
      </c>
      <c r="R98" s="21" t="n">
        <f aca="false">SUMPRODUCT(--(LEN(K98:Q98)&gt;0))</f>
        <v>1</v>
      </c>
      <c r="S98" s="24" t="str">
        <f aca="false">IF(R98=0,"Готово к передаче","Требует исправления")</f>
        <v>Требует исправления</v>
      </c>
      <c r="T98" s="24" t="str">
        <f aca="false">IF(R98=0,"",_xlfn.TEXTJOIN("; ",TRUE(),K98:Q98))</f>
        <v>КПП: код региона не совпадает с ИНН</v>
      </c>
      <c r="U98" s="24" t="str">
        <f aca="false">IF(R98=0,"","Здравствуйте! В данных организации «"&amp;B98&amp;"» обнаружены ошибки: "&amp;T98&amp;". Просим проверить и прислать исправленную информацию.")</f>
        <v>Здравствуйте! В данных организации «ООО «Радуга Монтаж»» обнаружены ошибки: КПП: код региона не совпадает с ИНН. Просим проверить и прислать исправленную информацию.</v>
      </c>
      <c r="V98" s="21" t="n">
        <f aca="false">IF(R98&gt;0,COUNTIF($R$2:R98,"&gt;0"),"")</f>
        <v>37</v>
      </c>
      <c r="W98" s="21" t="str">
        <f aca="false">IF(R98=0,COUNTIF($R$2:R98,0),"")</f>
        <v/>
      </c>
    </row>
    <row r="99" customFormat="false" ht="15" hidden="false" customHeight="false" outlineLevel="0" collapsed="false">
      <c r="A99" s="21" t="n">
        <v>98</v>
      </c>
      <c r="B99" s="22" t="s">
        <v>849</v>
      </c>
      <c r="C99" s="23" t="s">
        <v>850</v>
      </c>
      <c r="D99" s="23" t="s">
        <v>851</v>
      </c>
      <c r="E99" s="23" t="s">
        <v>852</v>
      </c>
      <c r="F99" s="22" t="s">
        <v>853</v>
      </c>
      <c r="G99" s="22" t="s">
        <v>854</v>
      </c>
      <c r="H99" s="22" t="s">
        <v>855</v>
      </c>
      <c r="I99" s="23" t="s">
        <v>856</v>
      </c>
      <c r="J99" s="24" t="str">
        <f aca="false">IFERROR(VLOOKUP(VALUE(LEFT(C99,2)),Справочники!$A$2:$B$16,2,FALSE()),"не определён")</f>
        <v>Ростовская область</v>
      </c>
      <c r="K99" s="24" t="str">
        <f aca="false">IF(TRIM(C99)="","ИНН не указан",IF(LEN(C99)&lt;&gt;10,"ИНН: должно быть 10 цифр",IF(NOT(ISNUMBER(IFERROR(VALUE(C99),"x"))),"ИНН: есть нецифровые символы",IF(MOD(MOD(SUMPRODUCT(--MID(C99,{1,2,3,4,5,6,7,8,9},1),{2,4,10,3,5,9,4,6,8}),11),10)=VALUE(RIGHT(C99,1)),"","ИНН: неверная контрольная цифра"))))</f>
        <v/>
      </c>
      <c r="L99" s="24" t="str">
        <f aca="false">IF(TRIM(D99)="","ОГРН не указан",IF(LEN(D99)&lt;&gt;13,"ОГРН: должно быть 13 цифр",IF(NOT(ISNUMBER(IFERROR(VALUE(D99),"x"))),"ОГРН: есть нецифровые символы",IF(MOD(VALUE(LEFT(D99,12))-11*INT(VALUE(LEFT(D99,12))/11),10)=VALUE(RIGHT(D99,1)),"","ОГРН: неверная контрольная цифра"))))</f>
        <v>ОГРН: должно быть 13 цифр</v>
      </c>
      <c r="M99" s="24" t="str">
        <f aca="false">IF(TRIM(E99)="","КПП не указан",IF(LEN(E99)&lt;&gt;9,"КПП: должно быть 9 знаков",IF(NOT(AND(ISNUMBER(IFERROR(VALUE(LEFT(E99,4)),"x")),ISNUMBER(IFERROR(VALUE(RIGHT(E99,3)),"x")))),"КПП: неверный формат",IF(LEFT(E99,2)&lt;&gt;LEFT(C99,2),"КПП: код региона не совпадает с ИНН",""))))</f>
        <v/>
      </c>
      <c r="N99" s="24" t="str">
        <f aca="false">IF(TRIM(C99)="","",IF(COUNTIF($C$2:$C$401,C99)&gt;1,"Дубликат ИНН в реестре",""))</f>
        <v/>
      </c>
      <c r="O99" s="24" t="str">
        <f aca="false">IF(TRIM(H99)="","Email не указан",IF(AND(ISNUMBER(FIND("@",H99)),ISNUMBER(FIND(".",H99,IFERROR(FIND("@",H99),1))),ISERROR(FIND(" ",H99)),LEFT(H99,1)&lt;&gt;"@",RIGHT(H99,1)&lt;&gt;".",LEN(H99)-LEN(SUBSTITUTE(H99,"@",""))=1),"","Email: неверный формат"))</f>
        <v/>
      </c>
      <c r="P99" s="24" t="str">
        <f aca="false">IF(TRIM(I99)="","Телефон не указан",IF(AND(LEN(SUBSTITUTE(SUBSTITUTE(SUBSTITUTE(SUBSTITUTE(SUBSTITUTE(I99," ",""),"-",""),"(",""),")",""),"+",""))=11,OR(LEFT(SUBSTITUTE(SUBSTITUTE(SUBSTITUTE(SUBSTITUTE(SUBSTITUTE(I99," ",""),"-",""),"(",""),")",""),"+",""),1)="7",LEFT(SUBSTITUTE(SUBSTITUTE(SUBSTITUTE(SUBSTITUTE(SUBSTITUTE(I99," ",""),"-",""),"(",""),")",""),"+",""),1)="8"),ISNUMBER(IFERROR(VALUE(SUBSTITUTE(SUBSTITUTE(SUBSTITUTE(SUBSTITUTE(SUBSTITUTE(I99," ",""),"-",""),"(",""),")",""),"+","")),"x"))),"","Телефон: неверный формат"))</f>
        <v/>
      </c>
      <c r="Q99" s="24" t="str">
        <f aca="false">TRIM(IF(TRIM(B99)="","Нет наименования. ","")&amp;IF(TRIM(F99)="","Нет адреса. ","")&amp;IF(TRIM(G99)="","Нет контактного лица.",""))</f>
        <v/>
      </c>
      <c r="R99" s="21" t="n">
        <f aca="false">SUMPRODUCT(--(LEN(K99:Q99)&gt;0))</f>
        <v>1</v>
      </c>
      <c r="S99" s="24" t="str">
        <f aca="false">IF(R99=0,"Готово к передаче","Требует исправления")</f>
        <v>Требует исправления</v>
      </c>
      <c r="T99" s="24" t="str">
        <f aca="false">IF(R99=0,"",_xlfn.TEXTJOIN("; ",TRUE(),K99:Q99))</f>
        <v>ОГРН: должно быть 13 цифр</v>
      </c>
      <c r="U99" s="24" t="str">
        <f aca="false">IF(R99=0,"","Здравствуйте! В данных организации «"&amp;B99&amp;"» обнаружены ошибки: "&amp;T99&amp;". Просим проверить и прислать исправленную информацию.")</f>
        <v>Здравствуйте! В данных организации «АО «Дельта Стандарт»» обнаружены ошибки: ОГРН: должно быть 13 цифр. Просим проверить и прислать исправленную информацию.</v>
      </c>
      <c r="V99" s="21" t="n">
        <f aca="false">IF(R99&gt;0,COUNTIF($R$2:R99,"&gt;0"),"")</f>
        <v>38</v>
      </c>
      <c r="W99" s="21" t="str">
        <f aca="false">IF(R99=0,COUNTIF($R$2:R99,0),"")</f>
        <v/>
      </c>
    </row>
    <row r="100" customFormat="false" ht="15" hidden="false" customHeight="false" outlineLevel="0" collapsed="false">
      <c r="A100" s="21" t="n">
        <v>99</v>
      </c>
      <c r="B100" s="22" t="s">
        <v>857</v>
      </c>
      <c r="C100" s="23" t="s">
        <v>858</v>
      </c>
      <c r="D100" s="23" t="s">
        <v>859</v>
      </c>
      <c r="E100" s="23" t="s">
        <v>860</v>
      </c>
      <c r="F100" s="22" t="s">
        <v>861</v>
      </c>
      <c r="G100" s="22" t="s">
        <v>862</v>
      </c>
      <c r="H100" s="22" t="s">
        <v>863</v>
      </c>
      <c r="I100" s="23" t="s">
        <v>864</v>
      </c>
      <c r="J100" s="24" t="str">
        <f aca="false">IFERROR(VLOOKUP(VALUE(LEFT(C100,2)),Справочники!$A$2:$B$16,2,FALSE()),"не определён")</f>
        <v>г. Севастополь</v>
      </c>
      <c r="K100" s="24" t="str">
        <f aca="false">IF(TRIM(C100)="","ИНН не указан",IF(LEN(C100)&lt;&gt;10,"ИНН: должно быть 10 цифр",IF(NOT(ISNUMBER(IFERROR(VALUE(C100),"x"))),"ИНН: есть нецифровые символы",IF(MOD(MOD(SUMPRODUCT(--MID(C100,{1,2,3,4,5,6,7,8,9},1),{2,4,10,3,5,9,4,6,8}),11),10)=VALUE(RIGHT(C100,1)),"","ИНН: неверная контрольная цифра"))))</f>
        <v/>
      </c>
      <c r="L100" s="24" t="str">
        <f aca="false">IF(TRIM(D100)="","ОГРН не указан",IF(LEN(D100)&lt;&gt;13,"ОГРН: должно быть 13 цифр",IF(NOT(ISNUMBER(IFERROR(VALUE(D100),"x"))),"ОГРН: есть нецифровые символы",IF(MOD(VALUE(LEFT(D100,12))-11*INT(VALUE(LEFT(D100,12))/11),10)=VALUE(RIGHT(D100,1)),"","ОГРН: неверная контрольная цифра"))))</f>
        <v/>
      </c>
      <c r="M100" s="24" t="str">
        <f aca="false">IF(TRIM(E100)="","КПП не указан",IF(LEN(E100)&lt;&gt;9,"КПП: должно быть 9 знаков",IF(NOT(AND(ISNUMBER(IFERROR(VALUE(LEFT(E100,4)),"x")),ISNUMBER(IFERROR(VALUE(RIGHT(E100,3)),"x")))),"КПП: неверный формат",IF(LEFT(E100,2)&lt;&gt;LEFT(C100,2),"КПП: код региона не совпадает с ИНН",""))))</f>
        <v/>
      </c>
      <c r="N100" s="24" t="str">
        <f aca="false">IF(TRIM(C100)="","",IF(COUNTIF($C$2:$C$401,C100)&gt;1,"Дубликат ИНН в реестре",""))</f>
        <v/>
      </c>
      <c r="O100" s="24" t="str">
        <f aca="false">IF(TRIM(H100)="","Email не указан",IF(AND(ISNUMBER(FIND("@",H100)),ISNUMBER(FIND(".",H100,IFERROR(FIND("@",H100),1))),ISERROR(FIND(" ",H100)),LEFT(H100,1)&lt;&gt;"@",RIGHT(H100,1)&lt;&gt;".",LEN(H100)-LEN(SUBSTITUTE(H100,"@",""))=1),"","Email: неверный формат"))</f>
        <v/>
      </c>
      <c r="P100" s="24" t="str">
        <f aca="false">IF(TRIM(I100)="","Телефон не указан",IF(AND(LEN(SUBSTITUTE(SUBSTITUTE(SUBSTITUTE(SUBSTITUTE(SUBSTITUTE(I100," ",""),"-",""),"(",""),")",""),"+",""))=11,OR(LEFT(SUBSTITUTE(SUBSTITUTE(SUBSTITUTE(SUBSTITUTE(SUBSTITUTE(I100," ",""),"-",""),"(",""),")",""),"+",""),1)="7",LEFT(SUBSTITUTE(SUBSTITUTE(SUBSTITUTE(SUBSTITUTE(SUBSTITUTE(I100," ",""),"-",""),"(",""),")",""),"+",""),1)="8"),ISNUMBER(IFERROR(VALUE(SUBSTITUTE(SUBSTITUTE(SUBSTITUTE(SUBSTITUTE(SUBSTITUTE(I100," ",""),"-",""),"(",""),")",""),"+","")),"x"))),"","Телефон: неверный формат"))</f>
        <v/>
      </c>
      <c r="Q100" s="24" t="str">
        <f aca="false">TRIM(IF(TRIM(B100)="","Нет наименования. ","")&amp;IF(TRIM(F100)="","Нет адреса. ","")&amp;IF(TRIM(G100)="","Нет контактного лица.",""))</f>
        <v/>
      </c>
      <c r="R100" s="21" t="n">
        <f aca="false">SUMPRODUCT(--(LEN(K100:Q100)&gt;0))</f>
        <v>0</v>
      </c>
      <c r="S100" s="24" t="str">
        <f aca="false">IF(R100=0,"Готово к передаче","Требует исправления")</f>
        <v>Готово к передаче</v>
      </c>
      <c r="T100" s="24" t="str">
        <f aca="false">IF(R100=0,"",_xlfn.TEXTJOIN("; ",TRUE(),K100:Q100))</f>
        <v/>
      </c>
      <c r="U100" s="24" t="str">
        <f aca="false">IF(R100=0,"","Здравствуйте! В данных организации «"&amp;B100&amp;"» обнаружены ошибки: "&amp;T100&amp;". Просим проверить и прислать исправленную информацию.")</f>
        <v/>
      </c>
      <c r="V100" s="21" t="str">
        <f aca="false">IF(R100&gt;0,COUNTIF($R$2:R100,"&gt;0"),"")</f>
        <v/>
      </c>
      <c r="W100" s="21" t="n">
        <f aca="false">IF(R100=0,COUNTIF($R$2:R100,0),"")</f>
        <v>61</v>
      </c>
    </row>
    <row r="101" customFormat="false" ht="15" hidden="false" customHeight="false" outlineLevel="0" collapsed="false">
      <c r="A101" s="21" t="n">
        <v>100</v>
      </c>
      <c r="B101" s="22" t="s">
        <v>865</v>
      </c>
      <c r="C101" s="23" t="s">
        <v>866</v>
      </c>
      <c r="D101" s="23" t="s">
        <v>867</v>
      </c>
      <c r="E101" s="23" t="s">
        <v>868</v>
      </c>
      <c r="F101" s="22" t="s">
        <v>869</v>
      </c>
      <c r="G101" s="22" t="s">
        <v>870</v>
      </c>
      <c r="H101" s="22" t="s">
        <v>871</v>
      </c>
      <c r="I101" s="23" t="s">
        <v>872</v>
      </c>
      <c r="J101" s="24" t="str">
        <f aca="false">IFERROR(VLOOKUP(VALUE(LEFT(C101,2)),Справочники!$A$2:$B$16,2,FALSE()),"не определён")</f>
        <v>г. Санкт-Петербург</v>
      </c>
      <c r="K101" s="24" t="str">
        <f aca="false">IF(TRIM(C101)="","ИНН не указан",IF(LEN(C101)&lt;&gt;10,"ИНН: должно быть 10 цифр",IF(NOT(ISNUMBER(IFERROR(VALUE(C101),"x"))),"ИНН: есть нецифровые символы",IF(MOD(MOD(SUMPRODUCT(--MID(C101,{1,2,3,4,5,6,7,8,9},1),{2,4,10,3,5,9,4,6,8}),11),10)=VALUE(RIGHT(C101,1)),"","ИНН: неверная контрольная цифра"))))</f>
        <v/>
      </c>
      <c r="L101" s="24" t="str">
        <f aca="false">IF(TRIM(D101)="","ОГРН не указан",IF(LEN(D101)&lt;&gt;13,"ОГРН: должно быть 13 цифр",IF(NOT(ISNUMBER(IFERROR(VALUE(D101),"x"))),"ОГРН: есть нецифровые символы",IF(MOD(VALUE(LEFT(D101,12))-11*INT(VALUE(LEFT(D101,12))/11),10)=VALUE(RIGHT(D101,1)),"","ОГРН: неверная контрольная цифра"))))</f>
        <v/>
      </c>
      <c r="M101" s="24" t="str">
        <f aca="false">IF(TRIM(E101)="","КПП не указан",IF(LEN(E101)&lt;&gt;9,"КПП: должно быть 9 знаков",IF(NOT(AND(ISNUMBER(IFERROR(VALUE(LEFT(E101,4)),"x")),ISNUMBER(IFERROR(VALUE(RIGHT(E101,3)),"x")))),"КПП: неверный формат",IF(LEFT(E101,2)&lt;&gt;LEFT(C101,2),"КПП: код региона не совпадает с ИНН",""))))</f>
        <v/>
      </c>
      <c r="N101" s="24" t="str">
        <f aca="false">IF(TRIM(C101)="","",IF(COUNTIF($C$2:$C$401,C101)&gt;1,"Дубликат ИНН в реестре",""))</f>
        <v/>
      </c>
      <c r="O101" s="24" t="str">
        <f aca="false">IF(TRIM(H101)="","Email не указан",IF(AND(ISNUMBER(FIND("@",H101)),ISNUMBER(FIND(".",H101,IFERROR(FIND("@",H101),1))),ISERROR(FIND(" ",H101)),LEFT(H101,1)&lt;&gt;"@",RIGHT(H101,1)&lt;&gt;".",LEN(H101)-LEN(SUBSTITUTE(H101,"@",""))=1),"","Email: неверный формат"))</f>
        <v/>
      </c>
      <c r="P101" s="24" t="str">
        <f aca="false">IF(TRIM(I101)="","Телефон не указан",IF(AND(LEN(SUBSTITUTE(SUBSTITUTE(SUBSTITUTE(SUBSTITUTE(SUBSTITUTE(I101," ",""),"-",""),"(",""),")",""),"+",""))=11,OR(LEFT(SUBSTITUTE(SUBSTITUTE(SUBSTITUTE(SUBSTITUTE(SUBSTITUTE(I101," ",""),"-",""),"(",""),")",""),"+",""),1)="7",LEFT(SUBSTITUTE(SUBSTITUTE(SUBSTITUTE(SUBSTITUTE(SUBSTITUTE(I101," ",""),"-",""),"(",""),")",""),"+",""),1)="8"),ISNUMBER(IFERROR(VALUE(SUBSTITUTE(SUBSTITUTE(SUBSTITUTE(SUBSTITUTE(SUBSTITUTE(I101," ",""),"-",""),"(",""),")",""),"+","")),"x"))),"","Телефон: неверный формат"))</f>
        <v/>
      </c>
      <c r="Q101" s="24" t="str">
        <f aca="false">TRIM(IF(TRIM(B101)="","Нет наименования. ","")&amp;IF(TRIM(F101)="","Нет адреса. ","")&amp;IF(TRIM(G101)="","Нет контактного лица.",""))</f>
        <v/>
      </c>
      <c r="R101" s="21" t="n">
        <f aca="false">SUMPRODUCT(--(LEN(K101:Q101)&gt;0))</f>
        <v>0</v>
      </c>
      <c r="S101" s="24" t="str">
        <f aca="false">IF(R101=0,"Готово к передаче","Требует исправления")</f>
        <v>Готово к передаче</v>
      </c>
      <c r="T101" s="24" t="str">
        <f aca="false">IF(R101=0,"",_xlfn.TEXTJOIN("; ",TRUE(),K101:Q101))</f>
        <v/>
      </c>
      <c r="U101" s="24" t="str">
        <f aca="false">IF(R101=0,"","Здравствуйте! В данных организации «"&amp;B101&amp;"» обнаружены ошибки: "&amp;T101&amp;". Просим проверить и прислать исправленную информацию.")</f>
        <v/>
      </c>
      <c r="V101" s="21" t="str">
        <f aca="false">IF(R101&gt;0,COUNTIF($R$2:R101,"&gt;0"),"")</f>
        <v/>
      </c>
      <c r="W101" s="21" t="n">
        <f aca="false">IF(R101=0,COUNTIF($R$2:R101,0),"")</f>
        <v>62</v>
      </c>
    </row>
    <row r="102" customFormat="false" ht="15" hidden="false" customHeight="false" outlineLevel="0" collapsed="false">
      <c r="A102" s="21" t="n">
        <v>101</v>
      </c>
      <c r="B102" s="22" t="s">
        <v>873</v>
      </c>
      <c r="C102" s="23" t="s">
        <v>874</v>
      </c>
      <c r="D102" s="23" t="s">
        <v>875</v>
      </c>
      <c r="E102" s="23" t="s">
        <v>876</v>
      </c>
      <c r="F102" s="22" t="s">
        <v>877</v>
      </c>
      <c r="G102" s="22" t="s">
        <v>878</v>
      </c>
      <c r="H102" s="22" t="s">
        <v>879</v>
      </c>
      <c r="I102" s="23" t="s">
        <v>880</v>
      </c>
      <c r="J102" s="24" t="str">
        <f aca="false">IFERROR(VLOOKUP(VALUE(LEFT(C102,2)),Справочники!$A$2:$B$16,2,FALSE()),"не определён")</f>
        <v>г. Севастополь</v>
      </c>
      <c r="K102" s="24" t="str">
        <f aca="false">IF(TRIM(C102)="","ИНН не указан",IF(LEN(C102)&lt;&gt;10,"ИНН: должно быть 10 цифр",IF(NOT(ISNUMBER(IFERROR(VALUE(C102),"x"))),"ИНН: есть нецифровые символы",IF(MOD(MOD(SUMPRODUCT(--MID(C102,{1,2,3,4,5,6,7,8,9},1),{2,4,10,3,5,9,4,6,8}),11),10)=VALUE(RIGHT(C102,1)),"","ИНН: неверная контрольная цифра"))))</f>
        <v>ИНН: неверная контрольная цифра</v>
      </c>
      <c r="L102" s="24" t="str">
        <f aca="false">IF(TRIM(D102)="","ОГРН не указан",IF(LEN(D102)&lt;&gt;13,"ОГРН: должно быть 13 цифр",IF(NOT(ISNUMBER(IFERROR(VALUE(D102),"x"))),"ОГРН: есть нецифровые символы",IF(MOD(VALUE(LEFT(D102,12))-11*INT(VALUE(LEFT(D102,12))/11),10)=VALUE(RIGHT(D102,1)),"","ОГРН: неверная контрольная цифра"))))</f>
        <v/>
      </c>
      <c r="M102" s="24" t="str">
        <f aca="false">IF(TRIM(E102)="","КПП не указан",IF(LEN(E102)&lt;&gt;9,"КПП: должно быть 9 знаков",IF(NOT(AND(ISNUMBER(IFERROR(VALUE(LEFT(E102,4)),"x")),ISNUMBER(IFERROR(VALUE(RIGHT(E102,3)),"x")))),"КПП: неверный формат",IF(LEFT(E102,2)&lt;&gt;LEFT(C102,2),"КПП: код региона не совпадает с ИНН",""))))</f>
        <v/>
      </c>
      <c r="N102" s="24" t="str">
        <f aca="false">IF(TRIM(C102)="","",IF(COUNTIF($C$2:$C$401,C102)&gt;1,"Дубликат ИНН в реестре",""))</f>
        <v/>
      </c>
      <c r="O102" s="24" t="str">
        <f aca="false">IF(TRIM(H102)="","Email не указан",IF(AND(ISNUMBER(FIND("@",H102)),ISNUMBER(FIND(".",H102,IFERROR(FIND("@",H102),1))),ISERROR(FIND(" ",H102)),LEFT(H102,1)&lt;&gt;"@",RIGHT(H102,1)&lt;&gt;".",LEN(H102)-LEN(SUBSTITUTE(H102,"@",""))=1),"","Email: неверный формат"))</f>
        <v/>
      </c>
      <c r="P102" s="24" t="str">
        <f aca="false">IF(TRIM(I102)="","Телефон не указан",IF(AND(LEN(SUBSTITUTE(SUBSTITUTE(SUBSTITUTE(SUBSTITUTE(SUBSTITUTE(I102," ",""),"-",""),"(",""),")",""),"+",""))=11,OR(LEFT(SUBSTITUTE(SUBSTITUTE(SUBSTITUTE(SUBSTITUTE(SUBSTITUTE(I102," ",""),"-",""),"(",""),")",""),"+",""),1)="7",LEFT(SUBSTITUTE(SUBSTITUTE(SUBSTITUTE(SUBSTITUTE(SUBSTITUTE(I102," ",""),"-",""),"(",""),")",""),"+",""),1)="8"),ISNUMBER(IFERROR(VALUE(SUBSTITUTE(SUBSTITUTE(SUBSTITUTE(SUBSTITUTE(SUBSTITUTE(I102," ",""),"-",""),"(",""),")",""),"+","")),"x"))),"","Телефон: неверный формат"))</f>
        <v>Телефон: неверный формат</v>
      </c>
      <c r="Q102" s="24" t="str">
        <f aca="false">TRIM(IF(TRIM(B102)="","Нет наименования. ","")&amp;IF(TRIM(F102)="","Нет адреса. ","")&amp;IF(TRIM(G102)="","Нет контактного лица.",""))</f>
        <v/>
      </c>
      <c r="R102" s="21" t="n">
        <f aca="false">SUMPRODUCT(--(LEN(K102:Q102)&gt;0))</f>
        <v>2</v>
      </c>
      <c r="S102" s="24" t="str">
        <f aca="false">IF(R102=0,"Готово к передаче","Требует исправления")</f>
        <v>Требует исправления</v>
      </c>
      <c r="T102" s="24" t="str">
        <f aca="false">IF(R102=0,"",_xlfn.TEXTJOIN("; ",TRUE(),K102:Q102))</f>
        <v>ИНН: неверная контрольная цифра; Телефон: неверный формат</v>
      </c>
      <c r="U102" s="24" t="str">
        <f aca="false">IF(R102=0,"","Здравствуйте! В данных организации «"&amp;B102&amp;"» обнаружены ошибки: "&amp;T102&amp;". Просим проверить и прислать исправленную информацию.")</f>
        <v>Здравствуйте! В данных организации «ООО «Феникс Транс»» обнаружены ошибки: ИНН: неверная контрольная цифра; Телефон: неверный формат. Просим проверить и прислать исправленную информацию.</v>
      </c>
      <c r="V102" s="21" t="n">
        <f aca="false">IF(R102&gt;0,COUNTIF($R$2:R102,"&gt;0"),"")</f>
        <v>39</v>
      </c>
      <c r="W102" s="21" t="str">
        <f aca="false">IF(R102=0,COUNTIF($R$2:R102,0),"")</f>
        <v/>
      </c>
    </row>
    <row r="103" customFormat="false" ht="15" hidden="false" customHeight="false" outlineLevel="0" collapsed="false">
      <c r="A103" s="21" t="n">
        <v>102</v>
      </c>
      <c r="B103" s="22" t="s">
        <v>881</v>
      </c>
      <c r="C103" s="23" t="s">
        <v>882</v>
      </c>
      <c r="D103" s="23" t="s">
        <v>883</v>
      </c>
      <c r="E103" s="23" t="s">
        <v>884</v>
      </c>
      <c r="F103" s="22" t="s">
        <v>885</v>
      </c>
      <c r="G103" s="22" t="s">
        <v>886</v>
      </c>
      <c r="H103" s="22" t="s">
        <v>887</v>
      </c>
      <c r="I103" s="23" t="s">
        <v>888</v>
      </c>
      <c r="J103" s="24" t="str">
        <f aca="false">IFERROR(VLOOKUP(VALUE(LEFT(C103,2)),Справочники!$A$2:$B$16,2,FALSE()),"не определён")</f>
        <v>Челябинская область</v>
      </c>
      <c r="K103" s="24" t="str">
        <f aca="false">IF(TRIM(C103)="","ИНН не указан",IF(LEN(C103)&lt;&gt;10,"ИНН: должно быть 10 цифр",IF(NOT(ISNUMBER(IFERROR(VALUE(C103),"x"))),"ИНН: есть нецифровые символы",IF(MOD(MOD(SUMPRODUCT(--MID(C103,{1,2,3,4,5,6,7,8,9},1),{2,4,10,3,5,9,4,6,8}),11),10)=VALUE(RIGHT(C103,1)),"","ИНН: неверная контрольная цифра"))))</f>
        <v/>
      </c>
      <c r="L103" s="24" t="str">
        <f aca="false">IF(TRIM(D103)="","ОГРН не указан",IF(LEN(D103)&lt;&gt;13,"ОГРН: должно быть 13 цифр",IF(NOT(ISNUMBER(IFERROR(VALUE(D103),"x"))),"ОГРН: есть нецифровые символы",IF(MOD(VALUE(LEFT(D103,12))-11*INT(VALUE(LEFT(D103,12))/11),10)=VALUE(RIGHT(D103,1)),"","ОГРН: неверная контрольная цифра"))))</f>
        <v/>
      </c>
      <c r="M103" s="24" t="str">
        <f aca="false">IF(TRIM(E103)="","КПП не указан",IF(LEN(E103)&lt;&gt;9,"КПП: должно быть 9 знаков",IF(NOT(AND(ISNUMBER(IFERROR(VALUE(LEFT(E103,4)),"x")),ISNUMBER(IFERROR(VALUE(RIGHT(E103,3)),"x")))),"КПП: неверный формат",IF(LEFT(E103,2)&lt;&gt;LEFT(C103,2),"КПП: код региона не совпадает с ИНН",""))))</f>
        <v/>
      </c>
      <c r="N103" s="24" t="str">
        <f aca="false">IF(TRIM(C103)="","",IF(COUNTIF($C$2:$C$401,C103)&gt;1,"Дубликат ИНН в реестре",""))</f>
        <v/>
      </c>
      <c r="O103" s="24" t="str">
        <f aca="false">IF(TRIM(H103)="","Email не указан",IF(AND(ISNUMBER(FIND("@",H103)),ISNUMBER(FIND(".",H103,IFERROR(FIND("@",H103),1))),ISERROR(FIND(" ",H103)),LEFT(H103,1)&lt;&gt;"@",RIGHT(H103,1)&lt;&gt;".",LEN(H103)-LEN(SUBSTITUTE(H103,"@",""))=1),"","Email: неверный формат"))</f>
        <v>Email: неверный формат</v>
      </c>
      <c r="P103" s="24" t="str">
        <f aca="false">IF(TRIM(I103)="","Телефон не указан",IF(AND(LEN(SUBSTITUTE(SUBSTITUTE(SUBSTITUTE(SUBSTITUTE(SUBSTITUTE(I103," ",""),"-",""),"(",""),")",""),"+",""))=11,OR(LEFT(SUBSTITUTE(SUBSTITUTE(SUBSTITUTE(SUBSTITUTE(SUBSTITUTE(I103," ",""),"-",""),"(",""),")",""),"+",""),1)="7",LEFT(SUBSTITUTE(SUBSTITUTE(SUBSTITUTE(SUBSTITUTE(SUBSTITUTE(I103," ",""),"-",""),"(",""),")",""),"+",""),1)="8"),ISNUMBER(IFERROR(VALUE(SUBSTITUTE(SUBSTITUTE(SUBSTITUTE(SUBSTITUTE(SUBSTITUTE(I103," ",""),"-",""),"(",""),")",""),"+","")),"x"))),"","Телефон: неверный формат"))</f>
        <v/>
      </c>
      <c r="Q103" s="24" t="str">
        <f aca="false">TRIM(IF(TRIM(B103)="","Нет наименования. ","")&amp;IF(TRIM(F103)="","Нет адреса. ","")&amp;IF(TRIM(G103)="","Нет контактного лица.",""))</f>
        <v/>
      </c>
      <c r="R103" s="21" t="n">
        <f aca="false">SUMPRODUCT(--(LEN(K103:Q103)&gt;0))</f>
        <v>1</v>
      </c>
      <c r="S103" s="24" t="str">
        <f aca="false">IF(R103=0,"Готово к передаче","Требует исправления")</f>
        <v>Требует исправления</v>
      </c>
      <c r="T103" s="24" t="str">
        <f aca="false">IF(R103=0,"",_xlfn.TEXTJOIN("; ",TRUE(),K103:Q103))</f>
        <v>Email: неверный формат</v>
      </c>
      <c r="U103" s="24" t="str">
        <f aca="false">IF(R103=0,"","Здравствуйте! В данных организации «"&amp;B103&amp;"» обнаружены ошибки: "&amp;T103&amp;". Просим проверить и прислать исправленную информацию.")</f>
        <v>Здравствуйте! В данных организации «АО «Квант Софт»» обнаружены ошибки: Email: неверный формат. Просим проверить и прислать исправленную информацию.</v>
      </c>
      <c r="V103" s="21" t="n">
        <f aca="false">IF(R103&gt;0,COUNTIF($R$2:R103,"&gt;0"),"")</f>
        <v>40</v>
      </c>
      <c r="W103" s="21" t="str">
        <f aca="false">IF(R103=0,COUNTIF($R$2:R103,0),"")</f>
        <v/>
      </c>
    </row>
    <row r="104" customFormat="false" ht="15" hidden="false" customHeight="false" outlineLevel="0" collapsed="false">
      <c r="A104" s="21" t="n">
        <v>103</v>
      </c>
      <c r="B104" s="22" t="s">
        <v>889</v>
      </c>
      <c r="C104" s="23" t="s">
        <v>890</v>
      </c>
      <c r="D104" s="23" t="s">
        <v>891</v>
      </c>
      <c r="E104" s="23" t="s">
        <v>892</v>
      </c>
      <c r="F104" s="22" t="s">
        <v>893</v>
      </c>
      <c r="G104" s="22" t="s">
        <v>894</v>
      </c>
      <c r="H104" s="22" t="s">
        <v>895</v>
      </c>
      <c r="I104" s="23" t="s">
        <v>896</v>
      </c>
      <c r="J104" s="24" t="str">
        <f aca="false">IFERROR(VLOOKUP(VALUE(LEFT(C104,2)),Справочники!$A$2:$B$16,2,FALSE()),"не определён")</f>
        <v>Красноярский край</v>
      </c>
      <c r="K104" s="24" t="str">
        <f aca="false">IF(TRIM(C104)="","ИНН не указан",IF(LEN(C104)&lt;&gt;10,"ИНН: должно быть 10 цифр",IF(NOT(ISNUMBER(IFERROR(VALUE(C104),"x"))),"ИНН: есть нецифровые символы",IF(MOD(MOD(SUMPRODUCT(--MID(C104,{1,2,3,4,5,6,7,8,9},1),{2,4,10,3,5,9,4,6,8}),11),10)=VALUE(RIGHT(C104,1)),"","ИНН: неверная контрольная цифра"))))</f>
        <v/>
      </c>
      <c r="L104" s="24" t="str">
        <f aca="false">IF(TRIM(D104)="","ОГРН не указан",IF(LEN(D104)&lt;&gt;13,"ОГРН: должно быть 13 цифр",IF(NOT(ISNUMBER(IFERROR(VALUE(D104),"x"))),"ОГРН: есть нецифровые символы",IF(MOD(VALUE(LEFT(D104,12))-11*INT(VALUE(LEFT(D104,12))/11),10)=VALUE(RIGHT(D104,1)),"","ОГРН: неверная контрольная цифра"))))</f>
        <v/>
      </c>
      <c r="M104" s="24" t="str">
        <f aca="false">IF(TRIM(E104)="","КПП не указан",IF(LEN(E104)&lt;&gt;9,"КПП: должно быть 9 знаков",IF(NOT(AND(ISNUMBER(IFERROR(VALUE(LEFT(E104,4)),"x")),ISNUMBER(IFERROR(VALUE(RIGHT(E104,3)),"x")))),"КПП: неверный формат",IF(LEFT(E104,2)&lt;&gt;LEFT(C104,2),"КПП: код региона не совпадает с ИНН",""))))</f>
        <v/>
      </c>
      <c r="N104" s="24" t="str">
        <f aca="false">IF(TRIM(C104)="","",IF(COUNTIF($C$2:$C$401,C104)&gt;1,"Дубликат ИНН в реестре",""))</f>
        <v/>
      </c>
      <c r="O104" s="24" t="str">
        <f aca="false">IF(TRIM(H104)="","Email не указан",IF(AND(ISNUMBER(FIND("@",H104)),ISNUMBER(FIND(".",H104,IFERROR(FIND("@",H104),1))),ISERROR(FIND(" ",H104)),LEFT(H104,1)&lt;&gt;"@",RIGHT(H104,1)&lt;&gt;".",LEN(H104)-LEN(SUBSTITUTE(H104,"@",""))=1),"","Email: неверный формат"))</f>
        <v/>
      </c>
      <c r="P104" s="24" t="str">
        <f aca="false">IF(TRIM(I104)="","Телефон не указан",IF(AND(LEN(SUBSTITUTE(SUBSTITUTE(SUBSTITUTE(SUBSTITUTE(SUBSTITUTE(I104," ",""),"-",""),"(",""),")",""),"+",""))=11,OR(LEFT(SUBSTITUTE(SUBSTITUTE(SUBSTITUTE(SUBSTITUTE(SUBSTITUTE(I104," ",""),"-",""),"(",""),")",""),"+",""),1)="7",LEFT(SUBSTITUTE(SUBSTITUTE(SUBSTITUTE(SUBSTITUTE(SUBSTITUTE(I104," ",""),"-",""),"(",""),")",""),"+",""),1)="8"),ISNUMBER(IFERROR(VALUE(SUBSTITUTE(SUBSTITUTE(SUBSTITUTE(SUBSTITUTE(SUBSTITUTE(I104," ",""),"-",""),"(",""),")",""),"+","")),"x"))),"","Телефон: неверный формат"))</f>
        <v/>
      </c>
      <c r="Q104" s="24" t="str">
        <f aca="false">TRIM(IF(TRIM(B104)="","Нет наименования. ","")&amp;IF(TRIM(F104)="","Нет адреса. ","")&amp;IF(TRIM(G104)="","Нет контактного лица.",""))</f>
        <v/>
      </c>
      <c r="R104" s="21" t="n">
        <f aca="false">SUMPRODUCT(--(LEN(K104:Q104)&gt;0))</f>
        <v>0</v>
      </c>
      <c r="S104" s="24" t="str">
        <f aca="false">IF(R104=0,"Готово к передаче","Требует исправления")</f>
        <v>Готово к передаче</v>
      </c>
      <c r="T104" s="24" t="str">
        <f aca="false">IF(R104=0,"",_xlfn.TEXTJOIN("; ",TRUE(),K104:Q104))</f>
        <v/>
      </c>
      <c r="U104" s="24" t="str">
        <f aca="false">IF(R104=0,"","Здравствуйте! В данных организации «"&amp;B104&amp;"» обнаружены ошибки: "&amp;T104&amp;". Просим проверить и прислать исправленную информацию.")</f>
        <v/>
      </c>
      <c r="V104" s="21" t="str">
        <f aca="false">IF(R104&gt;0,COUNTIF($R$2:R104,"&gt;0"),"")</f>
        <v/>
      </c>
      <c r="W104" s="21" t="n">
        <f aca="false">IF(R104=0,COUNTIF($R$2:R104,0),"")</f>
        <v>63</v>
      </c>
    </row>
    <row r="105" customFormat="false" ht="15" hidden="false" customHeight="false" outlineLevel="0" collapsed="false">
      <c r="A105" s="21" t="n">
        <v>104</v>
      </c>
      <c r="B105" s="22" t="s">
        <v>897</v>
      </c>
      <c r="C105" s="23" t="s">
        <v>898</v>
      </c>
      <c r="D105" s="23" t="s">
        <v>899</v>
      </c>
      <c r="E105" s="23" t="s">
        <v>900</v>
      </c>
      <c r="F105" s="22" t="s">
        <v>901</v>
      </c>
      <c r="G105" s="22" t="s">
        <v>902</v>
      </c>
      <c r="H105" s="22" t="s">
        <v>903</v>
      </c>
      <c r="I105" s="23" t="s">
        <v>904</v>
      </c>
      <c r="J105" s="24" t="str">
        <f aca="false">IFERROR(VLOOKUP(VALUE(LEFT(C105,2)),Справочники!$A$2:$B$16,2,FALSE()),"не определён")</f>
        <v>Краснодарский край</v>
      </c>
      <c r="K105" s="24" t="str">
        <f aca="false">IF(TRIM(C105)="","ИНН не указан",IF(LEN(C105)&lt;&gt;10,"ИНН: должно быть 10 цифр",IF(NOT(ISNUMBER(IFERROR(VALUE(C105),"x"))),"ИНН: есть нецифровые символы",IF(MOD(MOD(SUMPRODUCT(--MID(C105,{1,2,3,4,5,6,7,8,9},1),{2,4,10,3,5,9,4,6,8}),11),10)=VALUE(RIGHT(C105,1)),"","ИНН: неверная контрольная цифра"))))</f>
        <v/>
      </c>
      <c r="L105" s="24" t="str">
        <f aca="false">IF(TRIM(D105)="","ОГРН не указан",IF(LEN(D105)&lt;&gt;13,"ОГРН: должно быть 13 цифр",IF(NOT(ISNUMBER(IFERROR(VALUE(D105),"x"))),"ОГРН: есть нецифровые символы",IF(MOD(VALUE(LEFT(D105,12))-11*INT(VALUE(LEFT(D105,12))/11),10)=VALUE(RIGHT(D105,1)),"","ОГРН: неверная контрольная цифра"))))</f>
        <v/>
      </c>
      <c r="M105" s="24" t="str">
        <f aca="false">IF(TRIM(E105)="","КПП не указан",IF(LEN(E105)&lt;&gt;9,"КПП: должно быть 9 знаков",IF(NOT(AND(ISNUMBER(IFERROR(VALUE(LEFT(E105,4)),"x")),ISNUMBER(IFERROR(VALUE(RIGHT(E105,3)),"x")))),"КПП: неверный формат",IF(LEFT(E105,2)&lt;&gt;LEFT(C105,2),"КПП: код региона не совпадает с ИНН",""))))</f>
        <v/>
      </c>
      <c r="N105" s="24" t="str">
        <f aca="false">IF(TRIM(C105)="","",IF(COUNTIF($C$2:$C$401,C105)&gt;1,"Дубликат ИНН в реестре",""))</f>
        <v/>
      </c>
      <c r="O105" s="24" t="str">
        <f aca="false">IF(TRIM(H105)="","Email не указан",IF(AND(ISNUMBER(FIND("@",H105)),ISNUMBER(FIND(".",H105,IFERROR(FIND("@",H105),1))),ISERROR(FIND(" ",H105)),LEFT(H105,1)&lt;&gt;"@",RIGHT(H105,1)&lt;&gt;".",LEN(H105)-LEN(SUBSTITUTE(H105,"@",""))=1),"","Email: неверный формат"))</f>
        <v/>
      </c>
      <c r="P105" s="24" t="str">
        <f aca="false">IF(TRIM(I105)="","Телефон не указан",IF(AND(LEN(SUBSTITUTE(SUBSTITUTE(SUBSTITUTE(SUBSTITUTE(SUBSTITUTE(I105," ",""),"-",""),"(",""),")",""),"+",""))=11,OR(LEFT(SUBSTITUTE(SUBSTITUTE(SUBSTITUTE(SUBSTITUTE(SUBSTITUTE(I105," ",""),"-",""),"(",""),")",""),"+",""),1)="7",LEFT(SUBSTITUTE(SUBSTITUTE(SUBSTITUTE(SUBSTITUTE(SUBSTITUTE(I105," ",""),"-",""),"(",""),")",""),"+",""),1)="8"),ISNUMBER(IFERROR(VALUE(SUBSTITUTE(SUBSTITUTE(SUBSTITUTE(SUBSTITUTE(SUBSTITUTE(I105," ",""),"-",""),"(",""),")",""),"+","")),"x"))),"","Телефон: неверный формат"))</f>
        <v/>
      </c>
      <c r="Q105" s="24" t="str">
        <f aca="false">TRIM(IF(TRIM(B105)="","Нет наименования. ","")&amp;IF(TRIM(F105)="","Нет адреса. ","")&amp;IF(TRIM(G105)="","Нет контактного лица.",""))</f>
        <v/>
      </c>
      <c r="R105" s="21" t="n">
        <f aca="false">SUMPRODUCT(--(LEN(K105:Q105)&gt;0))</f>
        <v>0</v>
      </c>
      <c r="S105" s="24" t="str">
        <f aca="false">IF(R105=0,"Готово к передаче","Требует исправления")</f>
        <v>Готово к передаче</v>
      </c>
      <c r="T105" s="24" t="str">
        <f aca="false">IF(R105=0,"",_xlfn.TEXTJOIN("; ",TRUE(),K105:Q105))</f>
        <v/>
      </c>
      <c r="U105" s="24" t="str">
        <f aca="false">IF(R105=0,"","Здравствуйте! В данных организации «"&amp;B105&amp;"» обнаружены ошибки: "&amp;T105&amp;". Просим проверить и прислать исправленную информацию.")</f>
        <v/>
      </c>
      <c r="V105" s="21" t="str">
        <f aca="false">IF(R105&gt;0,COUNTIF($R$2:R105,"&gt;0"),"")</f>
        <v/>
      </c>
      <c r="W105" s="21" t="n">
        <f aca="false">IF(R105=0,COUNTIF($R$2:R105,0),"")</f>
        <v>64</v>
      </c>
    </row>
    <row r="106" customFormat="false" ht="15" hidden="false" customHeight="false" outlineLevel="0" collapsed="false">
      <c r="A106" s="21" t="n">
        <v>105</v>
      </c>
      <c r="B106" s="22" t="s">
        <v>905</v>
      </c>
      <c r="C106" s="23" t="s">
        <v>906</v>
      </c>
      <c r="D106" s="23" t="s">
        <v>907</v>
      </c>
      <c r="E106" s="23" t="s">
        <v>404</v>
      </c>
      <c r="F106" s="22" t="s">
        <v>908</v>
      </c>
      <c r="G106" s="22" t="s">
        <v>909</v>
      </c>
      <c r="H106" s="22" t="s">
        <v>910</v>
      </c>
      <c r="I106" s="23" t="s">
        <v>911</v>
      </c>
      <c r="J106" s="24" t="str">
        <f aca="false">IFERROR(VLOOKUP(VALUE(LEFT(C106,2)),Справочники!$A$2:$B$16,2,FALSE()),"не определён")</f>
        <v>Челябинская область</v>
      </c>
      <c r="K106" s="24" t="str">
        <f aca="false">IF(TRIM(C106)="","ИНН не указан",IF(LEN(C106)&lt;&gt;10,"ИНН: должно быть 10 цифр",IF(NOT(ISNUMBER(IFERROR(VALUE(C106),"x"))),"ИНН: есть нецифровые символы",IF(MOD(MOD(SUMPRODUCT(--MID(C106,{1,2,3,4,5,6,7,8,9},1),{2,4,10,3,5,9,4,6,8}),11),10)=VALUE(RIGHT(C106,1)),"","ИНН: неверная контрольная цифра"))))</f>
        <v/>
      </c>
      <c r="L106" s="24" t="str">
        <f aca="false">IF(TRIM(D106)="","ОГРН не указан",IF(LEN(D106)&lt;&gt;13,"ОГРН: должно быть 13 цифр",IF(NOT(ISNUMBER(IFERROR(VALUE(D106),"x"))),"ОГРН: есть нецифровые символы",IF(MOD(VALUE(LEFT(D106,12))-11*INT(VALUE(LEFT(D106,12))/11),10)=VALUE(RIGHT(D106,1)),"","ОГРН: неверная контрольная цифра"))))</f>
        <v/>
      </c>
      <c r="M106" s="24" t="str">
        <f aca="false">IF(TRIM(E106)="","КПП не указан",IF(LEN(E106)&lt;&gt;9,"КПП: должно быть 9 знаков",IF(NOT(AND(ISNUMBER(IFERROR(VALUE(LEFT(E106,4)),"x")),ISNUMBER(IFERROR(VALUE(RIGHT(E106,3)),"x")))),"КПП: неверный формат",IF(LEFT(E106,2)&lt;&gt;LEFT(C106,2),"КПП: код региона не совпадает с ИНН",""))))</f>
        <v/>
      </c>
      <c r="N106" s="24" t="str">
        <f aca="false">IF(TRIM(C106)="","",IF(COUNTIF($C$2:$C$401,C106)&gt;1,"Дубликат ИНН в реестре",""))</f>
        <v/>
      </c>
      <c r="O106" s="24" t="str">
        <f aca="false">IF(TRIM(H106)="","Email не указан",IF(AND(ISNUMBER(FIND("@",H106)),ISNUMBER(FIND(".",H106,IFERROR(FIND("@",H106),1))),ISERROR(FIND(" ",H106)),LEFT(H106,1)&lt;&gt;"@",RIGHT(H106,1)&lt;&gt;".",LEN(H106)-LEN(SUBSTITUTE(H106,"@",""))=1),"","Email: неверный формат"))</f>
        <v/>
      </c>
      <c r="P106" s="24" t="str">
        <f aca="false">IF(TRIM(I106)="","Телефон не указан",IF(AND(LEN(SUBSTITUTE(SUBSTITUTE(SUBSTITUTE(SUBSTITUTE(SUBSTITUTE(I106," ",""),"-",""),"(",""),")",""),"+",""))=11,OR(LEFT(SUBSTITUTE(SUBSTITUTE(SUBSTITUTE(SUBSTITUTE(SUBSTITUTE(I106," ",""),"-",""),"(",""),")",""),"+",""),1)="7",LEFT(SUBSTITUTE(SUBSTITUTE(SUBSTITUTE(SUBSTITUTE(SUBSTITUTE(I106," ",""),"-",""),"(",""),")",""),"+",""),1)="8"),ISNUMBER(IFERROR(VALUE(SUBSTITUTE(SUBSTITUTE(SUBSTITUTE(SUBSTITUTE(SUBSTITUTE(I106," ",""),"-",""),"(",""),")",""),"+","")),"x"))),"","Телефон: неверный формат"))</f>
        <v/>
      </c>
      <c r="Q106" s="24" t="str">
        <f aca="false">TRIM(IF(TRIM(B106)="","Нет наименования. ","")&amp;IF(TRIM(F106)="","Нет адреса. ","")&amp;IF(TRIM(G106)="","Нет контактного лица.",""))</f>
        <v/>
      </c>
      <c r="R106" s="21" t="n">
        <f aca="false">SUMPRODUCT(--(LEN(K106:Q106)&gt;0))</f>
        <v>0</v>
      </c>
      <c r="S106" s="24" t="str">
        <f aca="false">IF(R106=0,"Готово к передаче","Требует исправления")</f>
        <v>Готово к передаче</v>
      </c>
      <c r="T106" s="24" t="str">
        <f aca="false">IF(R106=0,"",_xlfn.TEXTJOIN("; ",TRUE(),K106:Q106))</f>
        <v/>
      </c>
      <c r="U106" s="24" t="str">
        <f aca="false">IF(R106=0,"","Здравствуйте! В данных организации «"&amp;B106&amp;"» обнаружены ошибки: "&amp;T106&amp;". Просим проверить и прислать исправленную информацию.")</f>
        <v/>
      </c>
      <c r="V106" s="21" t="str">
        <f aca="false">IF(R106&gt;0,COUNTIF($R$2:R106,"&gt;0"),"")</f>
        <v/>
      </c>
      <c r="W106" s="21" t="n">
        <f aca="false">IF(R106=0,COUNTIF($R$2:R106,0),"")</f>
        <v>65</v>
      </c>
    </row>
    <row r="107" customFormat="false" ht="15" hidden="false" customHeight="false" outlineLevel="0" collapsed="false">
      <c r="A107" s="21" t="n">
        <v>106</v>
      </c>
      <c r="B107" s="22" t="s">
        <v>912</v>
      </c>
      <c r="C107" s="23" t="s">
        <v>244</v>
      </c>
      <c r="D107" s="23" t="s">
        <v>913</v>
      </c>
      <c r="E107" s="23" t="s">
        <v>914</v>
      </c>
      <c r="F107" s="22" t="s">
        <v>915</v>
      </c>
      <c r="G107" s="22" t="s">
        <v>916</v>
      </c>
      <c r="H107" s="22" t="s">
        <v>917</v>
      </c>
      <c r="I107" s="23" t="s">
        <v>918</v>
      </c>
      <c r="J107" s="24" t="str">
        <f aca="false">IFERROR(VLOOKUP(VALUE(LEFT(C107,2)),Справочники!$A$2:$B$16,2,FALSE()),"не определён")</f>
        <v>г. Москва</v>
      </c>
      <c r="K107" s="24" t="str">
        <f aca="false">IF(TRIM(C107)="","ИНН не указан",IF(LEN(C107)&lt;&gt;10,"ИНН: должно быть 10 цифр",IF(NOT(ISNUMBER(IFERROR(VALUE(C107),"x"))),"ИНН: есть нецифровые символы",IF(MOD(MOD(SUMPRODUCT(--MID(C107,{1,2,3,4,5,6,7,8,9},1),{2,4,10,3,5,9,4,6,8}),11),10)=VALUE(RIGHT(C107,1)),"","ИНН: неверная контрольная цифра"))))</f>
        <v/>
      </c>
      <c r="L107" s="24" t="str">
        <f aca="false">IF(TRIM(D107)="","ОГРН не указан",IF(LEN(D107)&lt;&gt;13,"ОГРН: должно быть 13 цифр",IF(NOT(ISNUMBER(IFERROR(VALUE(D107),"x"))),"ОГРН: есть нецифровые символы",IF(MOD(VALUE(LEFT(D107,12))-11*INT(VALUE(LEFT(D107,12))/11),10)=VALUE(RIGHT(D107,1)),"","ОГРН: неверная контрольная цифра"))))</f>
        <v/>
      </c>
      <c r="M107" s="24" t="str">
        <f aca="false">IF(TRIM(E107)="","КПП не указан",IF(LEN(E107)&lt;&gt;9,"КПП: должно быть 9 знаков",IF(NOT(AND(ISNUMBER(IFERROR(VALUE(LEFT(E107,4)),"x")),ISNUMBER(IFERROR(VALUE(RIGHT(E107,3)),"x")))),"КПП: неверный формат",IF(LEFT(E107,2)&lt;&gt;LEFT(C107,2),"КПП: код региона не совпадает с ИНН",""))))</f>
        <v/>
      </c>
      <c r="N107" s="24" t="str">
        <f aca="false">IF(TRIM(C107)="","",IF(COUNTIF($C$2:$C$401,C107)&gt;1,"Дубликат ИНН в реестре",""))</f>
        <v>Дубликат ИНН в реестре</v>
      </c>
      <c r="O107" s="24" t="str">
        <f aca="false">IF(TRIM(H107)="","Email не указан",IF(AND(ISNUMBER(FIND("@",H107)),ISNUMBER(FIND(".",H107,IFERROR(FIND("@",H107),1))),ISERROR(FIND(" ",H107)),LEFT(H107,1)&lt;&gt;"@",RIGHT(H107,1)&lt;&gt;".",LEN(H107)-LEN(SUBSTITUTE(H107,"@",""))=1),"","Email: неверный формат"))</f>
        <v/>
      </c>
      <c r="P107" s="24" t="str">
        <f aca="false">IF(TRIM(I107)="","Телефон не указан",IF(AND(LEN(SUBSTITUTE(SUBSTITUTE(SUBSTITUTE(SUBSTITUTE(SUBSTITUTE(I107," ",""),"-",""),"(",""),")",""),"+",""))=11,OR(LEFT(SUBSTITUTE(SUBSTITUTE(SUBSTITUTE(SUBSTITUTE(SUBSTITUTE(I107," ",""),"-",""),"(",""),")",""),"+",""),1)="7",LEFT(SUBSTITUTE(SUBSTITUTE(SUBSTITUTE(SUBSTITUTE(SUBSTITUTE(I107," ",""),"-",""),"(",""),")",""),"+",""),1)="8"),ISNUMBER(IFERROR(VALUE(SUBSTITUTE(SUBSTITUTE(SUBSTITUTE(SUBSTITUTE(SUBSTITUTE(I107," ",""),"-",""),"(",""),")",""),"+","")),"x"))),"","Телефон: неверный формат"))</f>
        <v/>
      </c>
      <c r="Q107" s="24" t="str">
        <f aca="false">TRIM(IF(TRIM(B107)="","Нет наименования. ","")&amp;IF(TRIM(F107)="","Нет адреса. ","")&amp;IF(TRIM(G107)="","Нет контактного лица.",""))</f>
        <v/>
      </c>
      <c r="R107" s="21" t="n">
        <f aca="false">SUMPRODUCT(--(LEN(K107:Q107)&gt;0))</f>
        <v>1</v>
      </c>
      <c r="S107" s="24" t="str">
        <f aca="false">IF(R107=0,"Готово к передаче","Требует исправления")</f>
        <v>Требует исправления</v>
      </c>
      <c r="T107" s="24" t="str">
        <f aca="false">IF(R107=0,"",_xlfn.TEXTJOIN("; ",TRUE(),K107:Q107))</f>
        <v>Дубликат ИНН в реестре</v>
      </c>
      <c r="U107" s="24" t="str">
        <f aca="false">IF(R107=0,"","Здравствуйте! В данных организации «"&amp;B107&amp;"» обнаружены ошибки: "&amp;T107&amp;". Просим проверить и прислать исправленную информацию.")</f>
        <v>Здравствуйте! В данных организации «АО «Линия Групп»» обнаружены ошибки: Дубликат ИНН в реестре. Просим проверить и прислать исправленную информацию.</v>
      </c>
      <c r="V107" s="21" t="n">
        <f aca="false">IF(R107&gt;0,COUNTIF($R$2:R107,"&gt;0"),"")</f>
        <v>41</v>
      </c>
      <c r="W107" s="21" t="str">
        <f aca="false">IF(R107=0,COUNTIF($R$2:R107,0),"")</f>
        <v/>
      </c>
    </row>
    <row r="108" customFormat="false" ht="15" hidden="false" customHeight="false" outlineLevel="0" collapsed="false">
      <c r="A108" s="21" t="n">
        <v>107</v>
      </c>
      <c r="B108" s="22" t="s">
        <v>919</v>
      </c>
      <c r="C108" s="23" t="s">
        <v>283</v>
      </c>
      <c r="D108" s="23" t="s">
        <v>920</v>
      </c>
      <c r="E108" s="23" t="s">
        <v>921</v>
      </c>
      <c r="F108" s="22" t="s">
        <v>922</v>
      </c>
      <c r="G108" s="22" t="s">
        <v>923</v>
      </c>
      <c r="H108" s="22" t="s">
        <v>924</v>
      </c>
      <c r="I108" s="23" t="s">
        <v>925</v>
      </c>
      <c r="J108" s="24" t="str">
        <f aca="false">IFERROR(VLOOKUP(VALUE(LEFT(C108,2)),Справочники!$A$2:$B$16,2,FALSE()),"не определён")</f>
        <v>Республика Татарстан</v>
      </c>
      <c r="K108" s="24" t="str">
        <f aca="false">IF(TRIM(C108)="","ИНН не указан",IF(LEN(C108)&lt;&gt;10,"ИНН: должно быть 10 цифр",IF(NOT(ISNUMBER(IFERROR(VALUE(C108),"x"))),"ИНН: есть нецифровые символы",IF(MOD(MOD(SUMPRODUCT(--MID(C108,{1,2,3,4,5,6,7,8,9},1),{2,4,10,3,5,9,4,6,8}),11),10)=VALUE(RIGHT(C108,1)),"","ИНН: неверная контрольная цифра"))))</f>
        <v/>
      </c>
      <c r="L108" s="24" t="str">
        <f aca="false">IF(TRIM(D108)="","ОГРН не указан",IF(LEN(D108)&lt;&gt;13,"ОГРН: должно быть 13 цифр",IF(NOT(ISNUMBER(IFERROR(VALUE(D108),"x"))),"ОГРН: есть нецифровые символы",IF(MOD(VALUE(LEFT(D108,12))-11*INT(VALUE(LEFT(D108,12))/11),10)=VALUE(RIGHT(D108,1)),"","ОГРН: неверная контрольная цифра"))))</f>
        <v/>
      </c>
      <c r="M108" s="24" t="str">
        <f aca="false">IF(TRIM(E108)="","КПП не указан",IF(LEN(E108)&lt;&gt;9,"КПП: должно быть 9 знаков",IF(NOT(AND(ISNUMBER(IFERROR(VALUE(LEFT(E108,4)),"x")),ISNUMBER(IFERROR(VALUE(RIGHT(E108,3)),"x")))),"КПП: неверный формат",IF(LEFT(E108,2)&lt;&gt;LEFT(C108,2),"КПП: код региона не совпадает с ИНН",""))))</f>
        <v>КПП: код региона не совпадает с ИНН</v>
      </c>
      <c r="N108" s="24" t="str">
        <f aca="false">IF(TRIM(C108)="","",IF(COUNTIF($C$2:$C$401,C108)&gt;1,"Дубликат ИНН в реестре",""))</f>
        <v>Дубликат ИНН в реестре</v>
      </c>
      <c r="O108" s="24" t="str">
        <f aca="false">IF(TRIM(H108)="","Email не указан",IF(AND(ISNUMBER(FIND("@",H108)),ISNUMBER(FIND(".",H108,IFERROR(FIND("@",H108),1))),ISERROR(FIND(" ",H108)),LEFT(H108,1)&lt;&gt;"@",RIGHT(H108,1)&lt;&gt;".",LEN(H108)-LEN(SUBSTITUTE(H108,"@",""))=1),"","Email: неверный формат"))</f>
        <v/>
      </c>
      <c r="P108" s="24" t="str">
        <f aca="false">IF(TRIM(I108)="","Телефон не указан",IF(AND(LEN(SUBSTITUTE(SUBSTITUTE(SUBSTITUTE(SUBSTITUTE(SUBSTITUTE(I108," ",""),"-",""),"(",""),")",""),"+",""))=11,OR(LEFT(SUBSTITUTE(SUBSTITUTE(SUBSTITUTE(SUBSTITUTE(SUBSTITUTE(I108," ",""),"-",""),"(",""),")",""),"+",""),1)="7",LEFT(SUBSTITUTE(SUBSTITUTE(SUBSTITUTE(SUBSTITUTE(SUBSTITUTE(I108," ",""),"-",""),"(",""),")",""),"+",""),1)="8"),ISNUMBER(IFERROR(VALUE(SUBSTITUTE(SUBSTITUTE(SUBSTITUTE(SUBSTITUTE(SUBSTITUTE(I108," ",""),"-",""),"(",""),")",""),"+","")),"x"))),"","Телефон: неверный формат"))</f>
        <v/>
      </c>
      <c r="Q108" s="24" t="str">
        <f aca="false">TRIM(IF(TRIM(B108)="","Нет наименования. ","")&amp;IF(TRIM(F108)="","Нет адреса. ","")&amp;IF(TRIM(G108)="","Нет контактного лица.",""))</f>
        <v/>
      </c>
      <c r="R108" s="21" t="n">
        <f aca="false">SUMPRODUCT(--(LEN(K108:Q108)&gt;0))</f>
        <v>2</v>
      </c>
      <c r="S108" s="24" t="str">
        <f aca="false">IF(R108=0,"Готово к передаче","Требует исправления")</f>
        <v>Требует исправления</v>
      </c>
      <c r="T108" s="24" t="str">
        <f aca="false">IF(R108=0,"",_xlfn.TEXTJOIN("; ",TRUE(),K108:Q108))</f>
        <v>КПП: код региона не совпадает с ИНН; Дубликат ИНН в реестре</v>
      </c>
      <c r="U108" s="24" t="str">
        <f aca="false">IF(R108=0,"","Здравствуйте! В данных организации «"&amp;B108&amp;"» обнаружены ошибки: "&amp;T108&amp;". Просим проверить и прислать исправленную информацию.")</f>
        <v>Здравствуйте! В данных организации «ООО «Меридиан Торг»» обнаружены ошибки: КПП: код региона не совпадает с ИНН; Дубликат ИНН в реестре. Просим проверить и прислать исправленную информацию.</v>
      </c>
      <c r="V108" s="21" t="n">
        <f aca="false">IF(R108&gt;0,COUNTIF($R$2:R108,"&gt;0"),"")</f>
        <v>42</v>
      </c>
      <c r="W108" s="21" t="str">
        <f aca="false">IF(R108=0,COUNTIF($R$2:R108,0),"")</f>
        <v/>
      </c>
    </row>
    <row r="109" customFormat="false" ht="15" hidden="false" customHeight="false" outlineLevel="0" collapsed="false">
      <c r="A109" s="21" t="n">
        <v>108</v>
      </c>
      <c r="B109" s="22" t="s">
        <v>926</v>
      </c>
      <c r="C109" s="23" t="s">
        <v>927</v>
      </c>
      <c r="D109" s="23" t="s">
        <v>928</v>
      </c>
      <c r="E109" s="23" t="s">
        <v>929</v>
      </c>
      <c r="F109" s="22" t="s">
        <v>930</v>
      </c>
      <c r="G109" s="22" t="s">
        <v>931</v>
      </c>
      <c r="H109" s="22" t="s">
        <v>932</v>
      </c>
      <c r="I109" s="23" t="s">
        <v>933</v>
      </c>
      <c r="J109" s="24" t="str">
        <f aca="false">IFERROR(VLOOKUP(VALUE(LEFT(C109,2)),Справочники!$A$2:$B$16,2,FALSE()),"не определён")</f>
        <v>Краснодарский край</v>
      </c>
      <c r="K109" s="24" t="str">
        <f aca="false">IF(TRIM(C109)="","ИНН не указан",IF(LEN(C109)&lt;&gt;10,"ИНН: должно быть 10 цифр",IF(NOT(ISNUMBER(IFERROR(VALUE(C109),"x"))),"ИНН: есть нецифровые символы",IF(MOD(MOD(SUMPRODUCT(--MID(C109,{1,2,3,4,5,6,7,8,9},1),{2,4,10,3,5,9,4,6,8}),11),10)=VALUE(RIGHT(C109,1)),"","ИНН: неверная контрольная цифра"))))</f>
        <v/>
      </c>
      <c r="L109" s="24" t="str">
        <f aca="false">IF(TRIM(D109)="","ОГРН не указан",IF(LEN(D109)&lt;&gt;13,"ОГРН: должно быть 13 цифр",IF(NOT(ISNUMBER(IFERROR(VALUE(D109),"x"))),"ОГРН: есть нецифровые символы",IF(MOD(VALUE(LEFT(D109,12))-11*INT(VALUE(LEFT(D109,12))/11),10)=VALUE(RIGHT(D109,1)),"","ОГРН: неверная контрольная цифра"))))</f>
        <v/>
      </c>
      <c r="M109" s="24" t="str">
        <f aca="false">IF(TRIM(E109)="","КПП не указан",IF(LEN(E109)&lt;&gt;9,"КПП: должно быть 9 знаков",IF(NOT(AND(ISNUMBER(IFERROR(VALUE(LEFT(E109,4)),"x")),ISNUMBER(IFERROR(VALUE(RIGHT(E109,3)),"x")))),"КПП: неверный формат",IF(LEFT(E109,2)&lt;&gt;LEFT(C109,2),"КПП: код региона не совпадает с ИНН",""))))</f>
        <v/>
      </c>
      <c r="N109" s="24" t="str">
        <f aca="false">IF(TRIM(C109)="","",IF(COUNTIF($C$2:$C$401,C109)&gt;1,"Дубликат ИНН в реестре",""))</f>
        <v/>
      </c>
      <c r="O109" s="24" t="str">
        <f aca="false">IF(TRIM(H109)="","Email не указан",IF(AND(ISNUMBER(FIND("@",H109)),ISNUMBER(FIND(".",H109,IFERROR(FIND("@",H109),1))),ISERROR(FIND(" ",H109)),LEFT(H109,1)&lt;&gt;"@",RIGHT(H109,1)&lt;&gt;".",LEN(H109)-LEN(SUBSTITUTE(H109,"@",""))=1),"","Email: неверный формат"))</f>
        <v/>
      </c>
      <c r="P109" s="24" t="str">
        <f aca="false">IF(TRIM(I109)="","Телефон не указан",IF(AND(LEN(SUBSTITUTE(SUBSTITUTE(SUBSTITUTE(SUBSTITUTE(SUBSTITUTE(I109," ",""),"-",""),"(",""),")",""),"+",""))=11,OR(LEFT(SUBSTITUTE(SUBSTITUTE(SUBSTITUTE(SUBSTITUTE(SUBSTITUTE(I109," ",""),"-",""),"(",""),")",""),"+",""),1)="7",LEFT(SUBSTITUTE(SUBSTITUTE(SUBSTITUTE(SUBSTITUTE(SUBSTITUTE(I109," ",""),"-",""),"(",""),")",""),"+",""),1)="8"),ISNUMBER(IFERROR(VALUE(SUBSTITUTE(SUBSTITUTE(SUBSTITUTE(SUBSTITUTE(SUBSTITUTE(I109," ",""),"-",""),"(",""),")",""),"+","")),"x"))),"","Телефон: неверный формат"))</f>
        <v/>
      </c>
      <c r="Q109" s="24" t="str">
        <f aca="false">TRIM(IF(TRIM(B109)="","Нет наименования. ","")&amp;IF(TRIM(F109)="","Нет адреса. ","")&amp;IF(TRIM(G109)="","Нет контактного лица.",""))</f>
        <v/>
      </c>
      <c r="R109" s="21" t="n">
        <f aca="false">SUMPRODUCT(--(LEN(K109:Q109)&gt;0))</f>
        <v>0</v>
      </c>
      <c r="S109" s="24" t="str">
        <f aca="false">IF(R109=0,"Готово к передаче","Требует исправления")</f>
        <v>Готово к передаче</v>
      </c>
      <c r="T109" s="24" t="str">
        <f aca="false">IF(R109=0,"",_xlfn.TEXTJOIN("; ",TRUE(),K109:Q109))</f>
        <v/>
      </c>
      <c r="U109" s="24" t="str">
        <f aca="false">IF(R109=0,"","Здравствуйте! В данных организации «"&amp;B109&amp;"» обнаружены ошибки: "&amp;T109&amp;". Просим проверить и прислать исправленную информацию.")</f>
        <v/>
      </c>
      <c r="V109" s="21" t="str">
        <f aca="false">IF(R109&gt;0,COUNTIF($R$2:R109,"&gt;0"),"")</f>
        <v/>
      </c>
      <c r="W109" s="21" t="n">
        <f aca="false">IF(R109=0,COUNTIF($R$2:R109,0),"")</f>
        <v>66</v>
      </c>
    </row>
    <row r="110" customFormat="false" ht="15" hidden="false" customHeight="false" outlineLevel="0" collapsed="false">
      <c r="A110" s="21" t="n">
        <v>109</v>
      </c>
      <c r="B110" s="22" t="s">
        <v>934</v>
      </c>
      <c r="C110" s="23" t="s">
        <v>935</v>
      </c>
      <c r="D110" s="23" t="s">
        <v>936</v>
      </c>
      <c r="E110" s="23" t="s">
        <v>937</v>
      </c>
      <c r="F110" s="22" t="s">
        <v>938</v>
      </c>
      <c r="G110" s="22" t="s">
        <v>939</v>
      </c>
      <c r="H110" s="22" t="s">
        <v>940</v>
      </c>
      <c r="I110" s="23" t="s">
        <v>941</v>
      </c>
      <c r="J110" s="24" t="str">
        <f aca="false">IFERROR(VLOOKUP(VALUE(LEFT(C110,2)),Справочники!$A$2:$B$16,2,FALSE()),"не определён")</f>
        <v>г. Санкт-Петербург</v>
      </c>
      <c r="K110" s="24" t="str">
        <f aca="false">IF(TRIM(C110)="","ИНН не указан",IF(LEN(C110)&lt;&gt;10,"ИНН: должно быть 10 цифр",IF(NOT(ISNUMBER(IFERROR(VALUE(C110),"x"))),"ИНН: есть нецифровые символы",IF(MOD(MOD(SUMPRODUCT(--MID(C110,{1,2,3,4,5,6,7,8,9},1),{2,4,10,3,5,9,4,6,8}),11),10)=VALUE(RIGHT(C110,1)),"","ИНН: неверная контрольная цифра"))))</f>
        <v/>
      </c>
      <c r="L110" s="24" t="str">
        <f aca="false">IF(TRIM(D110)="","ОГРН не указан",IF(LEN(D110)&lt;&gt;13,"ОГРН: должно быть 13 цифр",IF(NOT(ISNUMBER(IFERROR(VALUE(D110),"x"))),"ОГРН: есть нецифровые символы",IF(MOD(VALUE(LEFT(D110,12))-11*INT(VALUE(LEFT(D110,12))/11),10)=VALUE(RIGHT(D110,1)),"","ОГРН: неверная контрольная цифра"))))</f>
        <v/>
      </c>
      <c r="M110" s="24" t="str">
        <f aca="false">IF(TRIM(E110)="","КПП не указан",IF(LEN(E110)&lt;&gt;9,"КПП: должно быть 9 знаков",IF(NOT(AND(ISNUMBER(IFERROR(VALUE(LEFT(E110,4)),"x")),ISNUMBER(IFERROR(VALUE(RIGHT(E110,3)),"x")))),"КПП: неверный формат",IF(LEFT(E110,2)&lt;&gt;LEFT(C110,2),"КПП: код региона не совпадает с ИНН",""))))</f>
        <v/>
      </c>
      <c r="N110" s="24" t="str">
        <f aca="false">IF(TRIM(C110)="","",IF(COUNTIF($C$2:$C$401,C110)&gt;1,"Дубликат ИНН в реестре",""))</f>
        <v/>
      </c>
      <c r="O110" s="24" t="str">
        <f aca="false">IF(TRIM(H110)="","Email не указан",IF(AND(ISNUMBER(FIND("@",H110)),ISNUMBER(FIND(".",H110,IFERROR(FIND("@",H110),1))),ISERROR(FIND(" ",H110)),LEFT(H110,1)&lt;&gt;"@",RIGHT(H110,1)&lt;&gt;".",LEN(H110)-LEN(SUBSTITUTE(H110,"@",""))=1),"","Email: неверный формат"))</f>
        <v/>
      </c>
      <c r="P110" s="24" t="str">
        <f aca="false">IF(TRIM(I110)="","Телефон не указан",IF(AND(LEN(SUBSTITUTE(SUBSTITUTE(SUBSTITUTE(SUBSTITUTE(SUBSTITUTE(I110," ",""),"-",""),"(",""),")",""),"+",""))=11,OR(LEFT(SUBSTITUTE(SUBSTITUTE(SUBSTITUTE(SUBSTITUTE(SUBSTITUTE(I110," ",""),"-",""),"(",""),")",""),"+",""),1)="7",LEFT(SUBSTITUTE(SUBSTITUTE(SUBSTITUTE(SUBSTITUTE(SUBSTITUTE(I110," ",""),"-",""),"(",""),")",""),"+",""),1)="8"),ISNUMBER(IFERROR(VALUE(SUBSTITUTE(SUBSTITUTE(SUBSTITUTE(SUBSTITUTE(SUBSTITUTE(I110," ",""),"-",""),"(",""),")",""),"+","")),"x"))),"","Телефон: неверный формат"))</f>
        <v/>
      </c>
      <c r="Q110" s="24" t="str">
        <f aca="false">TRIM(IF(TRIM(B110)="","Нет наименования. ","")&amp;IF(TRIM(F110)="","Нет адреса. ","")&amp;IF(TRIM(G110)="","Нет контактного лица.",""))</f>
        <v/>
      </c>
      <c r="R110" s="21" t="n">
        <f aca="false">SUMPRODUCT(--(LEN(K110:Q110)&gt;0))</f>
        <v>0</v>
      </c>
      <c r="S110" s="24" t="str">
        <f aca="false">IF(R110=0,"Готово к передаче","Требует исправления")</f>
        <v>Готово к передаче</v>
      </c>
      <c r="T110" s="24" t="str">
        <f aca="false">IF(R110=0,"",_xlfn.TEXTJOIN("; ",TRUE(),K110:Q110))</f>
        <v/>
      </c>
      <c r="U110" s="24" t="str">
        <f aca="false">IF(R110=0,"","Здравствуйте! В данных организации «"&amp;B110&amp;"» обнаружены ошибки: "&amp;T110&amp;". Просим проверить и прислать исправленную информацию.")</f>
        <v/>
      </c>
      <c r="V110" s="21" t="str">
        <f aca="false">IF(R110&gt;0,COUNTIF($R$2:R110,"&gt;0"),"")</f>
        <v/>
      </c>
      <c r="W110" s="21" t="n">
        <f aca="false">IF(R110=0,COUNTIF($R$2:R110,0),"")</f>
        <v>67</v>
      </c>
    </row>
    <row r="111" customFormat="false" ht="15" hidden="false" customHeight="false" outlineLevel="0" collapsed="false">
      <c r="A111" s="21" t="n">
        <v>110</v>
      </c>
      <c r="B111" s="22" t="s">
        <v>942</v>
      </c>
      <c r="C111" s="23" t="s">
        <v>943</v>
      </c>
      <c r="D111" s="23" t="s">
        <v>944</v>
      </c>
      <c r="E111" s="23" t="s">
        <v>945</v>
      </c>
      <c r="F111" s="22" t="s">
        <v>946</v>
      </c>
      <c r="G111" s="22" t="s">
        <v>947</v>
      </c>
      <c r="H111" s="22" t="s">
        <v>948</v>
      </c>
      <c r="I111" s="23" t="s">
        <v>949</v>
      </c>
      <c r="J111" s="24" t="str">
        <f aca="false">IFERROR(VLOOKUP(VALUE(LEFT(C111,2)),Справочники!$A$2:$B$16,2,FALSE()),"не определён")</f>
        <v>г. Севастополь</v>
      </c>
      <c r="K111" s="24" t="str">
        <f aca="false">IF(TRIM(C111)="","ИНН не указан",IF(LEN(C111)&lt;&gt;10,"ИНН: должно быть 10 цифр",IF(NOT(ISNUMBER(IFERROR(VALUE(C111),"x"))),"ИНН: есть нецифровые символы",IF(MOD(MOD(SUMPRODUCT(--MID(C111,{1,2,3,4,5,6,7,8,9},1),{2,4,10,3,5,9,4,6,8}),11),10)=VALUE(RIGHT(C111,1)),"","ИНН: неверная контрольная цифра"))))</f>
        <v/>
      </c>
      <c r="L111" s="24" t="str">
        <f aca="false">IF(TRIM(D111)="","ОГРН не указан",IF(LEN(D111)&lt;&gt;13,"ОГРН: должно быть 13 цифр",IF(NOT(ISNUMBER(IFERROR(VALUE(D111),"x"))),"ОГРН: есть нецифровые символы",IF(MOD(VALUE(LEFT(D111,12))-11*INT(VALUE(LEFT(D111,12))/11),10)=VALUE(RIGHT(D111,1)),"","ОГРН: неверная контрольная цифра"))))</f>
        <v/>
      </c>
      <c r="M111" s="24" t="str">
        <f aca="false">IF(TRIM(E111)="","КПП не указан",IF(LEN(E111)&lt;&gt;9,"КПП: должно быть 9 знаков",IF(NOT(AND(ISNUMBER(IFERROR(VALUE(LEFT(E111,4)),"x")),ISNUMBER(IFERROR(VALUE(RIGHT(E111,3)),"x")))),"КПП: неверный формат",IF(LEFT(E111,2)&lt;&gt;LEFT(C111,2),"КПП: код региона не совпадает с ИНН",""))))</f>
        <v/>
      </c>
      <c r="N111" s="24" t="str">
        <f aca="false">IF(TRIM(C111)="","",IF(COUNTIF($C$2:$C$401,C111)&gt;1,"Дубликат ИНН в реестре",""))</f>
        <v/>
      </c>
      <c r="O111" s="24" t="str">
        <f aca="false">IF(TRIM(H111)="","Email не указан",IF(AND(ISNUMBER(FIND("@",H111)),ISNUMBER(FIND(".",H111,IFERROR(FIND("@",H111),1))),ISERROR(FIND(" ",H111)),LEFT(H111,1)&lt;&gt;"@",RIGHT(H111,1)&lt;&gt;".",LEN(H111)-LEN(SUBSTITUTE(H111,"@",""))=1),"","Email: неверный формат"))</f>
        <v/>
      </c>
      <c r="P111" s="24" t="str">
        <f aca="false">IF(TRIM(I111)="","Телефон не указан",IF(AND(LEN(SUBSTITUTE(SUBSTITUTE(SUBSTITUTE(SUBSTITUTE(SUBSTITUTE(I111," ",""),"-",""),"(",""),")",""),"+",""))=11,OR(LEFT(SUBSTITUTE(SUBSTITUTE(SUBSTITUTE(SUBSTITUTE(SUBSTITUTE(I111," ",""),"-",""),"(",""),")",""),"+",""),1)="7",LEFT(SUBSTITUTE(SUBSTITUTE(SUBSTITUTE(SUBSTITUTE(SUBSTITUTE(I111," ",""),"-",""),"(",""),")",""),"+",""),1)="8"),ISNUMBER(IFERROR(VALUE(SUBSTITUTE(SUBSTITUTE(SUBSTITUTE(SUBSTITUTE(SUBSTITUTE(I111," ",""),"-",""),"(",""),")",""),"+","")),"x"))),"","Телефон: неверный формат"))</f>
        <v/>
      </c>
      <c r="Q111" s="24" t="str">
        <f aca="false">TRIM(IF(TRIM(B111)="","Нет наименования. ","")&amp;IF(TRIM(F111)="","Нет адреса. ","")&amp;IF(TRIM(G111)="","Нет контактного лица.",""))</f>
        <v/>
      </c>
      <c r="R111" s="21" t="n">
        <f aca="false">SUMPRODUCT(--(LEN(K111:Q111)&gt;0))</f>
        <v>0</v>
      </c>
      <c r="S111" s="24" t="str">
        <f aca="false">IF(R111=0,"Готово к передаче","Требует исправления")</f>
        <v>Готово к передаче</v>
      </c>
      <c r="T111" s="24" t="str">
        <f aca="false">IF(R111=0,"",_xlfn.TEXTJOIN("; ",TRUE(),K111:Q111))</f>
        <v/>
      </c>
      <c r="U111" s="24" t="str">
        <f aca="false">IF(R111=0,"","Здравствуйте! В данных организации «"&amp;B111&amp;"» обнаружены ошибки: "&amp;T111&amp;". Просим проверить и прислать исправленную информацию.")</f>
        <v/>
      </c>
      <c r="V111" s="21" t="str">
        <f aca="false">IF(R111&gt;0,COUNTIF($R$2:R111,"&gt;0"),"")</f>
        <v/>
      </c>
      <c r="W111" s="21" t="n">
        <f aca="false">IF(R111=0,COUNTIF($R$2:R111,0),"")</f>
        <v>68</v>
      </c>
    </row>
    <row r="112" customFormat="false" ht="15" hidden="false" customHeight="false" outlineLevel="0" collapsed="false">
      <c r="A112" s="21" t="n">
        <v>111</v>
      </c>
      <c r="B112" s="22" t="s">
        <v>950</v>
      </c>
      <c r="C112" s="23" t="s">
        <v>951</v>
      </c>
      <c r="D112" s="23" t="s">
        <v>952</v>
      </c>
      <c r="E112" s="23" t="s">
        <v>953</v>
      </c>
      <c r="F112" s="22" t="s">
        <v>954</v>
      </c>
      <c r="G112" s="22" t="s">
        <v>955</v>
      </c>
      <c r="H112" s="22" t="s">
        <v>956</v>
      </c>
      <c r="I112" s="23" t="s">
        <v>957</v>
      </c>
      <c r="J112" s="24" t="str">
        <f aca="false">IFERROR(VLOOKUP(VALUE(LEFT(C112,2)),Справочники!$A$2:$B$16,2,FALSE()),"не определён")</f>
        <v>Красноярский край</v>
      </c>
      <c r="K112" s="24" t="str">
        <f aca="false">IF(TRIM(C112)="","ИНН не указан",IF(LEN(C112)&lt;&gt;10,"ИНН: должно быть 10 цифр",IF(NOT(ISNUMBER(IFERROR(VALUE(C112),"x"))),"ИНН: есть нецифровые символы",IF(MOD(MOD(SUMPRODUCT(--MID(C112,{1,2,3,4,5,6,7,8,9},1),{2,4,10,3,5,9,4,6,8}),11),10)=VALUE(RIGHT(C112,1)),"","ИНН: неверная контрольная цифра"))))</f>
        <v/>
      </c>
      <c r="L112" s="24" t="str">
        <f aca="false">IF(TRIM(D112)="","ОГРН не указан",IF(LEN(D112)&lt;&gt;13,"ОГРН: должно быть 13 цифр",IF(NOT(ISNUMBER(IFERROR(VALUE(D112),"x"))),"ОГРН: есть нецифровые символы",IF(MOD(VALUE(LEFT(D112,12))-11*INT(VALUE(LEFT(D112,12))/11),10)=VALUE(RIGHT(D112,1)),"","ОГРН: неверная контрольная цифра"))))</f>
        <v/>
      </c>
      <c r="M112" s="24" t="str">
        <f aca="false">IF(TRIM(E112)="","КПП не указан",IF(LEN(E112)&lt;&gt;9,"КПП: должно быть 9 знаков",IF(NOT(AND(ISNUMBER(IFERROR(VALUE(LEFT(E112,4)),"x")),ISNUMBER(IFERROR(VALUE(RIGHT(E112,3)),"x")))),"КПП: неверный формат",IF(LEFT(E112,2)&lt;&gt;LEFT(C112,2),"КПП: код региона не совпадает с ИНН",""))))</f>
        <v/>
      </c>
      <c r="N112" s="24" t="str">
        <f aca="false">IF(TRIM(C112)="","",IF(COUNTIF($C$2:$C$401,C112)&gt;1,"Дубликат ИНН в реестре",""))</f>
        <v/>
      </c>
      <c r="O112" s="24" t="str">
        <f aca="false">IF(TRIM(H112)="","Email не указан",IF(AND(ISNUMBER(FIND("@",H112)),ISNUMBER(FIND(".",H112,IFERROR(FIND("@",H112),1))),ISERROR(FIND(" ",H112)),LEFT(H112,1)&lt;&gt;"@",RIGHT(H112,1)&lt;&gt;".",LEN(H112)-LEN(SUBSTITUTE(H112,"@",""))=1),"","Email: неверный формат"))</f>
        <v/>
      </c>
      <c r="P112" s="24" t="str">
        <f aca="false">IF(TRIM(I112)="","Телефон не указан",IF(AND(LEN(SUBSTITUTE(SUBSTITUTE(SUBSTITUTE(SUBSTITUTE(SUBSTITUTE(I112," ",""),"-",""),"(",""),")",""),"+",""))=11,OR(LEFT(SUBSTITUTE(SUBSTITUTE(SUBSTITUTE(SUBSTITUTE(SUBSTITUTE(I112," ",""),"-",""),"(",""),")",""),"+",""),1)="7",LEFT(SUBSTITUTE(SUBSTITUTE(SUBSTITUTE(SUBSTITUTE(SUBSTITUTE(I112," ",""),"-",""),"(",""),")",""),"+",""),1)="8"),ISNUMBER(IFERROR(VALUE(SUBSTITUTE(SUBSTITUTE(SUBSTITUTE(SUBSTITUTE(SUBSTITUTE(I112," ",""),"-",""),"(",""),")",""),"+","")),"x"))),"","Телефон: неверный формат"))</f>
        <v>Телефон: неверный формат</v>
      </c>
      <c r="Q112" s="24" t="str">
        <f aca="false">TRIM(IF(TRIM(B112)="","Нет наименования. ","")&amp;IF(TRIM(F112)="","Нет адреса. ","")&amp;IF(TRIM(G112)="","Нет контактного лица.",""))</f>
        <v/>
      </c>
      <c r="R112" s="21" t="n">
        <f aca="false">SUMPRODUCT(--(LEN(K112:Q112)&gt;0))</f>
        <v>1</v>
      </c>
      <c r="S112" s="24" t="str">
        <f aca="false">IF(R112=0,"Готово к передаче","Требует исправления")</f>
        <v>Требует исправления</v>
      </c>
      <c r="T112" s="24" t="str">
        <f aca="false">IF(R112=0,"",_xlfn.TEXTJOIN("; ",TRUE(),K112:Q112))</f>
        <v>Телефон: неверный формат</v>
      </c>
      <c r="U112" s="24" t="str">
        <f aca="false">IF(R112=0,"","Здравствуйте! В данных организации «"&amp;B112&amp;"» обнаружены ошибки: "&amp;T112&amp;". Просим проверить и прислать исправленную информацию.")</f>
        <v>Здравствуйте! В данных организации «ООО «Эталон Монтаж»» обнаружены ошибки: Телефон: неверный формат. Просим проверить и прислать исправленную информацию.</v>
      </c>
      <c r="V112" s="21" t="n">
        <f aca="false">IF(R112&gt;0,COUNTIF($R$2:R112,"&gt;0"),"")</f>
        <v>43</v>
      </c>
      <c r="W112" s="21" t="str">
        <f aca="false">IF(R112=0,COUNTIF($R$2:R112,0),"")</f>
        <v/>
      </c>
    </row>
    <row r="113" customFormat="false" ht="15" hidden="false" customHeight="false" outlineLevel="0" collapsed="false">
      <c r="A113" s="21" t="n">
        <v>112</v>
      </c>
      <c r="B113" s="22" t="s">
        <v>958</v>
      </c>
      <c r="C113" s="23" t="s">
        <v>959</v>
      </c>
      <c r="D113" s="23" t="s">
        <v>960</v>
      </c>
      <c r="E113" s="23" t="s">
        <v>961</v>
      </c>
      <c r="F113" s="22" t="s">
        <v>962</v>
      </c>
      <c r="G113" s="22" t="s">
        <v>963</v>
      </c>
      <c r="H113" s="22" t="s">
        <v>964</v>
      </c>
      <c r="I113" s="23" t="s">
        <v>965</v>
      </c>
      <c r="J113" s="24" t="str">
        <f aca="false">IFERROR(VLOOKUP(VALUE(LEFT(C113,2)),Справочники!$A$2:$B$16,2,FALSE()),"не определён")</f>
        <v>Краснодарский край</v>
      </c>
      <c r="K113" s="24" t="str">
        <f aca="false">IF(TRIM(C113)="","ИНН не указан",IF(LEN(C113)&lt;&gt;10,"ИНН: должно быть 10 цифр",IF(NOT(ISNUMBER(IFERROR(VALUE(C113),"x"))),"ИНН: есть нецифровые символы",IF(MOD(MOD(SUMPRODUCT(--MID(C113,{1,2,3,4,5,6,7,8,9},1),{2,4,10,3,5,9,4,6,8}),11),10)=VALUE(RIGHT(C113,1)),"","ИНН: неверная контрольная цифра"))))</f>
        <v/>
      </c>
      <c r="L113" s="24" t="str">
        <f aca="false">IF(TRIM(D113)="","ОГРН не указан",IF(LEN(D113)&lt;&gt;13,"ОГРН: должно быть 13 цифр",IF(NOT(ISNUMBER(IFERROR(VALUE(D113),"x"))),"ОГРН: есть нецифровые символы",IF(MOD(VALUE(LEFT(D113,12))-11*INT(VALUE(LEFT(D113,12))/11),10)=VALUE(RIGHT(D113,1)),"","ОГРН: неверная контрольная цифра"))))</f>
        <v/>
      </c>
      <c r="M113" s="24" t="str">
        <f aca="false">IF(TRIM(E113)="","КПП не указан",IF(LEN(E113)&lt;&gt;9,"КПП: должно быть 9 знаков",IF(NOT(AND(ISNUMBER(IFERROR(VALUE(LEFT(E113,4)),"x")),ISNUMBER(IFERROR(VALUE(RIGHT(E113,3)),"x")))),"КПП: неверный формат",IF(LEFT(E113,2)&lt;&gt;LEFT(C113,2),"КПП: код региона не совпадает с ИНН",""))))</f>
        <v/>
      </c>
      <c r="N113" s="24" t="str">
        <f aca="false">IF(TRIM(C113)="","",IF(COUNTIF($C$2:$C$401,C113)&gt;1,"Дубликат ИНН в реестре",""))</f>
        <v/>
      </c>
      <c r="O113" s="24" t="str">
        <f aca="false">IF(TRIM(H113)="","Email не указан",IF(AND(ISNUMBER(FIND("@",H113)),ISNUMBER(FIND(".",H113,IFERROR(FIND("@",H113),1))),ISERROR(FIND(" ",H113)),LEFT(H113,1)&lt;&gt;"@",RIGHT(H113,1)&lt;&gt;".",LEN(H113)-LEN(SUBSTITUTE(H113,"@",""))=1),"","Email: неверный формат"))</f>
        <v/>
      </c>
      <c r="P113" s="24" t="str">
        <f aca="false">IF(TRIM(I113)="","Телефон не указан",IF(AND(LEN(SUBSTITUTE(SUBSTITUTE(SUBSTITUTE(SUBSTITUTE(SUBSTITUTE(I113," ",""),"-",""),"(",""),")",""),"+",""))=11,OR(LEFT(SUBSTITUTE(SUBSTITUTE(SUBSTITUTE(SUBSTITUTE(SUBSTITUTE(I113," ",""),"-",""),"(",""),")",""),"+",""),1)="7",LEFT(SUBSTITUTE(SUBSTITUTE(SUBSTITUTE(SUBSTITUTE(SUBSTITUTE(I113," ",""),"-",""),"(",""),")",""),"+",""),1)="8"),ISNUMBER(IFERROR(VALUE(SUBSTITUTE(SUBSTITUTE(SUBSTITUTE(SUBSTITUTE(SUBSTITUTE(I113," ",""),"-",""),"(",""),")",""),"+","")),"x"))),"","Телефон: неверный формат"))</f>
        <v/>
      </c>
      <c r="Q113" s="24" t="str">
        <f aca="false">TRIM(IF(TRIM(B113)="","Нет наименования. ","")&amp;IF(TRIM(F113)="","Нет адреса. ","")&amp;IF(TRIM(G113)="","Нет контактного лица.",""))</f>
        <v/>
      </c>
      <c r="R113" s="21" t="n">
        <f aca="false">SUMPRODUCT(--(LEN(K113:Q113)&gt;0))</f>
        <v>0</v>
      </c>
      <c r="S113" s="24" t="str">
        <f aca="false">IF(R113=0,"Готово к передаче","Требует исправления")</f>
        <v>Готово к передаче</v>
      </c>
      <c r="T113" s="24" t="str">
        <f aca="false">IF(R113=0,"",_xlfn.TEXTJOIN("; ",TRUE(),K113:Q113))</f>
        <v/>
      </c>
      <c r="U113" s="24" t="str">
        <f aca="false">IF(R113=0,"","Здравствуйте! В данных организации «"&amp;B113&amp;"» обнаружены ошибки: "&amp;T113&amp;". Просим проверить и прислать исправленную информацию.")</f>
        <v/>
      </c>
      <c r="V113" s="21" t="str">
        <f aca="false">IF(R113&gt;0,COUNTIF($R$2:R113,"&gt;0"),"")</f>
        <v/>
      </c>
      <c r="W113" s="21" t="n">
        <f aca="false">IF(R113=0,COUNTIF($R$2:R113,0),"")</f>
        <v>69</v>
      </c>
    </row>
    <row r="114" customFormat="false" ht="15" hidden="false" customHeight="false" outlineLevel="0" collapsed="false">
      <c r="A114" s="21" t="n">
        <v>113</v>
      </c>
      <c r="B114" s="22" t="s">
        <v>966</v>
      </c>
      <c r="C114" s="23" t="s">
        <v>967</v>
      </c>
      <c r="D114" s="23" t="s">
        <v>968</v>
      </c>
      <c r="E114" s="23" t="s">
        <v>969</v>
      </c>
      <c r="F114" s="22" t="s">
        <v>970</v>
      </c>
      <c r="G114" s="22" t="s">
        <v>971</v>
      </c>
      <c r="H114" s="22" t="s">
        <v>972</v>
      </c>
      <c r="I114" s="23" t="s">
        <v>973</v>
      </c>
      <c r="J114" s="24" t="str">
        <f aca="false">IFERROR(VLOOKUP(VALUE(LEFT(C114,2)),Справочники!$A$2:$B$16,2,FALSE()),"не определён")</f>
        <v>Красноярский край</v>
      </c>
      <c r="K114" s="24" t="str">
        <f aca="false">IF(TRIM(C114)="","ИНН не указан",IF(LEN(C114)&lt;&gt;10,"ИНН: должно быть 10 цифр",IF(NOT(ISNUMBER(IFERROR(VALUE(C114),"x"))),"ИНН: есть нецифровые символы",IF(MOD(MOD(SUMPRODUCT(--MID(C114,{1,2,3,4,5,6,7,8,9},1),{2,4,10,3,5,9,4,6,8}),11),10)=VALUE(RIGHT(C114,1)),"","ИНН: неверная контрольная цифра"))))</f>
        <v/>
      </c>
      <c r="L114" s="24" t="str">
        <f aca="false">IF(TRIM(D114)="","ОГРН не указан",IF(LEN(D114)&lt;&gt;13,"ОГРН: должно быть 13 цифр",IF(NOT(ISNUMBER(IFERROR(VALUE(D114),"x"))),"ОГРН: есть нецифровые символы",IF(MOD(VALUE(LEFT(D114,12))-11*INT(VALUE(LEFT(D114,12))/11),10)=VALUE(RIGHT(D114,1)),"","ОГРН: неверная контрольная цифра"))))</f>
        <v/>
      </c>
      <c r="M114" s="24" t="str">
        <f aca="false">IF(TRIM(E114)="","КПП не указан",IF(LEN(E114)&lt;&gt;9,"КПП: должно быть 9 знаков",IF(NOT(AND(ISNUMBER(IFERROR(VALUE(LEFT(E114,4)),"x")),ISNUMBER(IFERROR(VALUE(RIGHT(E114,3)),"x")))),"КПП: неверный формат",IF(LEFT(E114,2)&lt;&gt;LEFT(C114,2),"КПП: код региона не совпадает с ИНН",""))))</f>
        <v/>
      </c>
      <c r="N114" s="24" t="str">
        <f aca="false">IF(TRIM(C114)="","",IF(COUNTIF($C$2:$C$401,C114)&gt;1,"Дубликат ИНН в реестре",""))</f>
        <v/>
      </c>
      <c r="O114" s="24" t="str">
        <f aca="false">IF(TRIM(H114)="","Email не указан",IF(AND(ISNUMBER(FIND("@",H114)),ISNUMBER(FIND(".",H114,IFERROR(FIND("@",H114),1))),ISERROR(FIND(" ",H114)),LEFT(H114,1)&lt;&gt;"@",RIGHT(H114,1)&lt;&gt;".",LEN(H114)-LEN(SUBSTITUTE(H114,"@",""))=1),"","Email: неверный формат"))</f>
        <v/>
      </c>
      <c r="P114" s="24" t="str">
        <f aca="false">IF(TRIM(I114)="","Телефон не указан",IF(AND(LEN(SUBSTITUTE(SUBSTITUTE(SUBSTITUTE(SUBSTITUTE(SUBSTITUTE(I114," ",""),"-",""),"(",""),")",""),"+",""))=11,OR(LEFT(SUBSTITUTE(SUBSTITUTE(SUBSTITUTE(SUBSTITUTE(SUBSTITUTE(I114," ",""),"-",""),"(",""),")",""),"+",""),1)="7",LEFT(SUBSTITUTE(SUBSTITUTE(SUBSTITUTE(SUBSTITUTE(SUBSTITUTE(I114," ",""),"-",""),"(",""),")",""),"+",""),1)="8"),ISNUMBER(IFERROR(VALUE(SUBSTITUTE(SUBSTITUTE(SUBSTITUTE(SUBSTITUTE(SUBSTITUTE(I114," ",""),"-",""),"(",""),")",""),"+","")),"x"))),"","Телефон: неверный формат"))</f>
        <v/>
      </c>
      <c r="Q114" s="24" t="str">
        <f aca="false">TRIM(IF(TRIM(B114)="","Нет наименования. ","")&amp;IF(TRIM(F114)="","Нет адреса. ","")&amp;IF(TRIM(G114)="","Нет контактного лица.",""))</f>
        <v/>
      </c>
      <c r="R114" s="21" t="n">
        <f aca="false">SUMPRODUCT(--(LEN(K114:Q114)&gt;0))</f>
        <v>0</v>
      </c>
      <c r="S114" s="24" t="str">
        <f aca="false">IF(R114=0,"Готово к передаче","Требует исправления")</f>
        <v>Готово к передаче</v>
      </c>
      <c r="T114" s="24" t="str">
        <f aca="false">IF(R114=0,"",_xlfn.TEXTJOIN("; ",TRUE(),K114:Q114))</f>
        <v/>
      </c>
      <c r="U114" s="24" t="str">
        <f aca="false">IF(R114=0,"","Здравствуйте! В данных организации «"&amp;B114&amp;"» обнаружены ошибки: "&amp;T114&amp;". Просим проверить и прислать исправленную информацию.")</f>
        <v/>
      </c>
      <c r="V114" s="21" t="str">
        <f aca="false">IF(R114&gt;0,COUNTIF($R$2:R114,"&gt;0"),"")</f>
        <v/>
      </c>
      <c r="W114" s="21" t="n">
        <f aca="false">IF(R114=0,COUNTIF($R$2:R114,0),"")</f>
        <v>70</v>
      </c>
    </row>
    <row r="115" customFormat="false" ht="15" hidden="false" customHeight="false" outlineLevel="0" collapsed="false">
      <c r="A115" s="21" t="n">
        <v>114</v>
      </c>
      <c r="B115" s="22" t="s">
        <v>974</v>
      </c>
      <c r="C115" s="23" t="s">
        <v>975</v>
      </c>
      <c r="D115" s="23" t="s">
        <v>976</v>
      </c>
      <c r="E115" s="23" t="s">
        <v>977</v>
      </c>
      <c r="F115" s="22" t="s">
        <v>978</v>
      </c>
      <c r="G115" s="22" t="s">
        <v>979</v>
      </c>
      <c r="H115" s="22"/>
      <c r="I115" s="23" t="s">
        <v>980</v>
      </c>
      <c r="J115" s="24" t="str">
        <f aca="false">IFERROR(VLOOKUP(VALUE(LEFT(C115,2)),Справочники!$A$2:$B$16,2,FALSE()),"не определён")</f>
        <v>Красноярский край</v>
      </c>
      <c r="K115" s="24" t="str">
        <f aca="false">IF(TRIM(C115)="","ИНН не указан",IF(LEN(C115)&lt;&gt;10,"ИНН: должно быть 10 цифр",IF(NOT(ISNUMBER(IFERROR(VALUE(C115),"x"))),"ИНН: есть нецифровые символы",IF(MOD(MOD(SUMPRODUCT(--MID(C115,{1,2,3,4,5,6,7,8,9},1),{2,4,10,3,5,9,4,6,8}),11),10)=VALUE(RIGHT(C115,1)),"","ИНН: неверная контрольная цифра"))))</f>
        <v/>
      </c>
      <c r="L115" s="24" t="str">
        <f aca="false">IF(TRIM(D115)="","ОГРН не указан",IF(LEN(D115)&lt;&gt;13,"ОГРН: должно быть 13 цифр",IF(NOT(ISNUMBER(IFERROR(VALUE(D115),"x"))),"ОГРН: есть нецифровые символы",IF(MOD(VALUE(LEFT(D115,12))-11*INT(VALUE(LEFT(D115,12))/11),10)=VALUE(RIGHT(D115,1)),"","ОГРН: неверная контрольная цифра"))))</f>
        <v/>
      </c>
      <c r="M115" s="24" t="str">
        <f aca="false">IF(TRIM(E115)="","КПП не указан",IF(LEN(E115)&lt;&gt;9,"КПП: должно быть 9 знаков",IF(NOT(AND(ISNUMBER(IFERROR(VALUE(LEFT(E115,4)),"x")),ISNUMBER(IFERROR(VALUE(RIGHT(E115,3)),"x")))),"КПП: неверный формат",IF(LEFT(E115,2)&lt;&gt;LEFT(C115,2),"КПП: код региона не совпадает с ИНН",""))))</f>
        <v/>
      </c>
      <c r="N115" s="24" t="str">
        <f aca="false">IF(TRIM(C115)="","",IF(COUNTIF($C$2:$C$401,C115)&gt;1,"Дубликат ИНН в реестре",""))</f>
        <v/>
      </c>
      <c r="O115" s="24" t="str">
        <f aca="false">IF(TRIM(H115)="","Email не указан",IF(AND(ISNUMBER(FIND("@",H115)),ISNUMBER(FIND(".",H115,IFERROR(FIND("@",H115),1))),ISERROR(FIND(" ",H115)),LEFT(H115,1)&lt;&gt;"@",RIGHT(H115,1)&lt;&gt;".",LEN(H115)-LEN(SUBSTITUTE(H115,"@",""))=1),"","Email: неверный формат"))</f>
        <v>Email не указан</v>
      </c>
      <c r="P115" s="24" t="str">
        <f aca="false">IF(TRIM(I115)="","Телефон не указан",IF(AND(LEN(SUBSTITUTE(SUBSTITUTE(SUBSTITUTE(SUBSTITUTE(SUBSTITUTE(I115," ",""),"-",""),"(",""),")",""),"+",""))=11,OR(LEFT(SUBSTITUTE(SUBSTITUTE(SUBSTITUTE(SUBSTITUTE(SUBSTITUTE(I115," ",""),"-",""),"(",""),")",""),"+",""),1)="7",LEFT(SUBSTITUTE(SUBSTITUTE(SUBSTITUTE(SUBSTITUTE(SUBSTITUTE(I115," ",""),"-",""),"(",""),")",""),"+",""),1)="8"),ISNUMBER(IFERROR(VALUE(SUBSTITUTE(SUBSTITUTE(SUBSTITUTE(SUBSTITUTE(SUBSTITUTE(I115," ",""),"-",""),"(",""),")",""),"+","")),"x"))),"","Телефон: неверный формат"))</f>
        <v/>
      </c>
      <c r="Q115" s="24" t="str">
        <f aca="false">TRIM(IF(TRIM(B115)="","Нет наименования. ","")&amp;IF(TRIM(F115)="","Нет адреса. ","")&amp;IF(TRIM(G115)="","Нет контактного лица.",""))</f>
        <v/>
      </c>
      <c r="R115" s="21" t="n">
        <f aca="false">SUMPRODUCT(--(LEN(K115:Q115)&gt;0))</f>
        <v>1</v>
      </c>
      <c r="S115" s="24" t="str">
        <f aca="false">IF(R115=0,"Готово к передаче","Требует исправления")</f>
        <v>Требует исправления</v>
      </c>
      <c r="T115" s="24" t="str">
        <f aca="false">IF(R115=0,"",_xlfn.TEXTJOIN("; ",TRUE(),K115:Q115))</f>
        <v>Email не указан</v>
      </c>
      <c r="U115" s="24" t="str">
        <f aca="false">IF(R115=0,"","Здравствуйте! В данных организации «"&amp;B115&amp;"» обнаружены ошибки: "&amp;T115&amp;". Просим проверить и прислать исправленную информацию.")</f>
        <v>Здравствуйте! В данных организации «АО «Импульс Строй»» обнаружены ошибки: Email не указан. Просим проверить и прислать исправленную информацию.</v>
      </c>
      <c r="V115" s="21" t="n">
        <f aca="false">IF(R115&gt;0,COUNTIF($R$2:R115,"&gt;0"),"")</f>
        <v>44</v>
      </c>
      <c r="W115" s="21" t="str">
        <f aca="false">IF(R115=0,COUNTIF($R$2:R115,0),"")</f>
        <v/>
      </c>
    </row>
    <row r="116" customFormat="false" ht="15" hidden="false" customHeight="false" outlineLevel="0" collapsed="false">
      <c r="A116" s="21" t="n">
        <v>115</v>
      </c>
      <c r="B116" s="22" t="s">
        <v>981</v>
      </c>
      <c r="C116" s="23" t="s">
        <v>982</v>
      </c>
      <c r="D116" s="23" t="s">
        <v>983</v>
      </c>
      <c r="E116" s="23" t="s">
        <v>984</v>
      </c>
      <c r="F116" s="22" t="s">
        <v>985</v>
      </c>
      <c r="G116" s="22" t="s">
        <v>986</v>
      </c>
      <c r="H116" s="22" t="s">
        <v>987</v>
      </c>
      <c r="I116" s="23" t="s">
        <v>988</v>
      </c>
      <c r="J116" s="24" t="str">
        <f aca="false">IFERROR(VLOOKUP(VALUE(LEFT(C116,2)),Справочники!$A$2:$B$16,2,FALSE()),"не определён")</f>
        <v>г. Санкт-Петербург</v>
      </c>
      <c r="K116" s="24" t="str">
        <f aca="false">IF(TRIM(C116)="","ИНН не указан",IF(LEN(C116)&lt;&gt;10,"ИНН: должно быть 10 цифр",IF(NOT(ISNUMBER(IFERROR(VALUE(C116),"x"))),"ИНН: есть нецифровые символы",IF(MOD(MOD(SUMPRODUCT(--MID(C116,{1,2,3,4,5,6,7,8,9},1),{2,4,10,3,5,9,4,6,8}),11),10)=VALUE(RIGHT(C116,1)),"","ИНН: неверная контрольная цифра"))))</f>
        <v/>
      </c>
      <c r="L116" s="24" t="str">
        <f aca="false">IF(TRIM(D116)="","ОГРН не указан",IF(LEN(D116)&lt;&gt;13,"ОГРН: должно быть 13 цифр",IF(NOT(ISNUMBER(IFERROR(VALUE(D116),"x"))),"ОГРН: есть нецифровые символы",IF(MOD(VALUE(LEFT(D116,12))-11*INT(VALUE(LEFT(D116,12))/11),10)=VALUE(RIGHT(D116,1)),"","ОГРН: неверная контрольная цифра"))))</f>
        <v/>
      </c>
      <c r="M116" s="24" t="str">
        <f aca="false">IF(TRIM(E116)="","КПП не указан",IF(LEN(E116)&lt;&gt;9,"КПП: должно быть 9 знаков",IF(NOT(AND(ISNUMBER(IFERROR(VALUE(LEFT(E116,4)),"x")),ISNUMBER(IFERROR(VALUE(RIGHT(E116,3)),"x")))),"КПП: неверный формат",IF(LEFT(E116,2)&lt;&gt;LEFT(C116,2),"КПП: код региона не совпадает с ИНН",""))))</f>
        <v/>
      </c>
      <c r="N116" s="24" t="str">
        <f aca="false">IF(TRIM(C116)="","",IF(COUNTIF($C$2:$C$401,C116)&gt;1,"Дубликат ИНН в реестре",""))</f>
        <v/>
      </c>
      <c r="O116" s="24" t="str">
        <f aca="false">IF(TRIM(H116)="","Email не указан",IF(AND(ISNUMBER(FIND("@",H116)),ISNUMBER(FIND(".",H116,IFERROR(FIND("@",H116),1))),ISERROR(FIND(" ",H116)),LEFT(H116,1)&lt;&gt;"@",RIGHT(H116,1)&lt;&gt;".",LEN(H116)-LEN(SUBSTITUTE(H116,"@",""))=1),"","Email: неверный формат"))</f>
        <v/>
      </c>
      <c r="P116" s="24" t="str">
        <f aca="false">IF(TRIM(I116)="","Телефон не указан",IF(AND(LEN(SUBSTITUTE(SUBSTITUTE(SUBSTITUTE(SUBSTITUTE(SUBSTITUTE(I116," ",""),"-",""),"(",""),")",""),"+",""))=11,OR(LEFT(SUBSTITUTE(SUBSTITUTE(SUBSTITUTE(SUBSTITUTE(SUBSTITUTE(I116," ",""),"-",""),"(",""),")",""),"+",""),1)="7",LEFT(SUBSTITUTE(SUBSTITUTE(SUBSTITUTE(SUBSTITUTE(SUBSTITUTE(I116," ",""),"-",""),"(",""),")",""),"+",""),1)="8"),ISNUMBER(IFERROR(VALUE(SUBSTITUTE(SUBSTITUTE(SUBSTITUTE(SUBSTITUTE(SUBSTITUTE(I116," ",""),"-",""),"(",""),")",""),"+","")),"x"))),"","Телефон: неверный формат"))</f>
        <v/>
      </c>
      <c r="Q116" s="24" t="str">
        <f aca="false">TRIM(IF(TRIM(B116)="","Нет наименования. ","")&amp;IF(TRIM(F116)="","Нет адреса. ","")&amp;IF(TRIM(G116)="","Нет контактного лица.",""))</f>
        <v/>
      </c>
      <c r="R116" s="21" t="n">
        <f aca="false">SUMPRODUCT(--(LEN(K116:Q116)&gt;0))</f>
        <v>0</v>
      </c>
      <c r="S116" s="24" t="str">
        <f aca="false">IF(R116=0,"Готово к передаче","Требует исправления")</f>
        <v>Готово к передаче</v>
      </c>
      <c r="T116" s="24" t="str">
        <f aca="false">IF(R116=0,"",_xlfn.TEXTJOIN("; ",TRUE(),K116:Q116))</f>
        <v/>
      </c>
      <c r="U116" s="24" t="str">
        <f aca="false">IF(R116=0,"","Здравствуйте! В данных организации «"&amp;B116&amp;"» обнаружены ошибки: "&amp;T116&amp;". Просим проверить и прислать исправленную информацию.")</f>
        <v/>
      </c>
      <c r="V116" s="21" t="str">
        <f aca="false">IF(R116&gt;0,COUNTIF($R$2:R116,"&gt;0"),"")</f>
        <v/>
      </c>
      <c r="W116" s="21" t="n">
        <f aca="false">IF(R116=0,COUNTIF($R$2:R116,0),"")</f>
        <v>71</v>
      </c>
    </row>
    <row r="117" customFormat="false" ht="15" hidden="false" customHeight="false" outlineLevel="0" collapsed="false">
      <c r="A117" s="21" t="n">
        <v>116</v>
      </c>
      <c r="B117" s="22" t="s">
        <v>989</v>
      </c>
      <c r="C117" s="23" t="s">
        <v>990</v>
      </c>
      <c r="D117" s="23" t="s">
        <v>991</v>
      </c>
      <c r="E117" s="23" t="s">
        <v>992</v>
      </c>
      <c r="F117" s="22" t="s">
        <v>993</v>
      </c>
      <c r="G117" s="22" t="s">
        <v>994</v>
      </c>
      <c r="H117" s="22" t="s">
        <v>995</v>
      </c>
      <c r="I117" s="23" t="s">
        <v>996</v>
      </c>
      <c r="J117" s="24" t="str">
        <f aca="false">IFERROR(VLOOKUP(VALUE(LEFT(C117,2)),Справочники!$A$2:$B$16,2,FALSE()),"не определён")</f>
        <v>г. Севастополь</v>
      </c>
      <c r="K117" s="24" t="str">
        <f aca="false">IF(TRIM(C117)="","ИНН не указан",IF(LEN(C117)&lt;&gt;10,"ИНН: должно быть 10 цифр",IF(NOT(ISNUMBER(IFERROR(VALUE(C117),"x"))),"ИНН: есть нецифровые символы",IF(MOD(MOD(SUMPRODUCT(--MID(C117,{1,2,3,4,5,6,7,8,9},1),{2,4,10,3,5,9,4,6,8}),11),10)=VALUE(RIGHT(C117,1)),"","ИНН: неверная контрольная цифра"))))</f>
        <v/>
      </c>
      <c r="L117" s="24" t="str">
        <f aca="false">IF(TRIM(D117)="","ОГРН не указан",IF(LEN(D117)&lt;&gt;13,"ОГРН: должно быть 13 цифр",IF(NOT(ISNUMBER(IFERROR(VALUE(D117),"x"))),"ОГРН: есть нецифровые символы",IF(MOD(VALUE(LEFT(D117,12))-11*INT(VALUE(LEFT(D117,12))/11),10)=VALUE(RIGHT(D117,1)),"","ОГРН: неверная контрольная цифра"))))</f>
        <v/>
      </c>
      <c r="M117" s="24" t="str">
        <f aca="false">IF(TRIM(E117)="","КПП не указан",IF(LEN(E117)&lt;&gt;9,"КПП: должно быть 9 знаков",IF(NOT(AND(ISNUMBER(IFERROR(VALUE(LEFT(E117,4)),"x")),ISNUMBER(IFERROR(VALUE(RIGHT(E117,3)),"x")))),"КПП: неверный формат",IF(LEFT(E117,2)&lt;&gt;LEFT(C117,2),"КПП: код региона не совпадает с ИНН",""))))</f>
        <v/>
      </c>
      <c r="N117" s="24" t="str">
        <f aca="false">IF(TRIM(C117)="","",IF(COUNTIF($C$2:$C$401,C117)&gt;1,"Дубликат ИНН в реестре",""))</f>
        <v/>
      </c>
      <c r="O117" s="24" t="str">
        <f aca="false">IF(TRIM(H117)="","Email не указан",IF(AND(ISNUMBER(FIND("@",H117)),ISNUMBER(FIND(".",H117,IFERROR(FIND("@",H117),1))),ISERROR(FIND(" ",H117)),LEFT(H117,1)&lt;&gt;"@",RIGHT(H117,1)&lt;&gt;".",LEN(H117)-LEN(SUBSTITUTE(H117,"@",""))=1),"","Email: неверный формат"))</f>
        <v/>
      </c>
      <c r="P117" s="24" t="str">
        <f aca="false">IF(TRIM(I117)="","Телефон не указан",IF(AND(LEN(SUBSTITUTE(SUBSTITUTE(SUBSTITUTE(SUBSTITUTE(SUBSTITUTE(I117," ",""),"-",""),"(",""),")",""),"+",""))=11,OR(LEFT(SUBSTITUTE(SUBSTITUTE(SUBSTITUTE(SUBSTITUTE(SUBSTITUTE(I117," ",""),"-",""),"(",""),")",""),"+",""),1)="7",LEFT(SUBSTITUTE(SUBSTITUTE(SUBSTITUTE(SUBSTITUTE(SUBSTITUTE(I117," ",""),"-",""),"(",""),")",""),"+",""),1)="8"),ISNUMBER(IFERROR(VALUE(SUBSTITUTE(SUBSTITUTE(SUBSTITUTE(SUBSTITUTE(SUBSTITUTE(I117," ",""),"-",""),"(",""),")",""),"+","")),"x"))),"","Телефон: неверный формат"))</f>
        <v/>
      </c>
      <c r="Q117" s="24" t="str">
        <f aca="false">TRIM(IF(TRIM(B117)="","Нет наименования. ","")&amp;IF(TRIM(F117)="","Нет адреса. ","")&amp;IF(TRIM(G117)="","Нет контактного лица.",""))</f>
        <v/>
      </c>
      <c r="R117" s="21" t="n">
        <f aca="false">SUMPRODUCT(--(LEN(K117:Q117)&gt;0))</f>
        <v>0</v>
      </c>
      <c r="S117" s="24" t="str">
        <f aca="false">IF(R117=0,"Готово к передаче","Требует исправления")</f>
        <v>Готово к передаче</v>
      </c>
      <c r="T117" s="24" t="str">
        <f aca="false">IF(R117=0,"",_xlfn.TEXTJOIN("; ",TRUE(),K117:Q117))</f>
        <v/>
      </c>
      <c r="U117" s="24" t="str">
        <f aca="false">IF(R117=0,"","Здравствуйте! В данных организации «"&amp;B117&amp;"» обнаружены ошибки: "&amp;T117&amp;". Просим проверить и прислать исправленную информацию.")</f>
        <v/>
      </c>
      <c r="V117" s="21" t="str">
        <f aca="false">IF(R117&gt;0,COUNTIF($R$2:R117,"&gt;0"),"")</f>
        <v/>
      </c>
      <c r="W117" s="21" t="n">
        <f aca="false">IF(R117=0,COUNTIF($R$2:R117,0),"")</f>
        <v>72</v>
      </c>
    </row>
    <row r="118" customFormat="false" ht="15" hidden="false" customHeight="false" outlineLevel="0" collapsed="false">
      <c r="A118" s="21" t="n">
        <v>117</v>
      </c>
      <c r="B118" s="22" t="s">
        <v>997</v>
      </c>
      <c r="C118" s="23" t="s">
        <v>998</v>
      </c>
      <c r="D118" s="23" t="s">
        <v>999</v>
      </c>
      <c r="E118" s="23" t="s">
        <v>1000</v>
      </c>
      <c r="F118" s="22" t="s">
        <v>1001</v>
      </c>
      <c r="G118" s="22" t="s">
        <v>1002</v>
      </c>
      <c r="H118" s="22" t="s">
        <v>1003</v>
      </c>
      <c r="I118" s="23" t="s">
        <v>1004</v>
      </c>
      <c r="J118" s="24" t="str">
        <f aca="false">IFERROR(VLOOKUP(VALUE(LEFT(C118,2)),Справочники!$A$2:$B$16,2,FALSE()),"не определён")</f>
        <v>г. Москва</v>
      </c>
      <c r="K118" s="24" t="str">
        <f aca="false">IF(TRIM(C118)="","ИНН не указан",IF(LEN(C118)&lt;&gt;10,"ИНН: должно быть 10 цифр",IF(NOT(ISNUMBER(IFERROR(VALUE(C118),"x"))),"ИНН: есть нецифровые символы",IF(MOD(MOD(SUMPRODUCT(--MID(C118,{1,2,3,4,5,6,7,8,9},1),{2,4,10,3,5,9,4,6,8}),11),10)=VALUE(RIGHT(C118,1)),"","ИНН: неверная контрольная цифра"))))</f>
        <v/>
      </c>
      <c r="L118" s="24" t="str">
        <f aca="false">IF(TRIM(D118)="","ОГРН не указан",IF(LEN(D118)&lt;&gt;13,"ОГРН: должно быть 13 цифр",IF(NOT(ISNUMBER(IFERROR(VALUE(D118),"x"))),"ОГРН: есть нецифровые символы",IF(MOD(VALUE(LEFT(D118,12))-11*INT(VALUE(LEFT(D118,12))/11),10)=VALUE(RIGHT(D118,1)),"","ОГРН: неверная контрольная цифра"))))</f>
        <v/>
      </c>
      <c r="M118" s="24" t="str">
        <f aca="false">IF(TRIM(E118)="","КПП не указан",IF(LEN(E118)&lt;&gt;9,"КПП: должно быть 9 знаков",IF(NOT(AND(ISNUMBER(IFERROR(VALUE(LEFT(E118,4)),"x")),ISNUMBER(IFERROR(VALUE(RIGHT(E118,3)),"x")))),"КПП: неверный формат",IF(LEFT(E118,2)&lt;&gt;LEFT(C118,2),"КПП: код региона не совпадает с ИНН",""))))</f>
        <v/>
      </c>
      <c r="N118" s="24" t="str">
        <f aca="false">IF(TRIM(C118)="","",IF(COUNTIF($C$2:$C$401,C118)&gt;1,"Дубликат ИНН в реестре",""))</f>
        <v/>
      </c>
      <c r="O118" s="24" t="str">
        <f aca="false">IF(TRIM(H118)="","Email не указан",IF(AND(ISNUMBER(FIND("@",H118)),ISNUMBER(FIND(".",H118,IFERROR(FIND("@",H118),1))),ISERROR(FIND(" ",H118)),LEFT(H118,1)&lt;&gt;"@",RIGHT(H118,1)&lt;&gt;".",LEN(H118)-LEN(SUBSTITUTE(H118,"@",""))=1),"","Email: неверный формат"))</f>
        <v/>
      </c>
      <c r="P118" s="24" t="str">
        <f aca="false">IF(TRIM(I118)="","Телефон не указан",IF(AND(LEN(SUBSTITUTE(SUBSTITUTE(SUBSTITUTE(SUBSTITUTE(SUBSTITUTE(I118," ",""),"-",""),"(",""),")",""),"+",""))=11,OR(LEFT(SUBSTITUTE(SUBSTITUTE(SUBSTITUTE(SUBSTITUTE(SUBSTITUTE(I118," ",""),"-",""),"(",""),")",""),"+",""),1)="7",LEFT(SUBSTITUTE(SUBSTITUTE(SUBSTITUTE(SUBSTITUTE(SUBSTITUTE(I118," ",""),"-",""),"(",""),")",""),"+",""),1)="8"),ISNUMBER(IFERROR(VALUE(SUBSTITUTE(SUBSTITUTE(SUBSTITUTE(SUBSTITUTE(SUBSTITUTE(I118," ",""),"-",""),"(",""),")",""),"+","")),"x"))),"","Телефон: неверный формат"))</f>
        <v/>
      </c>
      <c r="Q118" s="24" t="str">
        <f aca="false">TRIM(IF(TRIM(B118)="","Нет наименования. ","")&amp;IF(TRIM(F118)="","Нет адреса. ","")&amp;IF(TRIM(G118)="","Нет контактного лица.",""))</f>
        <v/>
      </c>
      <c r="R118" s="21" t="n">
        <f aca="false">SUMPRODUCT(--(LEN(K118:Q118)&gt;0))</f>
        <v>0</v>
      </c>
      <c r="S118" s="24" t="str">
        <f aca="false">IF(R118=0,"Готово к передаче","Требует исправления")</f>
        <v>Готово к передаче</v>
      </c>
      <c r="T118" s="24" t="str">
        <f aca="false">IF(R118=0,"",_xlfn.TEXTJOIN("; ",TRUE(),K118:Q118))</f>
        <v/>
      </c>
      <c r="U118" s="24" t="str">
        <f aca="false">IF(R118=0,"","Здравствуйте! В данных организации «"&amp;B118&amp;"» обнаружены ошибки: "&amp;T118&amp;". Просим проверить и прислать исправленную информацию.")</f>
        <v/>
      </c>
      <c r="V118" s="21" t="str">
        <f aca="false">IF(R118&gt;0,COUNTIF($R$2:R118,"&gt;0"),"")</f>
        <v/>
      </c>
      <c r="W118" s="21" t="n">
        <f aca="false">IF(R118=0,COUNTIF($R$2:R118,0),"")</f>
        <v>73</v>
      </c>
    </row>
    <row r="119" customFormat="false" ht="15" hidden="false" customHeight="false" outlineLevel="0" collapsed="false">
      <c r="A119" s="21" t="n">
        <v>118</v>
      </c>
      <c r="B119" s="22" t="s">
        <v>1005</v>
      </c>
      <c r="C119" s="23" t="s">
        <v>1006</v>
      </c>
      <c r="D119" s="23"/>
      <c r="E119" s="23" t="s">
        <v>1007</v>
      </c>
      <c r="F119" s="22" t="s">
        <v>1008</v>
      </c>
      <c r="G119" s="22" t="s">
        <v>1009</v>
      </c>
      <c r="H119" s="22" t="s">
        <v>1010</v>
      </c>
      <c r="I119" s="23" t="s">
        <v>1011</v>
      </c>
      <c r="J119" s="24" t="str">
        <f aca="false">IFERROR(VLOOKUP(VALUE(LEFT(C119,2)),Справочники!$A$2:$B$16,2,FALSE()),"не определён")</f>
        <v>г. Москва</v>
      </c>
      <c r="K119" s="24" t="str">
        <f aca="false">IF(TRIM(C119)="","ИНН не указан",IF(LEN(C119)&lt;&gt;10,"ИНН: должно быть 10 цифр",IF(NOT(ISNUMBER(IFERROR(VALUE(C119),"x"))),"ИНН: есть нецифровые символы",IF(MOD(MOD(SUMPRODUCT(--MID(C119,{1,2,3,4,5,6,7,8,9},1),{2,4,10,3,5,9,4,6,8}),11),10)=VALUE(RIGHT(C119,1)),"","ИНН: неверная контрольная цифра"))))</f>
        <v/>
      </c>
      <c r="L119" s="24" t="str">
        <f aca="false">IF(TRIM(D119)="","ОГРН не указан",IF(LEN(D119)&lt;&gt;13,"ОГРН: должно быть 13 цифр",IF(NOT(ISNUMBER(IFERROR(VALUE(D119),"x"))),"ОГРН: есть нецифровые символы",IF(MOD(VALUE(LEFT(D119,12))-11*INT(VALUE(LEFT(D119,12))/11),10)=VALUE(RIGHT(D119,1)),"","ОГРН: неверная контрольная цифра"))))</f>
        <v>ОГРН не указан</v>
      </c>
      <c r="M119" s="24" t="str">
        <f aca="false">IF(TRIM(E119)="","КПП не указан",IF(LEN(E119)&lt;&gt;9,"КПП: должно быть 9 знаков",IF(NOT(AND(ISNUMBER(IFERROR(VALUE(LEFT(E119,4)),"x")),ISNUMBER(IFERROR(VALUE(RIGHT(E119,3)),"x")))),"КПП: неверный формат",IF(LEFT(E119,2)&lt;&gt;LEFT(C119,2),"КПП: код региона не совпадает с ИНН",""))))</f>
        <v/>
      </c>
      <c r="N119" s="24" t="str">
        <f aca="false">IF(TRIM(C119)="","",IF(COUNTIF($C$2:$C$401,C119)&gt;1,"Дубликат ИНН в реестре",""))</f>
        <v/>
      </c>
      <c r="O119" s="24" t="str">
        <f aca="false">IF(TRIM(H119)="","Email не указан",IF(AND(ISNUMBER(FIND("@",H119)),ISNUMBER(FIND(".",H119,IFERROR(FIND("@",H119),1))),ISERROR(FIND(" ",H119)),LEFT(H119,1)&lt;&gt;"@",RIGHT(H119,1)&lt;&gt;".",LEN(H119)-LEN(SUBSTITUTE(H119,"@",""))=1),"","Email: неверный формат"))</f>
        <v/>
      </c>
      <c r="P119" s="24" t="str">
        <f aca="false">IF(TRIM(I119)="","Телефон не указан",IF(AND(LEN(SUBSTITUTE(SUBSTITUTE(SUBSTITUTE(SUBSTITUTE(SUBSTITUTE(I119," ",""),"-",""),"(",""),")",""),"+",""))=11,OR(LEFT(SUBSTITUTE(SUBSTITUTE(SUBSTITUTE(SUBSTITUTE(SUBSTITUTE(I119," ",""),"-",""),"(",""),")",""),"+",""),1)="7",LEFT(SUBSTITUTE(SUBSTITUTE(SUBSTITUTE(SUBSTITUTE(SUBSTITUTE(I119," ",""),"-",""),"(",""),")",""),"+",""),1)="8"),ISNUMBER(IFERROR(VALUE(SUBSTITUTE(SUBSTITUTE(SUBSTITUTE(SUBSTITUTE(SUBSTITUTE(I119," ",""),"-",""),"(",""),")",""),"+","")),"x"))),"","Телефон: неверный формат"))</f>
        <v/>
      </c>
      <c r="Q119" s="24" t="str">
        <f aca="false">TRIM(IF(TRIM(B119)="","Нет наименования. ","")&amp;IF(TRIM(F119)="","Нет адреса. ","")&amp;IF(TRIM(G119)="","Нет контактного лица.",""))</f>
        <v/>
      </c>
      <c r="R119" s="21" t="n">
        <f aca="false">SUMPRODUCT(--(LEN(K119:Q119)&gt;0))</f>
        <v>1</v>
      </c>
      <c r="S119" s="24" t="str">
        <f aca="false">IF(R119=0,"Готово к передаче","Требует исправления")</f>
        <v>Требует исправления</v>
      </c>
      <c r="T119" s="24" t="str">
        <f aca="false">IF(R119=0,"",_xlfn.TEXTJOIN("; ",TRUE(),K119:Q119))</f>
        <v>ОГРН не указан</v>
      </c>
      <c r="U119" s="24" t="str">
        <f aca="false">IF(R119=0,"","Здравствуйте! В данных организации «"&amp;B119&amp;"» обнаружены ошибки: "&amp;T119&amp;". Просим проверить и прислать исправленную информацию.")</f>
        <v>Здравствуйте! В данных организации «ООО «Заря Трейд»» обнаружены ошибки: ОГРН не указан. Просим проверить и прислать исправленную информацию.</v>
      </c>
      <c r="V119" s="21" t="n">
        <f aca="false">IF(R119&gt;0,COUNTIF($R$2:R119,"&gt;0"),"")</f>
        <v>45</v>
      </c>
      <c r="W119" s="21" t="str">
        <f aca="false">IF(R119=0,COUNTIF($R$2:R119,0),"")</f>
        <v/>
      </c>
    </row>
    <row r="120" customFormat="false" ht="15" hidden="false" customHeight="false" outlineLevel="0" collapsed="false">
      <c r="A120" s="21" t="n">
        <v>119</v>
      </c>
      <c r="B120" s="22" t="s">
        <v>1012</v>
      </c>
      <c r="C120" s="23" t="s">
        <v>1013</v>
      </c>
      <c r="D120" s="23" t="s">
        <v>1014</v>
      </c>
      <c r="E120" s="23" t="s">
        <v>1015</v>
      </c>
      <c r="F120" s="22" t="s">
        <v>1016</v>
      </c>
      <c r="G120" s="22" t="s">
        <v>1017</v>
      </c>
      <c r="H120" s="22" t="s">
        <v>1018</v>
      </c>
      <c r="I120" s="23" t="s">
        <v>1019</v>
      </c>
      <c r="J120" s="24" t="str">
        <f aca="false">IFERROR(VLOOKUP(VALUE(LEFT(C120,2)),Справочники!$A$2:$B$16,2,FALSE()),"не определён")</f>
        <v>Свердловская область</v>
      </c>
      <c r="K120" s="24" t="str">
        <f aca="false">IF(TRIM(C120)="","ИНН не указан",IF(LEN(C120)&lt;&gt;10,"ИНН: должно быть 10 цифр",IF(NOT(ISNUMBER(IFERROR(VALUE(C120),"x"))),"ИНН: есть нецифровые символы",IF(MOD(MOD(SUMPRODUCT(--MID(C120,{1,2,3,4,5,6,7,8,9},1),{2,4,10,3,5,9,4,6,8}),11),10)=VALUE(RIGHT(C120,1)),"","ИНН: неверная контрольная цифра"))))</f>
        <v/>
      </c>
      <c r="L120" s="24" t="str">
        <f aca="false">IF(TRIM(D120)="","ОГРН не указан",IF(LEN(D120)&lt;&gt;13,"ОГРН: должно быть 13 цифр",IF(NOT(ISNUMBER(IFERROR(VALUE(D120),"x"))),"ОГРН: есть нецифровые символы",IF(MOD(VALUE(LEFT(D120,12))-11*INT(VALUE(LEFT(D120,12))/11),10)=VALUE(RIGHT(D120,1)),"","ОГРН: неверная контрольная цифра"))))</f>
        <v/>
      </c>
      <c r="M120" s="24" t="str">
        <f aca="false">IF(TRIM(E120)="","КПП не указан",IF(LEN(E120)&lt;&gt;9,"КПП: должно быть 9 знаков",IF(NOT(AND(ISNUMBER(IFERROR(VALUE(LEFT(E120,4)),"x")),ISNUMBER(IFERROR(VALUE(RIGHT(E120,3)),"x")))),"КПП: неверный формат",IF(LEFT(E120,2)&lt;&gt;LEFT(C120,2),"КПП: код региона не совпадает с ИНН",""))))</f>
        <v/>
      </c>
      <c r="N120" s="24" t="str">
        <f aca="false">IF(TRIM(C120)="","",IF(COUNTIF($C$2:$C$401,C120)&gt;1,"Дубликат ИНН в реестре",""))</f>
        <v/>
      </c>
      <c r="O120" s="24" t="str">
        <f aca="false">IF(TRIM(H120)="","Email не указан",IF(AND(ISNUMBER(FIND("@",H120)),ISNUMBER(FIND(".",H120,IFERROR(FIND("@",H120),1))),ISERROR(FIND(" ",H120)),LEFT(H120,1)&lt;&gt;"@",RIGHT(H120,1)&lt;&gt;".",LEN(H120)-LEN(SUBSTITUTE(H120,"@",""))=1),"","Email: неверный формат"))</f>
        <v/>
      </c>
      <c r="P120" s="24" t="str">
        <f aca="false">IF(TRIM(I120)="","Телефон не указан",IF(AND(LEN(SUBSTITUTE(SUBSTITUTE(SUBSTITUTE(SUBSTITUTE(SUBSTITUTE(I120," ",""),"-",""),"(",""),")",""),"+",""))=11,OR(LEFT(SUBSTITUTE(SUBSTITUTE(SUBSTITUTE(SUBSTITUTE(SUBSTITUTE(I120," ",""),"-",""),"(",""),")",""),"+",""),1)="7",LEFT(SUBSTITUTE(SUBSTITUTE(SUBSTITUTE(SUBSTITUTE(SUBSTITUTE(I120," ",""),"-",""),"(",""),")",""),"+",""),1)="8"),ISNUMBER(IFERROR(VALUE(SUBSTITUTE(SUBSTITUTE(SUBSTITUTE(SUBSTITUTE(SUBSTITUTE(I120," ",""),"-",""),"(",""),")",""),"+","")),"x"))),"","Телефон: неверный формат"))</f>
        <v/>
      </c>
      <c r="Q120" s="24" t="str">
        <f aca="false">TRIM(IF(TRIM(B120)="","Нет наименования. ","")&amp;IF(TRIM(F120)="","Нет адреса. ","")&amp;IF(TRIM(G120)="","Нет контактного лица.",""))</f>
        <v/>
      </c>
      <c r="R120" s="21" t="n">
        <f aca="false">SUMPRODUCT(--(LEN(K120:Q120)&gt;0))</f>
        <v>0</v>
      </c>
      <c r="S120" s="24" t="str">
        <f aca="false">IF(R120=0,"Готово к передаче","Требует исправления")</f>
        <v>Готово к передаче</v>
      </c>
      <c r="T120" s="24" t="str">
        <f aca="false">IF(R120=0,"",_xlfn.TEXTJOIN("; ",TRUE(),K120:Q120))</f>
        <v/>
      </c>
      <c r="U120" s="24" t="str">
        <f aca="false">IF(R120=0,"","Здравствуйте! В данных организации «"&amp;B120&amp;"» обнаружены ошибки: "&amp;T120&amp;". Просим проверить и прислать исправленную информацию.")</f>
        <v/>
      </c>
      <c r="V120" s="21" t="str">
        <f aca="false">IF(R120&gt;0,COUNTIF($R$2:R120,"&gt;0"),"")</f>
        <v/>
      </c>
      <c r="W120" s="21" t="n">
        <f aca="false">IF(R120=0,COUNTIF($R$2:R120,0),"")</f>
        <v>74</v>
      </c>
    </row>
    <row r="121" customFormat="false" ht="15" hidden="false" customHeight="false" outlineLevel="0" collapsed="false">
      <c r="A121" s="21" t="n">
        <v>120</v>
      </c>
      <c r="B121" s="22" t="s">
        <v>1020</v>
      </c>
      <c r="C121" s="23" t="s">
        <v>1021</v>
      </c>
      <c r="D121" s="23" t="s">
        <v>1022</v>
      </c>
      <c r="E121" s="23" t="s">
        <v>1023</v>
      </c>
      <c r="F121" s="22" t="s">
        <v>1024</v>
      </c>
      <c r="G121" s="22" t="s">
        <v>1025</v>
      </c>
      <c r="H121" s="22" t="s">
        <v>1026</v>
      </c>
      <c r="I121" s="23" t="s">
        <v>1027</v>
      </c>
      <c r="J121" s="24" t="str">
        <f aca="false">IFERROR(VLOOKUP(VALUE(LEFT(C121,2)),Справочники!$A$2:$B$16,2,FALSE()),"не определён")</f>
        <v>Новосибирская область</v>
      </c>
      <c r="K121" s="24" t="str">
        <f aca="false">IF(TRIM(C121)="","ИНН не указан",IF(LEN(C121)&lt;&gt;10,"ИНН: должно быть 10 цифр",IF(NOT(ISNUMBER(IFERROR(VALUE(C121),"x"))),"ИНН: есть нецифровые символы",IF(MOD(MOD(SUMPRODUCT(--MID(C121,{1,2,3,4,5,6,7,8,9},1),{2,4,10,3,5,9,4,6,8}),11),10)=VALUE(RIGHT(C121,1)),"","ИНН: неверная контрольная цифра"))))</f>
        <v/>
      </c>
      <c r="L121" s="24" t="str">
        <f aca="false">IF(TRIM(D121)="","ОГРН не указан",IF(LEN(D121)&lt;&gt;13,"ОГРН: должно быть 13 цифр",IF(NOT(ISNUMBER(IFERROR(VALUE(D121),"x"))),"ОГРН: есть нецифровые символы",IF(MOD(VALUE(LEFT(D121,12))-11*INT(VALUE(LEFT(D121,12))/11),10)=VALUE(RIGHT(D121,1)),"","ОГРН: неверная контрольная цифра"))))</f>
        <v/>
      </c>
      <c r="M121" s="24" t="str">
        <f aca="false">IF(TRIM(E121)="","КПП не указан",IF(LEN(E121)&lt;&gt;9,"КПП: должно быть 9 знаков",IF(NOT(AND(ISNUMBER(IFERROR(VALUE(LEFT(E121,4)),"x")),ISNUMBER(IFERROR(VALUE(RIGHT(E121,3)),"x")))),"КПП: неверный формат",IF(LEFT(E121,2)&lt;&gt;LEFT(C121,2),"КПП: код региона не совпадает с ИНН",""))))</f>
        <v/>
      </c>
      <c r="N121" s="24" t="str">
        <f aca="false">IF(TRIM(C121)="","",IF(COUNTIF($C$2:$C$401,C121)&gt;1,"Дубликат ИНН в реестре",""))</f>
        <v/>
      </c>
      <c r="O121" s="24" t="str">
        <f aca="false">IF(TRIM(H121)="","Email не указан",IF(AND(ISNUMBER(FIND("@",H121)),ISNUMBER(FIND(".",H121,IFERROR(FIND("@",H121),1))),ISERROR(FIND(" ",H121)),LEFT(H121,1)&lt;&gt;"@",RIGHT(H121,1)&lt;&gt;".",LEN(H121)-LEN(SUBSTITUTE(H121,"@",""))=1),"","Email: неверный формат"))</f>
        <v/>
      </c>
      <c r="P121" s="24" t="str">
        <f aca="false">IF(TRIM(I121)="","Телефон не указан",IF(AND(LEN(SUBSTITUTE(SUBSTITUTE(SUBSTITUTE(SUBSTITUTE(SUBSTITUTE(I121," ",""),"-",""),"(",""),")",""),"+",""))=11,OR(LEFT(SUBSTITUTE(SUBSTITUTE(SUBSTITUTE(SUBSTITUTE(SUBSTITUTE(I121," ",""),"-",""),"(",""),")",""),"+",""),1)="7",LEFT(SUBSTITUTE(SUBSTITUTE(SUBSTITUTE(SUBSTITUTE(SUBSTITUTE(I121," ",""),"-",""),"(",""),")",""),"+",""),1)="8"),ISNUMBER(IFERROR(VALUE(SUBSTITUTE(SUBSTITUTE(SUBSTITUTE(SUBSTITUTE(SUBSTITUTE(I121," ",""),"-",""),"(",""),")",""),"+","")),"x"))),"","Телефон: неверный формат"))</f>
        <v/>
      </c>
      <c r="Q121" s="24" t="str">
        <f aca="false">TRIM(IF(TRIM(B121)="","Нет наименования. ","")&amp;IF(TRIM(F121)="","Нет адреса. ","")&amp;IF(TRIM(G121)="","Нет контактного лица.",""))</f>
        <v/>
      </c>
      <c r="R121" s="21" t="n">
        <f aca="false">SUMPRODUCT(--(LEN(K121:Q121)&gt;0))</f>
        <v>0</v>
      </c>
      <c r="S121" s="24" t="str">
        <f aca="false">IF(R121=0,"Готово к передаче","Требует исправления")</f>
        <v>Готово к передаче</v>
      </c>
      <c r="T121" s="24" t="str">
        <f aca="false">IF(R121=0,"",_xlfn.TEXTJOIN("; ",TRUE(),K121:Q121))</f>
        <v/>
      </c>
      <c r="U121" s="24" t="str">
        <f aca="false">IF(R121=0,"","Здравствуйте! В данных организации «"&amp;B121&amp;"» обнаружены ошибки: "&amp;T121&amp;". Просим проверить и прислать исправленную информацию.")</f>
        <v/>
      </c>
      <c r="V121" s="21" t="str">
        <f aca="false">IF(R121&gt;0,COUNTIF($R$2:R121,"&gt;0"),"")</f>
        <v/>
      </c>
      <c r="W121" s="21" t="n">
        <f aca="false">IF(R121=0,COUNTIF($R$2:R121,0),"")</f>
        <v>75</v>
      </c>
    </row>
    <row r="122" customFormat="false" ht="15" hidden="false" customHeight="false" outlineLevel="0" collapsed="false">
      <c r="A122" s="21" t="n">
        <v>121</v>
      </c>
      <c r="B122" s="22" t="s">
        <v>1028</v>
      </c>
      <c r="C122" s="23" t="s">
        <v>1029</v>
      </c>
      <c r="D122" s="23" t="s">
        <v>1030</v>
      </c>
      <c r="E122" s="23" t="s">
        <v>1031</v>
      </c>
      <c r="F122" s="22" t="s">
        <v>1032</v>
      </c>
      <c r="G122" s="22" t="s">
        <v>1033</v>
      </c>
      <c r="H122" s="22" t="s">
        <v>1034</v>
      </c>
      <c r="I122" s="23" t="s">
        <v>1035</v>
      </c>
      <c r="J122" s="24" t="str">
        <f aca="false">IFERROR(VLOOKUP(VALUE(LEFT(C122,2)),Справочники!$A$2:$B$16,2,FALSE()),"не определён")</f>
        <v>г. Севастополь</v>
      </c>
      <c r="K122" s="24" t="str">
        <f aca="false">IF(TRIM(C122)="","ИНН не указан",IF(LEN(C122)&lt;&gt;10,"ИНН: должно быть 10 цифр",IF(NOT(ISNUMBER(IFERROR(VALUE(C122),"x"))),"ИНН: есть нецифровые символы",IF(MOD(MOD(SUMPRODUCT(--MID(C122,{1,2,3,4,5,6,7,8,9},1),{2,4,10,3,5,9,4,6,8}),11),10)=VALUE(RIGHT(C122,1)),"","ИНН: неверная контрольная цифра"))))</f>
        <v/>
      </c>
      <c r="L122" s="24" t="str">
        <f aca="false">IF(TRIM(D122)="","ОГРН не указан",IF(LEN(D122)&lt;&gt;13,"ОГРН: должно быть 13 цифр",IF(NOT(ISNUMBER(IFERROR(VALUE(D122),"x"))),"ОГРН: есть нецифровые символы",IF(MOD(VALUE(LEFT(D122,12))-11*INT(VALUE(LEFT(D122,12))/11),10)=VALUE(RIGHT(D122,1)),"","ОГРН: неверная контрольная цифра"))))</f>
        <v/>
      </c>
      <c r="M122" s="24" t="str">
        <f aca="false">IF(TRIM(E122)="","КПП не указан",IF(LEN(E122)&lt;&gt;9,"КПП: должно быть 9 знаков",IF(NOT(AND(ISNUMBER(IFERROR(VALUE(LEFT(E122,4)),"x")),ISNUMBER(IFERROR(VALUE(RIGHT(E122,3)),"x")))),"КПП: неверный формат",IF(LEFT(E122,2)&lt;&gt;LEFT(C122,2),"КПП: код региона не совпадает с ИНН",""))))</f>
        <v/>
      </c>
      <c r="N122" s="24" t="str">
        <f aca="false">IF(TRIM(C122)="","",IF(COUNTIF($C$2:$C$401,C122)&gt;1,"Дубликат ИНН в реестре",""))</f>
        <v/>
      </c>
      <c r="O122" s="24" t="str">
        <f aca="false">IF(TRIM(H122)="","Email не указан",IF(AND(ISNUMBER(FIND("@",H122)),ISNUMBER(FIND(".",H122,IFERROR(FIND("@",H122),1))),ISERROR(FIND(" ",H122)),LEFT(H122,1)&lt;&gt;"@",RIGHT(H122,1)&lt;&gt;".",LEN(H122)-LEN(SUBSTITUTE(H122,"@",""))=1),"","Email: неверный формат"))</f>
        <v/>
      </c>
      <c r="P122" s="24" t="str">
        <f aca="false">IF(TRIM(I122)="","Телефон не указан",IF(AND(LEN(SUBSTITUTE(SUBSTITUTE(SUBSTITUTE(SUBSTITUTE(SUBSTITUTE(I122," ",""),"-",""),"(",""),")",""),"+",""))=11,OR(LEFT(SUBSTITUTE(SUBSTITUTE(SUBSTITUTE(SUBSTITUTE(SUBSTITUTE(I122," ",""),"-",""),"(",""),")",""),"+",""),1)="7",LEFT(SUBSTITUTE(SUBSTITUTE(SUBSTITUTE(SUBSTITUTE(SUBSTITUTE(I122," ",""),"-",""),"(",""),")",""),"+",""),1)="8"),ISNUMBER(IFERROR(VALUE(SUBSTITUTE(SUBSTITUTE(SUBSTITUTE(SUBSTITUTE(SUBSTITUTE(I122," ",""),"-",""),"(",""),")",""),"+","")),"x"))),"","Телефон: неверный формат"))</f>
        <v/>
      </c>
      <c r="Q122" s="24" t="str">
        <f aca="false">TRIM(IF(TRIM(B122)="","Нет наименования. ","")&amp;IF(TRIM(F122)="","Нет адреса. ","")&amp;IF(TRIM(G122)="","Нет контактного лица.",""))</f>
        <v/>
      </c>
      <c r="R122" s="21" t="n">
        <f aca="false">SUMPRODUCT(--(LEN(K122:Q122)&gt;0))</f>
        <v>0</v>
      </c>
      <c r="S122" s="24" t="str">
        <f aca="false">IF(R122=0,"Готово к передаче","Требует исправления")</f>
        <v>Готово к передаче</v>
      </c>
      <c r="T122" s="24" t="str">
        <f aca="false">IF(R122=0,"",_xlfn.TEXTJOIN("; ",TRUE(),K122:Q122))</f>
        <v/>
      </c>
      <c r="U122" s="24" t="str">
        <f aca="false">IF(R122=0,"","Здравствуйте! В данных организации «"&amp;B122&amp;"» обнаружены ошибки: "&amp;T122&amp;". Просим проверить и прислать исправленную информацию.")</f>
        <v/>
      </c>
      <c r="V122" s="21" t="str">
        <f aca="false">IF(R122&gt;0,COUNTIF($R$2:R122,"&gt;0"),"")</f>
        <v/>
      </c>
      <c r="W122" s="21" t="n">
        <f aca="false">IF(R122=0,COUNTIF($R$2:R122,0),"")</f>
        <v>76</v>
      </c>
    </row>
    <row r="123" customFormat="false" ht="15" hidden="false" customHeight="false" outlineLevel="0" collapsed="false">
      <c r="A123" s="21" t="n">
        <v>122</v>
      </c>
      <c r="B123" s="22" t="s">
        <v>1036</v>
      </c>
      <c r="C123" s="23" t="s">
        <v>1037</v>
      </c>
      <c r="D123" s="23" t="s">
        <v>1038</v>
      </c>
      <c r="E123" s="23"/>
      <c r="F123" s="22" t="s">
        <v>1039</v>
      </c>
      <c r="G123" s="22" t="s">
        <v>1040</v>
      </c>
      <c r="H123" s="22" t="s">
        <v>1041</v>
      </c>
      <c r="I123" s="23" t="s">
        <v>1042</v>
      </c>
      <c r="J123" s="24" t="str">
        <f aca="false">IFERROR(VLOOKUP(VALUE(LEFT(C123,2)),Справочники!$A$2:$B$16,2,FALSE()),"не определён")</f>
        <v>г. Севастополь</v>
      </c>
      <c r="K123" s="24" t="str">
        <f aca="false">IF(TRIM(C123)="","ИНН не указан",IF(LEN(C123)&lt;&gt;10,"ИНН: должно быть 10 цифр",IF(NOT(ISNUMBER(IFERROR(VALUE(C123),"x"))),"ИНН: есть нецифровые символы",IF(MOD(MOD(SUMPRODUCT(--MID(C123,{1,2,3,4,5,6,7,8,9},1),{2,4,10,3,5,9,4,6,8}),11),10)=VALUE(RIGHT(C123,1)),"","ИНН: неверная контрольная цифра"))))</f>
        <v/>
      </c>
      <c r="L123" s="24" t="str">
        <f aca="false">IF(TRIM(D123)="","ОГРН не указан",IF(LEN(D123)&lt;&gt;13,"ОГРН: должно быть 13 цифр",IF(NOT(ISNUMBER(IFERROR(VALUE(D123),"x"))),"ОГРН: есть нецифровые символы",IF(MOD(VALUE(LEFT(D123,12))-11*INT(VALUE(LEFT(D123,12))/11),10)=VALUE(RIGHT(D123,1)),"","ОГРН: неверная контрольная цифра"))))</f>
        <v/>
      </c>
      <c r="M123" s="24" t="str">
        <f aca="false">IF(TRIM(E123)="","КПП не указан",IF(LEN(E123)&lt;&gt;9,"КПП: должно быть 9 знаков",IF(NOT(AND(ISNUMBER(IFERROR(VALUE(LEFT(E123,4)),"x")),ISNUMBER(IFERROR(VALUE(RIGHT(E123,3)),"x")))),"КПП: неверный формат",IF(LEFT(E123,2)&lt;&gt;LEFT(C123,2),"КПП: код региона не совпадает с ИНН",""))))</f>
        <v>КПП не указан</v>
      </c>
      <c r="N123" s="24" t="str">
        <f aca="false">IF(TRIM(C123)="","",IF(COUNTIF($C$2:$C$401,C123)&gt;1,"Дубликат ИНН в реестре",""))</f>
        <v/>
      </c>
      <c r="O123" s="24" t="str">
        <f aca="false">IF(TRIM(H123)="","Email не указан",IF(AND(ISNUMBER(FIND("@",H123)),ISNUMBER(FIND(".",H123,IFERROR(FIND("@",H123),1))),ISERROR(FIND(" ",H123)),LEFT(H123,1)&lt;&gt;"@",RIGHT(H123,1)&lt;&gt;".",LEN(H123)-LEN(SUBSTITUTE(H123,"@",""))=1),"","Email: неверный формат"))</f>
        <v/>
      </c>
      <c r="P123" s="24" t="str">
        <f aca="false">IF(TRIM(I123)="","Телефон не указан",IF(AND(LEN(SUBSTITUTE(SUBSTITUTE(SUBSTITUTE(SUBSTITUTE(SUBSTITUTE(I123," ",""),"-",""),"(",""),")",""),"+",""))=11,OR(LEFT(SUBSTITUTE(SUBSTITUTE(SUBSTITUTE(SUBSTITUTE(SUBSTITUTE(I123," ",""),"-",""),"(",""),")",""),"+",""),1)="7",LEFT(SUBSTITUTE(SUBSTITUTE(SUBSTITUTE(SUBSTITUTE(SUBSTITUTE(I123," ",""),"-",""),"(",""),")",""),"+",""),1)="8"),ISNUMBER(IFERROR(VALUE(SUBSTITUTE(SUBSTITUTE(SUBSTITUTE(SUBSTITUTE(SUBSTITUTE(I123," ",""),"-",""),"(",""),")",""),"+","")),"x"))),"","Телефон: неверный формат"))</f>
        <v/>
      </c>
      <c r="Q123" s="24" t="str">
        <f aca="false">TRIM(IF(TRIM(B123)="","Нет наименования. ","")&amp;IF(TRIM(F123)="","Нет адреса. ","")&amp;IF(TRIM(G123)="","Нет контактного лица.",""))</f>
        <v/>
      </c>
      <c r="R123" s="21" t="n">
        <f aca="false">SUMPRODUCT(--(LEN(K123:Q123)&gt;0))</f>
        <v>1</v>
      </c>
      <c r="S123" s="24" t="str">
        <f aca="false">IF(R123=0,"Готово к передаче","Требует исправления")</f>
        <v>Требует исправления</v>
      </c>
      <c r="T123" s="24" t="str">
        <f aca="false">IF(R123=0,"",_xlfn.TEXTJOIN("; ",TRUE(),K123:Q123))</f>
        <v>КПП не указан</v>
      </c>
      <c r="U123" s="24" t="str">
        <f aca="false">IF(R123=0,"","Здравствуйте! В данных организации «"&amp;B123&amp;"» обнаружены ошибки: "&amp;T123&amp;". Просим проверить и прислать исправленную информацию.")</f>
        <v>Здравствуйте! В данных организации «ООО «Юпитер Фуд»» обнаружены ошибки: КПП не указан. Просим проверить и прислать исправленную информацию.</v>
      </c>
      <c r="V123" s="21" t="n">
        <f aca="false">IF(R123&gt;0,COUNTIF($R$2:R123,"&gt;0"),"")</f>
        <v>46</v>
      </c>
      <c r="W123" s="21" t="str">
        <f aca="false">IF(R123=0,COUNTIF($R$2:R123,0),"")</f>
        <v/>
      </c>
    </row>
    <row r="124" customFormat="false" ht="15" hidden="false" customHeight="false" outlineLevel="0" collapsed="false">
      <c r="A124" s="21" t="n">
        <v>123</v>
      </c>
      <c r="B124" s="22" t="s">
        <v>1043</v>
      </c>
      <c r="C124" s="23" t="s">
        <v>1044</v>
      </c>
      <c r="D124" s="23" t="s">
        <v>1045</v>
      </c>
      <c r="E124" s="23" t="s">
        <v>1046</v>
      </c>
      <c r="F124" s="22" t="s">
        <v>1047</v>
      </c>
      <c r="G124" s="22" t="s">
        <v>1048</v>
      </c>
      <c r="H124" s="22" t="s">
        <v>1049</v>
      </c>
      <c r="I124" s="23" t="s">
        <v>1050</v>
      </c>
      <c r="J124" s="24" t="str">
        <f aca="false">IFERROR(VLOOKUP(VALUE(LEFT(C124,2)),Справочники!$A$2:$B$16,2,FALSE()),"не определён")</f>
        <v>Новосибирская область</v>
      </c>
      <c r="K124" s="24" t="str">
        <f aca="false">IF(TRIM(C124)="","ИНН не указан",IF(LEN(C124)&lt;&gt;10,"ИНН: должно быть 10 цифр",IF(NOT(ISNUMBER(IFERROR(VALUE(C124),"x"))),"ИНН: есть нецифровые символы",IF(MOD(MOD(SUMPRODUCT(--MID(C124,{1,2,3,4,5,6,7,8,9},1),{2,4,10,3,5,9,4,6,8}),11),10)=VALUE(RIGHT(C124,1)),"","ИНН: неверная контрольная цифра"))))</f>
        <v/>
      </c>
      <c r="L124" s="24" t="str">
        <f aca="false">IF(TRIM(D124)="","ОГРН не указан",IF(LEN(D124)&lt;&gt;13,"ОГРН: должно быть 13 цифр",IF(NOT(ISNUMBER(IFERROR(VALUE(D124),"x"))),"ОГРН: есть нецифровые символы",IF(MOD(VALUE(LEFT(D124,12))-11*INT(VALUE(LEFT(D124,12))/11),10)=VALUE(RIGHT(D124,1)),"","ОГРН: неверная контрольная цифра"))))</f>
        <v/>
      </c>
      <c r="M124" s="24" t="str">
        <f aca="false">IF(TRIM(E124)="","КПП не указан",IF(LEN(E124)&lt;&gt;9,"КПП: должно быть 9 знаков",IF(NOT(AND(ISNUMBER(IFERROR(VALUE(LEFT(E124,4)),"x")),ISNUMBER(IFERROR(VALUE(RIGHT(E124,3)),"x")))),"КПП: неверный формат",IF(LEFT(E124,2)&lt;&gt;LEFT(C124,2),"КПП: код региона не совпадает с ИНН",""))))</f>
        <v/>
      </c>
      <c r="N124" s="24" t="str">
        <f aca="false">IF(TRIM(C124)="","",IF(COUNTIF($C$2:$C$401,C124)&gt;1,"Дубликат ИНН в реестре",""))</f>
        <v>Дубликат ИНН в реестре</v>
      </c>
      <c r="O124" s="24" t="str">
        <f aca="false">IF(TRIM(H124)="","Email не указан",IF(AND(ISNUMBER(FIND("@",H124)),ISNUMBER(FIND(".",H124,IFERROR(FIND("@",H124),1))),ISERROR(FIND(" ",H124)),LEFT(H124,1)&lt;&gt;"@",RIGHT(H124,1)&lt;&gt;".",LEN(H124)-LEN(SUBSTITUTE(H124,"@",""))=1),"","Email: неверный формат"))</f>
        <v/>
      </c>
      <c r="P124" s="24" t="str">
        <f aca="false">IF(TRIM(I124)="","Телефон не указан",IF(AND(LEN(SUBSTITUTE(SUBSTITUTE(SUBSTITUTE(SUBSTITUTE(SUBSTITUTE(I124," ",""),"-",""),"(",""),")",""),"+",""))=11,OR(LEFT(SUBSTITUTE(SUBSTITUTE(SUBSTITUTE(SUBSTITUTE(SUBSTITUTE(I124," ",""),"-",""),"(",""),")",""),"+",""),1)="7",LEFT(SUBSTITUTE(SUBSTITUTE(SUBSTITUTE(SUBSTITUTE(SUBSTITUTE(I124," ",""),"-",""),"(",""),")",""),"+",""),1)="8"),ISNUMBER(IFERROR(VALUE(SUBSTITUTE(SUBSTITUTE(SUBSTITUTE(SUBSTITUTE(SUBSTITUTE(I124," ",""),"-",""),"(",""),")",""),"+","")),"x"))),"","Телефон: неверный формат"))</f>
        <v/>
      </c>
      <c r="Q124" s="24" t="str">
        <f aca="false">TRIM(IF(TRIM(B124)="","Нет наименования. ","")&amp;IF(TRIM(F124)="","Нет адреса. ","")&amp;IF(TRIM(G124)="","Нет контактного лица.",""))</f>
        <v/>
      </c>
      <c r="R124" s="21" t="n">
        <f aca="false">SUMPRODUCT(--(LEN(K124:Q124)&gt;0))</f>
        <v>1</v>
      </c>
      <c r="S124" s="24" t="str">
        <f aca="false">IF(R124=0,"Готово к передаче","Требует исправления")</f>
        <v>Требует исправления</v>
      </c>
      <c r="T124" s="24" t="str">
        <f aca="false">IF(R124=0,"",_xlfn.TEXTJOIN("; ",TRUE(),K124:Q124))</f>
        <v>Дубликат ИНН в реестре</v>
      </c>
      <c r="U124" s="24" t="str">
        <f aca="false">IF(R124=0,"","Здравствуйте! В данных организации «"&amp;B124&amp;"» обнаружены ошибки: "&amp;T124&amp;". Просим проверить и прислать исправленную информацию.")</f>
        <v>Здравствуйте! В данных организации «ООО «Вектор Монтаж»» обнаружены ошибки: Дубликат ИНН в реестре. Просим проверить и прислать исправленную информацию.</v>
      </c>
      <c r="V124" s="21" t="n">
        <f aca="false">IF(R124&gt;0,COUNTIF($R$2:R124,"&gt;0"),"")</f>
        <v>47</v>
      </c>
      <c r="W124" s="21" t="str">
        <f aca="false">IF(R124=0,COUNTIF($R$2:R124,0),"")</f>
        <v/>
      </c>
    </row>
    <row r="125" customFormat="false" ht="15" hidden="false" customHeight="false" outlineLevel="0" collapsed="false">
      <c r="A125" s="21" t="n">
        <v>124</v>
      </c>
      <c r="B125" s="22" t="s">
        <v>1051</v>
      </c>
      <c r="C125" s="23" t="s">
        <v>1052</v>
      </c>
      <c r="D125" s="23" t="s">
        <v>1053</v>
      </c>
      <c r="E125" s="23" t="s">
        <v>1054</v>
      </c>
      <c r="F125" s="22" t="s">
        <v>1055</v>
      </c>
      <c r="G125" s="22" t="s">
        <v>1056</v>
      </c>
      <c r="H125" s="22" t="s">
        <v>1057</v>
      </c>
      <c r="I125" s="23" t="s">
        <v>1058</v>
      </c>
      <c r="J125" s="24" t="str">
        <f aca="false">IFERROR(VLOOKUP(VALUE(LEFT(C125,2)),Справочники!$A$2:$B$16,2,FALSE()),"не определён")</f>
        <v>Московская область</v>
      </c>
      <c r="K125" s="24" t="str">
        <f aca="false">IF(TRIM(C125)="","ИНН не указан",IF(LEN(C125)&lt;&gt;10,"ИНН: должно быть 10 цифр",IF(NOT(ISNUMBER(IFERROR(VALUE(C125),"x"))),"ИНН: есть нецифровые символы",IF(MOD(MOD(SUMPRODUCT(--MID(C125,{1,2,3,4,5,6,7,8,9},1),{2,4,10,3,5,9,4,6,8}),11),10)=VALUE(RIGHT(C125,1)),"","ИНН: неверная контрольная цифра"))))</f>
        <v>ИНН: неверная контрольная цифра</v>
      </c>
      <c r="L125" s="24" t="str">
        <f aca="false">IF(TRIM(D125)="","ОГРН не указан",IF(LEN(D125)&lt;&gt;13,"ОГРН: должно быть 13 цифр",IF(NOT(ISNUMBER(IFERROR(VALUE(D125),"x"))),"ОГРН: есть нецифровые символы",IF(MOD(VALUE(LEFT(D125,12))-11*INT(VALUE(LEFT(D125,12))/11),10)=VALUE(RIGHT(D125,1)),"","ОГРН: неверная контрольная цифра"))))</f>
        <v>ОГРН: должно быть 13 цифр</v>
      </c>
      <c r="M125" s="24" t="str">
        <f aca="false">IF(TRIM(E125)="","КПП не указан",IF(LEN(E125)&lt;&gt;9,"КПП: должно быть 9 знаков",IF(NOT(AND(ISNUMBER(IFERROR(VALUE(LEFT(E125,4)),"x")),ISNUMBER(IFERROR(VALUE(RIGHT(E125,3)),"x")))),"КПП: неверный формат",IF(LEFT(E125,2)&lt;&gt;LEFT(C125,2),"КПП: код региона не совпадает с ИНН",""))))</f>
        <v/>
      </c>
      <c r="N125" s="24" t="str">
        <f aca="false">IF(TRIM(C125)="","",IF(COUNTIF($C$2:$C$401,C125)&gt;1,"Дубликат ИНН в реестре",""))</f>
        <v/>
      </c>
      <c r="O125" s="24" t="str">
        <f aca="false">IF(TRIM(H125)="","Email не указан",IF(AND(ISNUMBER(FIND("@",H125)),ISNUMBER(FIND(".",H125,IFERROR(FIND("@",H125),1))),ISERROR(FIND(" ",H125)),LEFT(H125,1)&lt;&gt;"@",RIGHT(H125,1)&lt;&gt;".",LEN(H125)-LEN(SUBSTITUTE(H125,"@",""))=1),"","Email: неверный формат"))</f>
        <v/>
      </c>
      <c r="P125" s="24" t="str">
        <f aca="false">IF(TRIM(I125)="","Телефон не указан",IF(AND(LEN(SUBSTITUTE(SUBSTITUTE(SUBSTITUTE(SUBSTITUTE(SUBSTITUTE(I125," ",""),"-",""),"(",""),")",""),"+",""))=11,OR(LEFT(SUBSTITUTE(SUBSTITUTE(SUBSTITUTE(SUBSTITUTE(SUBSTITUTE(I125," ",""),"-",""),"(",""),")",""),"+",""),1)="7",LEFT(SUBSTITUTE(SUBSTITUTE(SUBSTITUTE(SUBSTITUTE(SUBSTITUTE(I125," ",""),"-",""),"(",""),")",""),"+",""),1)="8"),ISNUMBER(IFERROR(VALUE(SUBSTITUTE(SUBSTITUTE(SUBSTITUTE(SUBSTITUTE(SUBSTITUTE(I125," ",""),"-",""),"(",""),")",""),"+","")),"x"))),"","Телефон: неверный формат"))</f>
        <v/>
      </c>
      <c r="Q125" s="24" t="str">
        <f aca="false">TRIM(IF(TRIM(B125)="","Нет наименования. ","")&amp;IF(TRIM(F125)="","Нет адреса. ","")&amp;IF(TRIM(G125)="","Нет контактного лица.",""))</f>
        <v/>
      </c>
      <c r="R125" s="21" t="n">
        <f aca="false">SUMPRODUCT(--(LEN(K125:Q125)&gt;0))</f>
        <v>2</v>
      </c>
      <c r="S125" s="24" t="str">
        <f aca="false">IF(R125=0,"Готово к передаче","Требует исправления")</f>
        <v>Требует исправления</v>
      </c>
      <c r="T125" s="24" t="str">
        <f aca="false">IF(R125=0,"",_xlfn.TEXTJOIN("; ",TRUE(),K125:Q125))</f>
        <v>ИНН: неверная контрольная цифра; ОГРН: должно быть 13 цифр</v>
      </c>
      <c r="U125" s="24" t="str">
        <f aca="false">IF(R125=0,"","Здравствуйте! В данных организации «"&amp;B125&amp;"» обнаружены ошибки: "&amp;T125&amp;". Просим проверить и прислать исправленную информацию.")</f>
        <v>Здравствуйте! В данных организации «ООО «Орбита Трейд»» обнаружены ошибки: ИНН: неверная контрольная цифра; ОГРН: должно быть 13 цифр. Просим проверить и прислать исправленную информацию.</v>
      </c>
      <c r="V125" s="21" t="n">
        <f aca="false">IF(R125&gt;0,COUNTIF($R$2:R125,"&gt;0"),"")</f>
        <v>48</v>
      </c>
      <c r="W125" s="21" t="str">
        <f aca="false">IF(R125=0,COUNTIF($R$2:R125,0),"")</f>
        <v/>
      </c>
    </row>
    <row r="126" customFormat="false" ht="15" hidden="false" customHeight="false" outlineLevel="0" collapsed="false">
      <c r="A126" s="21" t="n">
        <v>125</v>
      </c>
      <c r="B126" s="22" t="s">
        <v>1059</v>
      </c>
      <c r="C126" s="23" t="s">
        <v>1060</v>
      </c>
      <c r="D126" s="23" t="s">
        <v>1061</v>
      </c>
      <c r="E126" s="23" t="s">
        <v>1062</v>
      </c>
      <c r="F126" s="22" t="s">
        <v>1063</v>
      </c>
      <c r="G126" s="22" t="s">
        <v>1064</v>
      </c>
      <c r="H126" s="22" t="s">
        <v>1065</v>
      </c>
      <c r="I126" s="23" t="s">
        <v>1066</v>
      </c>
      <c r="J126" s="24" t="str">
        <f aca="false">IFERROR(VLOOKUP(VALUE(LEFT(C126,2)),Справочники!$A$2:$B$16,2,FALSE()),"не определён")</f>
        <v>г. Москва</v>
      </c>
      <c r="K126" s="24" t="str">
        <f aca="false">IF(TRIM(C126)="","ИНН не указан",IF(LEN(C126)&lt;&gt;10,"ИНН: должно быть 10 цифр",IF(NOT(ISNUMBER(IFERROR(VALUE(C126),"x"))),"ИНН: есть нецифровые символы",IF(MOD(MOD(SUMPRODUCT(--MID(C126,{1,2,3,4,5,6,7,8,9},1),{2,4,10,3,5,9,4,6,8}),11),10)=VALUE(RIGHT(C126,1)),"","ИНН: неверная контрольная цифра"))))</f>
        <v/>
      </c>
      <c r="L126" s="24" t="str">
        <f aca="false">IF(TRIM(D126)="","ОГРН не указан",IF(LEN(D126)&lt;&gt;13,"ОГРН: должно быть 13 цифр",IF(NOT(ISNUMBER(IFERROR(VALUE(D126),"x"))),"ОГРН: есть нецифровые символы",IF(MOD(VALUE(LEFT(D126,12))-11*INT(VALUE(LEFT(D126,12))/11),10)=VALUE(RIGHT(D126,1)),"","ОГРН: неверная контрольная цифра"))))</f>
        <v/>
      </c>
      <c r="M126" s="24" t="str">
        <f aca="false">IF(TRIM(E126)="","КПП не указан",IF(LEN(E126)&lt;&gt;9,"КПП: должно быть 9 знаков",IF(NOT(AND(ISNUMBER(IFERROR(VALUE(LEFT(E126,4)),"x")),ISNUMBER(IFERROR(VALUE(RIGHT(E126,3)),"x")))),"КПП: неверный формат",IF(LEFT(E126,2)&lt;&gt;LEFT(C126,2),"КПП: код региона не совпадает с ИНН",""))))</f>
        <v/>
      </c>
      <c r="N126" s="24" t="str">
        <f aca="false">IF(TRIM(C126)="","",IF(COUNTIF($C$2:$C$401,C126)&gt;1,"Дубликат ИНН в реестре",""))</f>
        <v/>
      </c>
      <c r="O126" s="24" t="str">
        <f aca="false">IF(TRIM(H126)="","Email не указан",IF(AND(ISNUMBER(FIND("@",H126)),ISNUMBER(FIND(".",H126,IFERROR(FIND("@",H126),1))),ISERROR(FIND(" ",H126)),LEFT(H126,1)&lt;&gt;"@",RIGHT(H126,1)&lt;&gt;".",LEN(H126)-LEN(SUBSTITUTE(H126,"@",""))=1),"","Email: неверный формат"))</f>
        <v/>
      </c>
      <c r="P126" s="24" t="str">
        <f aca="false">IF(TRIM(I126)="","Телефон не указан",IF(AND(LEN(SUBSTITUTE(SUBSTITUTE(SUBSTITUTE(SUBSTITUTE(SUBSTITUTE(I126," ",""),"-",""),"(",""),")",""),"+",""))=11,OR(LEFT(SUBSTITUTE(SUBSTITUTE(SUBSTITUTE(SUBSTITUTE(SUBSTITUTE(I126," ",""),"-",""),"(",""),")",""),"+",""),1)="7",LEFT(SUBSTITUTE(SUBSTITUTE(SUBSTITUTE(SUBSTITUTE(SUBSTITUTE(I126," ",""),"-",""),"(",""),")",""),"+",""),1)="8"),ISNUMBER(IFERROR(VALUE(SUBSTITUTE(SUBSTITUTE(SUBSTITUTE(SUBSTITUTE(SUBSTITUTE(I126," ",""),"-",""),"(",""),")",""),"+","")),"x"))),"","Телефон: неверный формат"))</f>
        <v/>
      </c>
      <c r="Q126" s="24" t="str">
        <f aca="false">TRIM(IF(TRIM(B126)="","Нет наименования. ","")&amp;IF(TRIM(F126)="","Нет адреса. ","")&amp;IF(TRIM(G126)="","Нет контактного лица.",""))</f>
        <v/>
      </c>
      <c r="R126" s="21" t="n">
        <f aca="false">SUMPRODUCT(--(LEN(K126:Q126)&gt;0))</f>
        <v>0</v>
      </c>
      <c r="S126" s="24" t="str">
        <f aca="false">IF(R126=0,"Готово к передаче","Требует исправления")</f>
        <v>Готово к передаче</v>
      </c>
      <c r="T126" s="24" t="str">
        <f aca="false">IF(R126=0,"",_xlfn.TEXTJOIN("; ",TRUE(),K126:Q126))</f>
        <v/>
      </c>
      <c r="U126" s="24" t="str">
        <f aca="false">IF(R126=0,"","Здравствуйте! В данных организации «"&amp;B126&amp;"» обнаружены ошибки: "&amp;T126&amp;". Просим проверить и прислать исправленную информацию.")</f>
        <v/>
      </c>
      <c r="V126" s="21" t="str">
        <f aca="false">IF(R126&gt;0,COUNTIF($R$2:R126,"&gt;0"),"")</f>
        <v/>
      </c>
      <c r="W126" s="21" t="n">
        <f aca="false">IF(R126=0,COUNTIF($R$2:R126,0),"")</f>
        <v>77</v>
      </c>
    </row>
    <row r="127" customFormat="false" ht="15" hidden="false" customHeight="false" outlineLevel="0" collapsed="false">
      <c r="A127" s="21" t="n">
        <v>126</v>
      </c>
      <c r="B127" s="22" t="s">
        <v>1067</v>
      </c>
      <c r="C127" s="23" t="s">
        <v>1068</v>
      </c>
      <c r="D127" s="23" t="s">
        <v>1069</v>
      </c>
      <c r="E127" s="23" t="s">
        <v>1070</v>
      </c>
      <c r="F127" s="22" t="s">
        <v>1071</v>
      </c>
      <c r="G127" s="22" t="s">
        <v>1072</v>
      </c>
      <c r="H127" s="22" t="s">
        <v>1073</v>
      </c>
      <c r="I127" s="23" t="s">
        <v>1074</v>
      </c>
      <c r="J127" s="24" t="str">
        <f aca="false">IFERROR(VLOOKUP(VALUE(LEFT(C127,2)),Справочники!$A$2:$B$16,2,FALSE()),"не определён")</f>
        <v>г. Москва</v>
      </c>
      <c r="K127" s="24" t="str">
        <f aca="false">IF(TRIM(C127)="","ИНН не указан",IF(LEN(C127)&lt;&gt;10,"ИНН: должно быть 10 цифр",IF(NOT(ISNUMBER(IFERROR(VALUE(C127),"x"))),"ИНН: есть нецифровые символы",IF(MOD(MOD(SUMPRODUCT(--MID(C127,{1,2,3,4,5,6,7,8,9},1),{2,4,10,3,5,9,4,6,8}),11),10)=VALUE(RIGHT(C127,1)),"","ИНН: неверная контрольная цифра"))))</f>
        <v/>
      </c>
      <c r="L127" s="24" t="str">
        <f aca="false">IF(TRIM(D127)="","ОГРН не указан",IF(LEN(D127)&lt;&gt;13,"ОГРН: должно быть 13 цифр",IF(NOT(ISNUMBER(IFERROR(VALUE(D127),"x"))),"ОГРН: есть нецифровые символы",IF(MOD(VALUE(LEFT(D127,12))-11*INT(VALUE(LEFT(D127,12))/11),10)=VALUE(RIGHT(D127,1)),"","ОГРН: неверная контрольная цифра"))))</f>
        <v/>
      </c>
      <c r="M127" s="24" t="str">
        <f aca="false">IF(TRIM(E127)="","КПП не указан",IF(LEN(E127)&lt;&gt;9,"КПП: должно быть 9 знаков",IF(NOT(AND(ISNUMBER(IFERROR(VALUE(LEFT(E127,4)),"x")),ISNUMBER(IFERROR(VALUE(RIGHT(E127,3)),"x")))),"КПП: неверный формат",IF(LEFT(E127,2)&lt;&gt;LEFT(C127,2),"КПП: код региона не совпадает с ИНН",""))))</f>
        <v/>
      </c>
      <c r="N127" s="24" t="str">
        <f aca="false">IF(TRIM(C127)="","",IF(COUNTIF($C$2:$C$401,C127)&gt;1,"Дубликат ИНН в реестре",""))</f>
        <v/>
      </c>
      <c r="O127" s="24" t="str">
        <f aca="false">IF(TRIM(H127)="","Email не указан",IF(AND(ISNUMBER(FIND("@",H127)),ISNUMBER(FIND(".",H127,IFERROR(FIND("@",H127),1))),ISERROR(FIND(" ",H127)),LEFT(H127,1)&lt;&gt;"@",RIGHT(H127,1)&lt;&gt;".",LEN(H127)-LEN(SUBSTITUTE(H127,"@",""))=1),"","Email: неверный формат"))</f>
        <v/>
      </c>
      <c r="P127" s="24" t="str">
        <f aca="false">IF(TRIM(I127)="","Телефон не указан",IF(AND(LEN(SUBSTITUTE(SUBSTITUTE(SUBSTITUTE(SUBSTITUTE(SUBSTITUTE(I127," ",""),"-",""),"(",""),")",""),"+",""))=11,OR(LEFT(SUBSTITUTE(SUBSTITUTE(SUBSTITUTE(SUBSTITUTE(SUBSTITUTE(I127," ",""),"-",""),"(",""),")",""),"+",""),1)="7",LEFT(SUBSTITUTE(SUBSTITUTE(SUBSTITUTE(SUBSTITUTE(SUBSTITUTE(I127," ",""),"-",""),"(",""),")",""),"+",""),1)="8"),ISNUMBER(IFERROR(VALUE(SUBSTITUTE(SUBSTITUTE(SUBSTITUTE(SUBSTITUTE(SUBSTITUTE(I127," ",""),"-",""),"(",""),")",""),"+","")),"x"))),"","Телефон: неверный формат"))</f>
        <v/>
      </c>
      <c r="Q127" s="24" t="str">
        <f aca="false">TRIM(IF(TRIM(B127)="","Нет наименования. ","")&amp;IF(TRIM(F127)="","Нет адреса. ","")&amp;IF(TRIM(G127)="","Нет контактного лица.",""))</f>
        <v/>
      </c>
      <c r="R127" s="21" t="n">
        <f aca="false">SUMPRODUCT(--(LEN(K127:Q127)&gt;0))</f>
        <v>0</v>
      </c>
      <c r="S127" s="24" t="str">
        <f aca="false">IF(R127=0,"Готово к передаче","Требует исправления")</f>
        <v>Готово к передаче</v>
      </c>
      <c r="T127" s="24" t="str">
        <f aca="false">IF(R127=0,"",_xlfn.TEXTJOIN("; ",TRUE(),K127:Q127))</f>
        <v/>
      </c>
      <c r="U127" s="24" t="str">
        <f aca="false">IF(R127=0,"","Здравствуйте! В данных организации «"&amp;B127&amp;"» обнаружены ошибки: "&amp;T127&amp;". Просим проверить и прислать исправленную информацию.")</f>
        <v/>
      </c>
      <c r="V127" s="21" t="str">
        <f aca="false">IF(R127&gt;0,COUNTIF($R$2:R127,"&gt;0"),"")</f>
        <v/>
      </c>
      <c r="W127" s="21" t="n">
        <f aca="false">IF(R127=0,COUNTIF($R$2:R127,0),"")</f>
        <v>78</v>
      </c>
    </row>
    <row r="128" customFormat="false" ht="15" hidden="false" customHeight="false" outlineLevel="0" collapsed="false">
      <c r="A128" s="21" t="n">
        <v>127</v>
      </c>
      <c r="B128" s="22" t="s">
        <v>1075</v>
      </c>
      <c r="C128" s="23" t="s">
        <v>1076</v>
      </c>
      <c r="D128" s="23" t="s">
        <v>1077</v>
      </c>
      <c r="E128" s="23" t="s">
        <v>1078</v>
      </c>
      <c r="F128" s="22" t="s">
        <v>1079</v>
      </c>
      <c r="G128" s="22" t="s">
        <v>1080</v>
      </c>
      <c r="H128" s="22" t="s">
        <v>1081</v>
      </c>
      <c r="I128" s="23" t="s">
        <v>1082</v>
      </c>
      <c r="J128" s="24" t="str">
        <f aca="false">IFERROR(VLOOKUP(VALUE(LEFT(C128,2)),Справочники!$A$2:$B$16,2,FALSE()),"не определён")</f>
        <v>Нижегородская область</v>
      </c>
      <c r="K128" s="24" t="str">
        <f aca="false">IF(TRIM(C128)="","ИНН не указан",IF(LEN(C128)&lt;&gt;10,"ИНН: должно быть 10 цифр",IF(NOT(ISNUMBER(IFERROR(VALUE(C128),"x"))),"ИНН: есть нецифровые символы",IF(MOD(MOD(SUMPRODUCT(--MID(C128,{1,2,3,4,5,6,7,8,9},1),{2,4,10,3,5,9,4,6,8}),11),10)=VALUE(RIGHT(C128,1)),"","ИНН: неверная контрольная цифра"))))</f>
        <v/>
      </c>
      <c r="L128" s="24" t="str">
        <f aca="false">IF(TRIM(D128)="","ОГРН не указан",IF(LEN(D128)&lt;&gt;13,"ОГРН: должно быть 13 цифр",IF(NOT(ISNUMBER(IFERROR(VALUE(D128),"x"))),"ОГРН: есть нецифровые символы",IF(MOD(VALUE(LEFT(D128,12))-11*INT(VALUE(LEFT(D128,12))/11),10)=VALUE(RIGHT(D128,1)),"","ОГРН: неверная контрольная цифра"))))</f>
        <v/>
      </c>
      <c r="M128" s="24" t="str">
        <f aca="false">IF(TRIM(E128)="","КПП не указан",IF(LEN(E128)&lt;&gt;9,"КПП: должно быть 9 знаков",IF(NOT(AND(ISNUMBER(IFERROR(VALUE(LEFT(E128,4)),"x")),ISNUMBER(IFERROR(VALUE(RIGHT(E128,3)),"x")))),"КПП: неверный формат",IF(LEFT(E128,2)&lt;&gt;LEFT(C128,2),"КПП: код региона не совпадает с ИНН",""))))</f>
        <v/>
      </c>
      <c r="N128" s="24" t="str">
        <f aca="false">IF(TRIM(C128)="","",IF(COUNTIF($C$2:$C$401,C128)&gt;1,"Дубликат ИНН в реестре",""))</f>
        <v/>
      </c>
      <c r="O128" s="24" t="str">
        <f aca="false">IF(TRIM(H128)="","Email не указан",IF(AND(ISNUMBER(FIND("@",H128)),ISNUMBER(FIND(".",H128,IFERROR(FIND("@",H128),1))),ISERROR(FIND(" ",H128)),LEFT(H128,1)&lt;&gt;"@",RIGHT(H128,1)&lt;&gt;".",LEN(H128)-LEN(SUBSTITUTE(H128,"@",""))=1),"","Email: неверный формат"))</f>
        <v/>
      </c>
      <c r="P128" s="24" t="str">
        <f aca="false">IF(TRIM(I128)="","Телефон не указан",IF(AND(LEN(SUBSTITUTE(SUBSTITUTE(SUBSTITUTE(SUBSTITUTE(SUBSTITUTE(I128," ",""),"-",""),"(",""),")",""),"+",""))=11,OR(LEFT(SUBSTITUTE(SUBSTITUTE(SUBSTITUTE(SUBSTITUTE(SUBSTITUTE(I128," ",""),"-",""),"(",""),")",""),"+",""),1)="7",LEFT(SUBSTITUTE(SUBSTITUTE(SUBSTITUTE(SUBSTITUTE(SUBSTITUTE(I128," ",""),"-",""),"(",""),")",""),"+",""),1)="8"),ISNUMBER(IFERROR(VALUE(SUBSTITUTE(SUBSTITUTE(SUBSTITUTE(SUBSTITUTE(SUBSTITUTE(I128," ",""),"-",""),"(",""),")",""),"+","")),"x"))),"","Телефон: неверный формат"))</f>
        <v/>
      </c>
      <c r="Q128" s="24" t="str">
        <f aca="false">TRIM(IF(TRIM(B128)="","Нет наименования. ","")&amp;IF(TRIM(F128)="","Нет адреса. ","")&amp;IF(TRIM(G128)="","Нет контактного лица.",""))</f>
        <v/>
      </c>
      <c r="R128" s="21" t="n">
        <f aca="false">SUMPRODUCT(--(LEN(K128:Q128)&gt;0))</f>
        <v>0</v>
      </c>
      <c r="S128" s="24" t="str">
        <f aca="false">IF(R128=0,"Готово к передаче","Требует исправления")</f>
        <v>Готово к передаче</v>
      </c>
      <c r="T128" s="24" t="str">
        <f aca="false">IF(R128=0,"",_xlfn.TEXTJOIN("; ",TRUE(),K128:Q128))</f>
        <v/>
      </c>
      <c r="U128" s="24" t="str">
        <f aca="false">IF(R128=0,"","Здравствуйте! В данных организации «"&amp;B128&amp;"» обнаружены ошибки: "&amp;T128&amp;". Просим проверить и прислать исправленную информацию.")</f>
        <v/>
      </c>
      <c r="V128" s="21" t="str">
        <f aca="false">IF(R128&gt;0,COUNTIF($R$2:R128,"&gt;0"),"")</f>
        <v/>
      </c>
      <c r="W128" s="21" t="n">
        <f aca="false">IF(R128=0,COUNTIF($R$2:R128,0),"")</f>
        <v>79</v>
      </c>
    </row>
    <row r="129" customFormat="false" ht="15" hidden="false" customHeight="false" outlineLevel="0" collapsed="false">
      <c r="A129" s="21" t="n">
        <v>128</v>
      </c>
      <c r="B129" s="22" t="s">
        <v>1083</v>
      </c>
      <c r="C129" s="23" t="s">
        <v>1084</v>
      </c>
      <c r="D129" s="23" t="s">
        <v>1085</v>
      </c>
      <c r="E129" s="23" t="s">
        <v>1086</v>
      </c>
      <c r="F129" s="22" t="s">
        <v>1087</v>
      </c>
      <c r="G129" s="22" t="s">
        <v>1088</v>
      </c>
      <c r="H129" s="22" t="s">
        <v>1089</v>
      </c>
      <c r="I129" s="23" t="s">
        <v>1090</v>
      </c>
      <c r="J129" s="24" t="str">
        <f aca="false">IFERROR(VLOOKUP(VALUE(LEFT(C129,2)),Справочники!$A$2:$B$16,2,FALSE()),"не определён")</f>
        <v>Ростовская область</v>
      </c>
      <c r="K129" s="24" t="str">
        <f aca="false">IF(TRIM(C129)="","ИНН не указан",IF(LEN(C129)&lt;&gt;10,"ИНН: должно быть 10 цифр",IF(NOT(ISNUMBER(IFERROR(VALUE(C129),"x"))),"ИНН: есть нецифровые символы",IF(MOD(MOD(SUMPRODUCT(--MID(C129,{1,2,3,4,5,6,7,8,9},1),{2,4,10,3,5,9,4,6,8}),11),10)=VALUE(RIGHT(C129,1)),"","ИНН: неверная контрольная цифра"))))</f>
        <v/>
      </c>
      <c r="L129" s="24" t="str">
        <f aca="false">IF(TRIM(D129)="","ОГРН не указан",IF(LEN(D129)&lt;&gt;13,"ОГРН: должно быть 13 цифр",IF(NOT(ISNUMBER(IFERROR(VALUE(D129),"x"))),"ОГРН: есть нецифровые символы",IF(MOD(VALUE(LEFT(D129,12))-11*INT(VALUE(LEFT(D129,12))/11),10)=VALUE(RIGHT(D129,1)),"","ОГРН: неверная контрольная цифра"))))</f>
        <v/>
      </c>
      <c r="M129" s="24" t="str">
        <f aca="false">IF(TRIM(E129)="","КПП не указан",IF(LEN(E129)&lt;&gt;9,"КПП: должно быть 9 знаков",IF(NOT(AND(ISNUMBER(IFERROR(VALUE(LEFT(E129,4)),"x")),ISNUMBER(IFERROR(VALUE(RIGHT(E129,3)),"x")))),"КПП: неверный формат",IF(LEFT(E129,2)&lt;&gt;LEFT(C129,2),"КПП: код региона не совпадает с ИНН",""))))</f>
        <v/>
      </c>
      <c r="N129" s="24" t="str">
        <f aca="false">IF(TRIM(C129)="","",IF(COUNTIF($C$2:$C$401,C129)&gt;1,"Дубликат ИНН в реестре",""))</f>
        <v/>
      </c>
      <c r="O129" s="24" t="str">
        <f aca="false">IF(TRIM(H129)="","Email не указан",IF(AND(ISNUMBER(FIND("@",H129)),ISNUMBER(FIND(".",H129,IFERROR(FIND("@",H129),1))),ISERROR(FIND(" ",H129)),LEFT(H129,1)&lt;&gt;"@",RIGHT(H129,1)&lt;&gt;".",LEN(H129)-LEN(SUBSTITUTE(H129,"@",""))=1),"","Email: неверный формат"))</f>
        <v/>
      </c>
      <c r="P129" s="24" t="str">
        <f aca="false">IF(TRIM(I129)="","Телефон не указан",IF(AND(LEN(SUBSTITUTE(SUBSTITUTE(SUBSTITUTE(SUBSTITUTE(SUBSTITUTE(I129," ",""),"-",""),"(",""),")",""),"+",""))=11,OR(LEFT(SUBSTITUTE(SUBSTITUTE(SUBSTITUTE(SUBSTITUTE(SUBSTITUTE(I129," ",""),"-",""),"(",""),")",""),"+",""),1)="7",LEFT(SUBSTITUTE(SUBSTITUTE(SUBSTITUTE(SUBSTITUTE(SUBSTITUTE(I129," ",""),"-",""),"(",""),")",""),"+",""),1)="8"),ISNUMBER(IFERROR(VALUE(SUBSTITUTE(SUBSTITUTE(SUBSTITUTE(SUBSTITUTE(SUBSTITUTE(I129," ",""),"-",""),"(",""),")",""),"+","")),"x"))),"","Телефон: неверный формат"))</f>
        <v/>
      </c>
      <c r="Q129" s="24" t="str">
        <f aca="false">TRIM(IF(TRIM(B129)="","Нет наименования. ","")&amp;IF(TRIM(F129)="","Нет адреса. ","")&amp;IF(TRIM(G129)="","Нет контактного лица.",""))</f>
        <v/>
      </c>
      <c r="R129" s="21" t="n">
        <f aca="false">SUMPRODUCT(--(LEN(K129:Q129)&gt;0))</f>
        <v>0</v>
      </c>
      <c r="S129" s="24" t="str">
        <f aca="false">IF(R129=0,"Готово к передаче","Требует исправления")</f>
        <v>Готово к передаче</v>
      </c>
      <c r="T129" s="24" t="str">
        <f aca="false">IF(R129=0,"",_xlfn.TEXTJOIN("; ",TRUE(),K129:Q129))</f>
        <v/>
      </c>
      <c r="U129" s="24" t="str">
        <f aca="false">IF(R129=0,"","Здравствуйте! В данных организации «"&amp;B129&amp;"» обнаружены ошибки: "&amp;T129&amp;". Просим проверить и прислать исправленную информацию.")</f>
        <v/>
      </c>
      <c r="V129" s="21" t="str">
        <f aca="false">IF(R129&gt;0,COUNTIF($R$2:R129,"&gt;0"),"")</f>
        <v/>
      </c>
      <c r="W129" s="21" t="n">
        <f aca="false">IF(R129=0,COUNTIF($R$2:R129,0),"")</f>
        <v>80</v>
      </c>
    </row>
    <row r="130" customFormat="false" ht="15" hidden="false" customHeight="false" outlineLevel="0" collapsed="false">
      <c r="A130" s="21" t="n">
        <v>129</v>
      </c>
      <c r="B130" s="22" t="s">
        <v>1091</v>
      </c>
      <c r="C130" s="23" t="s">
        <v>522</v>
      </c>
      <c r="D130" s="23" t="s">
        <v>1092</v>
      </c>
      <c r="E130" s="23" t="s">
        <v>1093</v>
      </c>
      <c r="F130" s="22" t="s">
        <v>1094</v>
      </c>
      <c r="G130" s="22" t="s">
        <v>1095</v>
      </c>
      <c r="H130" s="22" t="s">
        <v>1096</v>
      </c>
      <c r="I130" s="23" t="s">
        <v>1097</v>
      </c>
      <c r="J130" s="24" t="str">
        <f aca="false">IFERROR(VLOOKUP(VALUE(LEFT(C130,2)),Справочники!$A$2:$B$16,2,FALSE()),"не определён")</f>
        <v>Новосибирская область</v>
      </c>
      <c r="K130" s="24" t="str">
        <f aca="false">IF(TRIM(C130)="","ИНН не указан",IF(LEN(C130)&lt;&gt;10,"ИНН: должно быть 10 цифр",IF(NOT(ISNUMBER(IFERROR(VALUE(C130),"x"))),"ИНН: есть нецифровые символы",IF(MOD(MOD(SUMPRODUCT(--MID(C130,{1,2,3,4,5,6,7,8,9},1),{2,4,10,3,5,9,4,6,8}),11),10)=VALUE(RIGHT(C130,1)),"","ИНН: неверная контрольная цифра"))))</f>
        <v/>
      </c>
      <c r="L130" s="24" t="str">
        <f aca="false">IF(TRIM(D130)="","ОГРН не указан",IF(LEN(D130)&lt;&gt;13,"ОГРН: должно быть 13 цифр",IF(NOT(ISNUMBER(IFERROR(VALUE(D130),"x"))),"ОГРН: есть нецифровые символы",IF(MOD(VALUE(LEFT(D130,12))-11*INT(VALUE(LEFT(D130,12))/11),10)=VALUE(RIGHT(D130,1)),"","ОГРН: неверная контрольная цифра"))))</f>
        <v/>
      </c>
      <c r="M130" s="24" t="str">
        <f aca="false">IF(TRIM(E130)="","КПП не указан",IF(LEN(E130)&lt;&gt;9,"КПП: должно быть 9 знаков",IF(NOT(AND(ISNUMBER(IFERROR(VALUE(LEFT(E130,4)),"x")),ISNUMBER(IFERROR(VALUE(RIGHT(E130,3)),"x")))),"КПП: неверный формат",IF(LEFT(E130,2)&lt;&gt;LEFT(C130,2),"КПП: код региона не совпадает с ИНН",""))))</f>
        <v/>
      </c>
      <c r="N130" s="24" t="str">
        <f aca="false">IF(TRIM(C130)="","",IF(COUNTIF($C$2:$C$401,C130)&gt;1,"Дубликат ИНН в реестре",""))</f>
        <v>Дубликат ИНН в реестре</v>
      </c>
      <c r="O130" s="24" t="str">
        <f aca="false">IF(TRIM(H130)="","Email не указан",IF(AND(ISNUMBER(FIND("@",H130)),ISNUMBER(FIND(".",H130,IFERROR(FIND("@",H130),1))),ISERROR(FIND(" ",H130)),LEFT(H130,1)&lt;&gt;"@",RIGHT(H130,1)&lt;&gt;".",LEN(H130)-LEN(SUBSTITUTE(H130,"@",""))=1),"","Email: неверный формат"))</f>
        <v/>
      </c>
      <c r="P130" s="24" t="str">
        <f aca="false">IF(TRIM(I130)="","Телефон не указан",IF(AND(LEN(SUBSTITUTE(SUBSTITUTE(SUBSTITUTE(SUBSTITUTE(SUBSTITUTE(I130," ",""),"-",""),"(",""),")",""),"+",""))=11,OR(LEFT(SUBSTITUTE(SUBSTITUTE(SUBSTITUTE(SUBSTITUTE(SUBSTITUTE(I130," ",""),"-",""),"(",""),")",""),"+",""),1)="7",LEFT(SUBSTITUTE(SUBSTITUTE(SUBSTITUTE(SUBSTITUTE(SUBSTITUTE(I130," ",""),"-",""),"(",""),")",""),"+",""),1)="8"),ISNUMBER(IFERROR(VALUE(SUBSTITUTE(SUBSTITUTE(SUBSTITUTE(SUBSTITUTE(SUBSTITUTE(I130," ",""),"-",""),"(",""),")",""),"+","")),"x"))),"","Телефон: неверный формат"))</f>
        <v/>
      </c>
      <c r="Q130" s="24" t="str">
        <f aca="false">TRIM(IF(TRIM(B130)="","Нет наименования. ","")&amp;IF(TRIM(F130)="","Нет адреса. ","")&amp;IF(TRIM(G130)="","Нет контактного лица.",""))</f>
        <v/>
      </c>
      <c r="R130" s="21" t="n">
        <f aca="false">SUMPRODUCT(--(LEN(K130:Q130)&gt;0))</f>
        <v>1</v>
      </c>
      <c r="S130" s="24" t="str">
        <f aca="false">IF(R130=0,"Готово к передаче","Требует исправления")</f>
        <v>Требует исправления</v>
      </c>
      <c r="T130" s="24" t="str">
        <f aca="false">IF(R130=0,"",_xlfn.TEXTJOIN("; ",TRUE(),K130:Q130))</f>
        <v>Дубликат ИНН в реестре</v>
      </c>
      <c r="U130" s="24" t="str">
        <f aca="false">IF(R130=0,"","Здравствуйте! В данных организации «"&amp;B130&amp;"» обнаружены ошибки: "&amp;T130&amp;". Просим проверить и прислать исправленную информацию.")</f>
        <v>Здравствуйте! В данных организации «ООО «Атлант Энерго»» обнаружены ошибки: Дубликат ИНН в реестре. Просим проверить и прислать исправленную информацию.</v>
      </c>
      <c r="V130" s="21" t="n">
        <f aca="false">IF(R130&gt;0,COUNTIF($R$2:R130,"&gt;0"),"")</f>
        <v>49</v>
      </c>
      <c r="W130" s="21" t="str">
        <f aca="false">IF(R130=0,COUNTIF($R$2:R130,0),"")</f>
        <v/>
      </c>
    </row>
    <row r="131" customFormat="false" ht="15" hidden="false" customHeight="false" outlineLevel="0" collapsed="false">
      <c r="A131" s="21" t="n">
        <v>130</v>
      </c>
      <c r="B131" s="22" t="s">
        <v>1098</v>
      </c>
      <c r="C131" s="23" t="s">
        <v>1099</v>
      </c>
      <c r="D131" s="23" t="s">
        <v>1100</v>
      </c>
      <c r="E131" s="23" t="s">
        <v>1101</v>
      </c>
      <c r="F131" s="22" t="s">
        <v>1102</v>
      </c>
      <c r="G131" s="22" t="s">
        <v>1103</v>
      </c>
      <c r="H131" s="22" t="s">
        <v>1104</v>
      </c>
      <c r="I131" s="23" t="s">
        <v>1105</v>
      </c>
      <c r="J131" s="24" t="str">
        <f aca="false">IFERROR(VLOOKUP(VALUE(LEFT(C131,2)),Справочники!$A$2:$B$16,2,FALSE()),"не определён")</f>
        <v>г. Санкт-Петербург</v>
      </c>
      <c r="K131" s="24" t="str">
        <f aca="false">IF(TRIM(C131)="","ИНН не указан",IF(LEN(C131)&lt;&gt;10,"ИНН: должно быть 10 цифр",IF(NOT(ISNUMBER(IFERROR(VALUE(C131),"x"))),"ИНН: есть нецифровые символы",IF(MOD(MOD(SUMPRODUCT(--MID(C131,{1,2,3,4,5,6,7,8,9},1),{2,4,10,3,5,9,4,6,8}),11),10)=VALUE(RIGHT(C131,1)),"","ИНН: неверная контрольная цифра"))))</f>
        <v/>
      </c>
      <c r="L131" s="24" t="str">
        <f aca="false">IF(TRIM(D131)="","ОГРН не указан",IF(LEN(D131)&lt;&gt;13,"ОГРН: должно быть 13 цифр",IF(NOT(ISNUMBER(IFERROR(VALUE(D131),"x"))),"ОГРН: есть нецифровые символы",IF(MOD(VALUE(LEFT(D131,12))-11*INT(VALUE(LEFT(D131,12))/11),10)=VALUE(RIGHT(D131,1)),"","ОГРН: неверная контрольная цифра"))))</f>
        <v/>
      </c>
      <c r="M131" s="24" t="str">
        <f aca="false">IF(TRIM(E131)="","КПП не указан",IF(LEN(E131)&lt;&gt;9,"КПП: должно быть 9 знаков",IF(NOT(AND(ISNUMBER(IFERROR(VALUE(LEFT(E131,4)),"x")),ISNUMBER(IFERROR(VALUE(RIGHT(E131,3)),"x")))),"КПП: неверный формат",IF(LEFT(E131,2)&lt;&gt;LEFT(C131,2),"КПП: код региона не совпадает с ИНН",""))))</f>
        <v/>
      </c>
      <c r="N131" s="24" t="str">
        <f aca="false">IF(TRIM(C131)="","",IF(COUNTIF($C$2:$C$401,C131)&gt;1,"Дубликат ИНН в реестре",""))</f>
        <v/>
      </c>
      <c r="O131" s="24" t="str">
        <f aca="false">IF(TRIM(H131)="","Email не указан",IF(AND(ISNUMBER(FIND("@",H131)),ISNUMBER(FIND(".",H131,IFERROR(FIND("@",H131),1))),ISERROR(FIND(" ",H131)),LEFT(H131,1)&lt;&gt;"@",RIGHT(H131,1)&lt;&gt;".",LEN(H131)-LEN(SUBSTITUTE(H131,"@",""))=1),"","Email: неверный формат"))</f>
        <v/>
      </c>
      <c r="P131" s="24" t="str">
        <f aca="false">IF(TRIM(I131)="","Телефон не указан",IF(AND(LEN(SUBSTITUTE(SUBSTITUTE(SUBSTITUTE(SUBSTITUTE(SUBSTITUTE(I131," ",""),"-",""),"(",""),")",""),"+",""))=11,OR(LEFT(SUBSTITUTE(SUBSTITUTE(SUBSTITUTE(SUBSTITUTE(SUBSTITUTE(I131," ",""),"-",""),"(",""),")",""),"+",""),1)="7",LEFT(SUBSTITUTE(SUBSTITUTE(SUBSTITUTE(SUBSTITUTE(SUBSTITUTE(I131," ",""),"-",""),"(",""),")",""),"+",""),1)="8"),ISNUMBER(IFERROR(VALUE(SUBSTITUTE(SUBSTITUTE(SUBSTITUTE(SUBSTITUTE(SUBSTITUTE(I131," ",""),"-",""),"(",""),")",""),"+","")),"x"))),"","Телефон: неверный формат"))</f>
        <v/>
      </c>
      <c r="Q131" s="24" t="str">
        <f aca="false">TRIM(IF(TRIM(B131)="","Нет наименования. ","")&amp;IF(TRIM(F131)="","Нет адреса. ","")&amp;IF(TRIM(G131)="","Нет контактного лица.",""))</f>
        <v/>
      </c>
      <c r="R131" s="21" t="n">
        <f aca="false">SUMPRODUCT(--(LEN(K131:Q131)&gt;0))</f>
        <v>0</v>
      </c>
      <c r="S131" s="24" t="str">
        <f aca="false">IF(R131=0,"Готово к передаче","Требует исправления")</f>
        <v>Готово к передаче</v>
      </c>
      <c r="T131" s="24" t="str">
        <f aca="false">IF(R131=0,"",_xlfn.TEXTJOIN("; ",TRUE(),K131:Q131))</f>
        <v/>
      </c>
      <c r="U131" s="24" t="str">
        <f aca="false">IF(R131=0,"","Здравствуйте! В данных организации «"&amp;B131&amp;"» обнаружены ошибки: "&amp;T131&amp;". Просим проверить и прислать исправленную информацию.")</f>
        <v/>
      </c>
      <c r="V131" s="21" t="str">
        <f aca="false">IF(R131&gt;0,COUNTIF($R$2:R131,"&gt;0"),"")</f>
        <v/>
      </c>
      <c r="W131" s="21" t="n">
        <f aca="false">IF(R131=0,COUNTIF($R$2:R131,0),"")</f>
        <v>81</v>
      </c>
    </row>
    <row r="132" customFormat="false" ht="15" hidden="false" customHeight="false" outlineLevel="0" collapsed="false">
      <c r="A132" s="21" t="n">
        <v>131</v>
      </c>
      <c r="B132" s="22" t="s">
        <v>1106</v>
      </c>
      <c r="C132" s="23" t="s">
        <v>1107</v>
      </c>
      <c r="D132" s="23" t="s">
        <v>1108</v>
      </c>
      <c r="E132" s="23" t="s">
        <v>1109</v>
      </c>
      <c r="F132" s="22" t="s">
        <v>1110</v>
      </c>
      <c r="G132" s="22" t="s">
        <v>1111</v>
      </c>
      <c r="H132" s="22" t="s">
        <v>1112</v>
      </c>
      <c r="I132" s="23" t="s">
        <v>1113</v>
      </c>
      <c r="J132" s="24" t="str">
        <f aca="false">IFERROR(VLOOKUP(VALUE(LEFT(C132,2)),Справочники!$A$2:$B$16,2,FALSE()),"не определён")</f>
        <v>Краснодарский край</v>
      </c>
      <c r="K132" s="24" t="str">
        <f aca="false">IF(TRIM(C132)="","ИНН не указан",IF(LEN(C132)&lt;&gt;10,"ИНН: должно быть 10 цифр",IF(NOT(ISNUMBER(IFERROR(VALUE(C132),"x"))),"ИНН: есть нецифровые символы",IF(MOD(MOD(SUMPRODUCT(--MID(C132,{1,2,3,4,5,6,7,8,9},1),{2,4,10,3,5,9,4,6,8}),11),10)=VALUE(RIGHT(C132,1)),"","ИНН: неверная контрольная цифра"))))</f>
        <v/>
      </c>
      <c r="L132" s="24" t="str">
        <f aca="false">IF(TRIM(D132)="","ОГРН не указан",IF(LEN(D132)&lt;&gt;13,"ОГРН: должно быть 13 цифр",IF(NOT(ISNUMBER(IFERROR(VALUE(D132),"x"))),"ОГРН: есть нецифровые символы",IF(MOD(VALUE(LEFT(D132,12))-11*INT(VALUE(LEFT(D132,12))/11),10)=VALUE(RIGHT(D132,1)),"","ОГРН: неверная контрольная цифра"))))</f>
        <v/>
      </c>
      <c r="M132" s="24" t="str">
        <f aca="false">IF(TRIM(E132)="","КПП не указан",IF(LEN(E132)&lt;&gt;9,"КПП: должно быть 9 знаков",IF(NOT(AND(ISNUMBER(IFERROR(VALUE(LEFT(E132,4)),"x")),ISNUMBER(IFERROR(VALUE(RIGHT(E132,3)),"x")))),"КПП: неверный формат",IF(LEFT(E132,2)&lt;&gt;LEFT(C132,2),"КПП: код региона не совпадает с ИНН",""))))</f>
        <v/>
      </c>
      <c r="N132" s="24" t="str">
        <f aca="false">IF(TRIM(C132)="","",IF(COUNTIF($C$2:$C$401,C132)&gt;1,"Дубликат ИНН в реестре",""))</f>
        <v/>
      </c>
      <c r="O132" s="24" t="str">
        <f aca="false">IF(TRIM(H132)="","Email не указан",IF(AND(ISNUMBER(FIND("@",H132)),ISNUMBER(FIND(".",H132,IFERROR(FIND("@",H132),1))),ISERROR(FIND(" ",H132)),LEFT(H132,1)&lt;&gt;"@",RIGHT(H132,1)&lt;&gt;".",LEN(H132)-LEN(SUBSTITUTE(H132,"@",""))=1),"","Email: неверный формат"))</f>
        <v/>
      </c>
      <c r="P132" s="24" t="str">
        <f aca="false">IF(TRIM(I132)="","Телефон не указан",IF(AND(LEN(SUBSTITUTE(SUBSTITUTE(SUBSTITUTE(SUBSTITUTE(SUBSTITUTE(I132," ",""),"-",""),"(",""),")",""),"+",""))=11,OR(LEFT(SUBSTITUTE(SUBSTITUTE(SUBSTITUTE(SUBSTITUTE(SUBSTITUTE(I132," ",""),"-",""),"(",""),")",""),"+",""),1)="7",LEFT(SUBSTITUTE(SUBSTITUTE(SUBSTITUTE(SUBSTITUTE(SUBSTITUTE(I132," ",""),"-",""),"(",""),")",""),"+",""),1)="8"),ISNUMBER(IFERROR(VALUE(SUBSTITUTE(SUBSTITUTE(SUBSTITUTE(SUBSTITUTE(SUBSTITUTE(I132," ",""),"-",""),"(",""),")",""),"+","")),"x"))),"","Телефон: неверный формат"))</f>
        <v/>
      </c>
      <c r="Q132" s="24" t="str">
        <f aca="false">TRIM(IF(TRIM(B132)="","Нет наименования. ","")&amp;IF(TRIM(F132)="","Нет адреса. ","")&amp;IF(TRIM(G132)="","Нет контактного лица.",""))</f>
        <v/>
      </c>
      <c r="R132" s="21" t="n">
        <f aca="false">SUMPRODUCT(--(LEN(K132:Q132)&gt;0))</f>
        <v>0</v>
      </c>
      <c r="S132" s="24" t="str">
        <f aca="false">IF(R132=0,"Готово к передаче","Требует исправления")</f>
        <v>Готово к передаче</v>
      </c>
      <c r="T132" s="24" t="str">
        <f aca="false">IF(R132=0,"",_xlfn.TEXTJOIN("; ",TRUE(),K132:Q132))</f>
        <v/>
      </c>
      <c r="U132" s="24" t="str">
        <f aca="false">IF(R132=0,"","Здравствуйте! В данных организации «"&amp;B132&amp;"» обнаружены ошибки: "&amp;T132&amp;". Просим проверить и прислать исправленную информацию.")</f>
        <v/>
      </c>
      <c r="V132" s="21" t="str">
        <f aca="false">IF(R132&gt;0,COUNTIF($R$2:R132,"&gt;0"),"")</f>
        <v/>
      </c>
      <c r="W132" s="21" t="n">
        <f aca="false">IF(R132=0,COUNTIF($R$2:R132,0),"")</f>
        <v>82</v>
      </c>
    </row>
    <row r="133" customFormat="false" ht="15" hidden="false" customHeight="false" outlineLevel="0" collapsed="false">
      <c r="A133" s="21" t="n">
        <v>132</v>
      </c>
      <c r="B133" s="22" t="s">
        <v>1114</v>
      </c>
      <c r="C133" s="23" t="s">
        <v>1115</v>
      </c>
      <c r="D133" s="23" t="s">
        <v>1116</v>
      </c>
      <c r="E133" s="23" t="s">
        <v>1117</v>
      </c>
      <c r="F133" s="22" t="s">
        <v>1118</v>
      </c>
      <c r="G133" s="22" t="s">
        <v>1119</v>
      </c>
      <c r="H133" s="22" t="s">
        <v>1120</v>
      </c>
      <c r="I133" s="23" t="s">
        <v>1121</v>
      </c>
      <c r="J133" s="24" t="str">
        <f aca="false">IFERROR(VLOOKUP(VALUE(LEFT(C133,2)),Справочники!$A$2:$B$16,2,FALSE()),"не определён")</f>
        <v>Челябинская область</v>
      </c>
      <c r="K133" s="24" t="str">
        <f aca="false">IF(TRIM(C133)="","ИНН не указан",IF(LEN(C133)&lt;&gt;10,"ИНН: должно быть 10 цифр",IF(NOT(ISNUMBER(IFERROR(VALUE(C133),"x"))),"ИНН: есть нецифровые символы",IF(MOD(MOD(SUMPRODUCT(--MID(C133,{1,2,3,4,5,6,7,8,9},1),{2,4,10,3,5,9,4,6,8}),11),10)=VALUE(RIGHT(C133,1)),"","ИНН: неверная контрольная цифра"))))</f>
        <v/>
      </c>
      <c r="L133" s="24" t="str">
        <f aca="false">IF(TRIM(D133)="","ОГРН не указан",IF(LEN(D133)&lt;&gt;13,"ОГРН: должно быть 13 цифр",IF(NOT(ISNUMBER(IFERROR(VALUE(D133),"x"))),"ОГРН: есть нецифровые символы",IF(MOD(VALUE(LEFT(D133,12))-11*INT(VALUE(LEFT(D133,12))/11),10)=VALUE(RIGHT(D133,1)),"","ОГРН: неверная контрольная цифра"))))</f>
        <v/>
      </c>
      <c r="M133" s="24" t="str">
        <f aca="false">IF(TRIM(E133)="","КПП не указан",IF(LEN(E133)&lt;&gt;9,"КПП: должно быть 9 знаков",IF(NOT(AND(ISNUMBER(IFERROR(VALUE(LEFT(E133,4)),"x")),ISNUMBER(IFERROR(VALUE(RIGHT(E133,3)),"x")))),"КПП: неверный формат",IF(LEFT(E133,2)&lt;&gt;LEFT(C133,2),"КПП: код региона не совпадает с ИНН",""))))</f>
        <v/>
      </c>
      <c r="N133" s="24" t="str">
        <f aca="false">IF(TRIM(C133)="","",IF(COUNTIF($C$2:$C$401,C133)&gt;1,"Дубликат ИНН в реестре",""))</f>
        <v/>
      </c>
      <c r="O133" s="24" t="str">
        <f aca="false">IF(TRIM(H133)="","Email не указан",IF(AND(ISNUMBER(FIND("@",H133)),ISNUMBER(FIND(".",H133,IFERROR(FIND("@",H133),1))),ISERROR(FIND(" ",H133)),LEFT(H133,1)&lt;&gt;"@",RIGHT(H133,1)&lt;&gt;".",LEN(H133)-LEN(SUBSTITUTE(H133,"@",""))=1),"","Email: неверный формат"))</f>
        <v/>
      </c>
      <c r="P133" s="24" t="str">
        <f aca="false">IF(TRIM(I133)="","Телефон не указан",IF(AND(LEN(SUBSTITUTE(SUBSTITUTE(SUBSTITUTE(SUBSTITUTE(SUBSTITUTE(I133," ",""),"-",""),"(",""),")",""),"+",""))=11,OR(LEFT(SUBSTITUTE(SUBSTITUTE(SUBSTITUTE(SUBSTITUTE(SUBSTITUTE(I133," ",""),"-",""),"(",""),")",""),"+",""),1)="7",LEFT(SUBSTITUTE(SUBSTITUTE(SUBSTITUTE(SUBSTITUTE(SUBSTITUTE(I133," ",""),"-",""),"(",""),")",""),"+",""),1)="8"),ISNUMBER(IFERROR(VALUE(SUBSTITUTE(SUBSTITUTE(SUBSTITUTE(SUBSTITUTE(SUBSTITUTE(I133," ",""),"-",""),"(",""),")",""),"+","")),"x"))),"","Телефон: неверный формат"))</f>
        <v/>
      </c>
      <c r="Q133" s="24" t="str">
        <f aca="false">TRIM(IF(TRIM(B133)="","Нет наименования. ","")&amp;IF(TRIM(F133)="","Нет адреса. ","")&amp;IF(TRIM(G133)="","Нет контактного лица.",""))</f>
        <v/>
      </c>
      <c r="R133" s="21" t="n">
        <f aca="false">SUMPRODUCT(--(LEN(K133:Q133)&gt;0))</f>
        <v>0</v>
      </c>
      <c r="S133" s="24" t="str">
        <f aca="false">IF(R133=0,"Готово к передаче","Требует исправления")</f>
        <v>Готово к передаче</v>
      </c>
      <c r="T133" s="24" t="str">
        <f aca="false">IF(R133=0,"",_xlfn.TEXTJOIN("; ",TRUE(),K133:Q133))</f>
        <v/>
      </c>
      <c r="U133" s="24" t="str">
        <f aca="false">IF(R133=0,"","Здравствуйте! В данных организации «"&amp;B133&amp;"» обнаружены ошибки: "&amp;T133&amp;". Просим проверить и прислать исправленную информацию.")</f>
        <v/>
      </c>
      <c r="V133" s="21" t="str">
        <f aca="false">IF(R133&gt;0,COUNTIF($R$2:R133,"&gt;0"),"")</f>
        <v/>
      </c>
      <c r="W133" s="21" t="n">
        <f aca="false">IF(R133=0,COUNTIF($R$2:R133,0),"")</f>
        <v>83</v>
      </c>
    </row>
    <row r="134" customFormat="false" ht="15" hidden="false" customHeight="false" outlineLevel="0" collapsed="false">
      <c r="A134" s="21" t="n">
        <v>133</v>
      </c>
      <c r="B134" s="22" t="s">
        <v>1122</v>
      </c>
      <c r="C134" s="23" t="s">
        <v>1123</v>
      </c>
      <c r="D134" s="23" t="s">
        <v>1124</v>
      </c>
      <c r="E134" s="23" t="s">
        <v>1125</v>
      </c>
      <c r="F134" s="22" t="s">
        <v>1126</v>
      </c>
      <c r="G134" s="22" t="s">
        <v>1127</v>
      </c>
      <c r="H134" s="22" t="s">
        <v>1128</v>
      </c>
      <c r="I134" s="23" t="s">
        <v>1129</v>
      </c>
      <c r="J134" s="24" t="str">
        <f aca="false">IFERROR(VLOOKUP(VALUE(LEFT(C134,2)),Справочники!$A$2:$B$16,2,FALSE()),"не определён")</f>
        <v>Нижегородская область</v>
      </c>
      <c r="K134" s="24" t="str">
        <f aca="false">IF(TRIM(C134)="","ИНН не указан",IF(LEN(C134)&lt;&gt;10,"ИНН: должно быть 10 цифр",IF(NOT(ISNUMBER(IFERROR(VALUE(C134),"x"))),"ИНН: есть нецифровые символы",IF(MOD(MOD(SUMPRODUCT(--MID(C134,{1,2,3,4,5,6,7,8,9},1),{2,4,10,3,5,9,4,6,8}),11),10)=VALUE(RIGHT(C134,1)),"","ИНН: неверная контрольная цифра"))))</f>
        <v/>
      </c>
      <c r="L134" s="24" t="str">
        <f aca="false">IF(TRIM(D134)="","ОГРН не указан",IF(LEN(D134)&lt;&gt;13,"ОГРН: должно быть 13 цифр",IF(NOT(ISNUMBER(IFERROR(VALUE(D134),"x"))),"ОГРН: есть нецифровые символы",IF(MOD(VALUE(LEFT(D134,12))-11*INT(VALUE(LEFT(D134,12))/11),10)=VALUE(RIGHT(D134,1)),"","ОГРН: неверная контрольная цифра"))))</f>
        <v/>
      </c>
      <c r="M134" s="24" t="str">
        <f aca="false">IF(TRIM(E134)="","КПП не указан",IF(LEN(E134)&lt;&gt;9,"КПП: должно быть 9 знаков",IF(NOT(AND(ISNUMBER(IFERROR(VALUE(LEFT(E134,4)),"x")),ISNUMBER(IFERROR(VALUE(RIGHT(E134,3)),"x")))),"КПП: неверный формат",IF(LEFT(E134,2)&lt;&gt;LEFT(C134,2),"КПП: код региона не совпадает с ИНН",""))))</f>
        <v/>
      </c>
      <c r="N134" s="24" t="str">
        <f aca="false">IF(TRIM(C134)="","",IF(COUNTIF($C$2:$C$401,C134)&gt;1,"Дубликат ИНН в реестре",""))</f>
        <v/>
      </c>
      <c r="O134" s="24" t="str">
        <f aca="false">IF(TRIM(H134)="","Email не указан",IF(AND(ISNUMBER(FIND("@",H134)),ISNUMBER(FIND(".",H134,IFERROR(FIND("@",H134),1))),ISERROR(FIND(" ",H134)),LEFT(H134,1)&lt;&gt;"@",RIGHT(H134,1)&lt;&gt;".",LEN(H134)-LEN(SUBSTITUTE(H134,"@",""))=1),"","Email: неверный формат"))</f>
        <v/>
      </c>
      <c r="P134" s="24" t="str">
        <f aca="false">IF(TRIM(I134)="","Телефон не указан",IF(AND(LEN(SUBSTITUTE(SUBSTITUTE(SUBSTITUTE(SUBSTITUTE(SUBSTITUTE(I134," ",""),"-",""),"(",""),")",""),"+",""))=11,OR(LEFT(SUBSTITUTE(SUBSTITUTE(SUBSTITUTE(SUBSTITUTE(SUBSTITUTE(I134," ",""),"-",""),"(",""),")",""),"+",""),1)="7",LEFT(SUBSTITUTE(SUBSTITUTE(SUBSTITUTE(SUBSTITUTE(SUBSTITUTE(I134," ",""),"-",""),"(",""),")",""),"+",""),1)="8"),ISNUMBER(IFERROR(VALUE(SUBSTITUTE(SUBSTITUTE(SUBSTITUTE(SUBSTITUTE(SUBSTITUTE(I134," ",""),"-",""),"(",""),")",""),"+","")),"x"))),"","Телефон: неверный формат"))</f>
        <v/>
      </c>
      <c r="Q134" s="24" t="str">
        <f aca="false">TRIM(IF(TRIM(B134)="","Нет наименования. ","")&amp;IF(TRIM(F134)="","Нет адреса. ","")&amp;IF(TRIM(G134)="","Нет контактного лица.",""))</f>
        <v/>
      </c>
      <c r="R134" s="21" t="n">
        <f aca="false">SUMPRODUCT(--(LEN(K134:Q134)&gt;0))</f>
        <v>0</v>
      </c>
      <c r="S134" s="24" t="str">
        <f aca="false">IF(R134=0,"Готово к передаче","Требует исправления")</f>
        <v>Готово к передаче</v>
      </c>
      <c r="T134" s="24" t="str">
        <f aca="false">IF(R134=0,"",_xlfn.TEXTJOIN("; ",TRUE(),K134:Q134))</f>
        <v/>
      </c>
      <c r="U134" s="24" t="str">
        <f aca="false">IF(R134=0,"","Здравствуйте! В данных организации «"&amp;B134&amp;"» обнаружены ошибки: "&amp;T134&amp;". Просим проверить и прислать исправленную информацию.")</f>
        <v/>
      </c>
      <c r="V134" s="21" t="str">
        <f aca="false">IF(R134&gt;0,COUNTIF($R$2:R134,"&gt;0"),"")</f>
        <v/>
      </c>
      <c r="W134" s="21" t="n">
        <f aca="false">IF(R134=0,COUNTIF($R$2:R134,0),"")</f>
        <v>84</v>
      </c>
    </row>
    <row r="135" customFormat="false" ht="15" hidden="false" customHeight="false" outlineLevel="0" collapsed="false">
      <c r="A135" s="21" t="n">
        <v>134</v>
      </c>
      <c r="B135" s="22" t="s">
        <v>1130</v>
      </c>
      <c r="C135" s="23" t="s">
        <v>1131</v>
      </c>
      <c r="D135" s="23" t="s">
        <v>1132</v>
      </c>
      <c r="E135" s="23" t="s">
        <v>1133</v>
      </c>
      <c r="F135" s="22" t="s">
        <v>1134</v>
      </c>
      <c r="G135" s="22" t="s">
        <v>1135</v>
      </c>
      <c r="H135" s="22" t="s">
        <v>1136</v>
      </c>
      <c r="I135" s="23" t="s">
        <v>1137</v>
      </c>
      <c r="J135" s="24" t="str">
        <f aca="false">IFERROR(VLOOKUP(VALUE(LEFT(C135,2)),Справочники!$A$2:$B$16,2,FALSE()),"не определён")</f>
        <v>г. Москва</v>
      </c>
      <c r="K135" s="24" t="str">
        <f aca="false">IF(TRIM(C135)="","ИНН не указан",IF(LEN(C135)&lt;&gt;10,"ИНН: должно быть 10 цифр",IF(NOT(ISNUMBER(IFERROR(VALUE(C135),"x"))),"ИНН: есть нецифровые символы",IF(MOD(MOD(SUMPRODUCT(--MID(C135,{1,2,3,4,5,6,7,8,9},1),{2,4,10,3,5,9,4,6,8}),11),10)=VALUE(RIGHT(C135,1)),"","ИНН: неверная контрольная цифра"))))</f>
        <v/>
      </c>
      <c r="L135" s="24" t="str">
        <f aca="false">IF(TRIM(D135)="","ОГРН не указан",IF(LEN(D135)&lt;&gt;13,"ОГРН: должно быть 13 цифр",IF(NOT(ISNUMBER(IFERROR(VALUE(D135),"x"))),"ОГРН: есть нецифровые символы",IF(MOD(VALUE(LEFT(D135,12))-11*INT(VALUE(LEFT(D135,12))/11),10)=VALUE(RIGHT(D135,1)),"","ОГРН: неверная контрольная цифра"))))</f>
        <v/>
      </c>
      <c r="M135" s="24" t="str">
        <f aca="false">IF(TRIM(E135)="","КПП не указан",IF(LEN(E135)&lt;&gt;9,"КПП: должно быть 9 знаков",IF(NOT(AND(ISNUMBER(IFERROR(VALUE(LEFT(E135,4)),"x")),ISNUMBER(IFERROR(VALUE(RIGHT(E135,3)),"x")))),"КПП: неверный формат",IF(LEFT(E135,2)&lt;&gt;LEFT(C135,2),"КПП: код региона не совпадает с ИНН",""))))</f>
        <v/>
      </c>
      <c r="N135" s="24" t="str">
        <f aca="false">IF(TRIM(C135)="","",IF(COUNTIF($C$2:$C$401,C135)&gt;1,"Дубликат ИНН в реестре",""))</f>
        <v/>
      </c>
      <c r="O135" s="24" t="str">
        <f aca="false">IF(TRIM(H135)="","Email не указан",IF(AND(ISNUMBER(FIND("@",H135)),ISNUMBER(FIND(".",H135,IFERROR(FIND("@",H135),1))),ISERROR(FIND(" ",H135)),LEFT(H135,1)&lt;&gt;"@",RIGHT(H135,1)&lt;&gt;".",LEN(H135)-LEN(SUBSTITUTE(H135,"@",""))=1),"","Email: неверный формат"))</f>
        <v/>
      </c>
      <c r="P135" s="24" t="str">
        <f aca="false">IF(TRIM(I135)="","Телефон не указан",IF(AND(LEN(SUBSTITUTE(SUBSTITUTE(SUBSTITUTE(SUBSTITUTE(SUBSTITUTE(I135," ",""),"-",""),"(",""),")",""),"+",""))=11,OR(LEFT(SUBSTITUTE(SUBSTITUTE(SUBSTITUTE(SUBSTITUTE(SUBSTITUTE(I135," ",""),"-",""),"(",""),")",""),"+",""),1)="7",LEFT(SUBSTITUTE(SUBSTITUTE(SUBSTITUTE(SUBSTITUTE(SUBSTITUTE(I135," ",""),"-",""),"(",""),")",""),"+",""),1)="8"),ISNUMBER(IFERROR(VALUE(SUBSTITUTE(SUBSTITUTE(SUBSTITUTE(SUBSTITUTE(SUBSTITUTE(I135," ",""),"-",""),"(",""),")",""),"+","")),"x"))),"","Телефон: неверный формат"))</f>
        <v/>
      </c>
      <c r="Q135" s="24" t="str">
        <f aca="false">TRIM(IF(TRIM(B135)="","Нет наименования. ","")&amp;IF(TRIM(F135)="","Нет адреса. ","")&amp;IF(TRIM(G135)="","Нет контактного лица.",""))</f>
        <v/>
      </c>
      <c r="R135" s="21" t="n">
        <f aca="false">SUMPRODUCT(--(LEN(K135:Q135)&gt;0))</f>
        <v>0</v>
      </c>
      <c r="S135" s="24" t="str">
        <f aca="false">IF(R135=0,"Готово к передаче","Требует исправления")</f>
        <v>Готово к передаче</v>
      </c>
      <c r="T135" s="24" t="str">
        <f aca="false">IF(R135=0,"",_xlfn.TEXTJOIN("; ",TRUE(),K135:Q135))</f>
        <v/>
      </c>
      <c r="U135" s="24" t="str">
        <f aca="false">IF(R135=0,"","Здравствуйте! В данных организации «"&amp;B135&amp;"» обнаружены ошибки: "&amp;T135&amp;". Просим проверить и прислать исправленную информацию.")</f>
        <v/>
      </c>
      <c r="V135" s="21" t="str">
        <f aca="false">IF(R135&gt;0,COUNTIF($R$2:R135,"&gt;0"),"")</f>
        <v/>
      </c>
      <c r="W135" s="21" t="n">
        <f aca="false">IF(R135=0,COUNTIF($R$2:R135,0),"")</f>
        <v>85</v>
      </c>
    </row>
    <row r="136" customFormat="false" ht="15" hidden="false" customHeight="false" outlineLevel="0" collapsed="false">
      <c r="A136" s="21" t="n">
        <v>135</v>
      </c>
      <c r="B136" s="22" t="s">
        <v>1138</v>
      </c>
      <c r="C136" s="23" t="s">
        <v>1139</v>
      </c>
      <c r="D136" s="23" t="s">
        <v>1140</v>
      </c>
      <c r="E136" s="23" t="s">
        <v>1141</v>
      </c>
      <c r="F136" s="22" t="s">
        <v>1142</v>
      </c>
      <c r="G136" s="22" t="s">
        <v>1143</v>
      </c>
      <c r="H136" s="22" t="s">
        <v>1144</v>
      </c>
      <c r="I136" s="23" t="s">
        <v>1145</v>
      </c>
      <c r="J136" s="24" t="str">
        <f aca="false">IFERROR(VLOOKUP(VALUE(LEFT(C136,2)),Справочники!$A$2:$B$16,2,FALSE()),"не определён")</f>
        <v>Республика Башкортостан</v>
      </c>
      <c r="K136" s="24" t="str">
        <f aca="false">IF(TRIM(C136)="","ИНН не указан",IF(LEN(C136)&lt;&gt;10,"ИНН: должно быть 10 цифр",IF(NOT(ISNUMBER(IFERROR(VALUE(C136),"x"))),"ИНН: есть нецифровые символы",IF(MOD(MOD(SUMPRODUCT(--MID(C136,{1,2,3,4,5,6,7,8,9},1),{2,4,10,3,5,9,4,6,8}),11),10)=VALUE(RIGHT(C136,1)),"","ИНН: неверная контрольная цифра"))))</f>
        <v/>
      </c>
      <c r="L136" s="24" t="str">
        <f aca="false">IF(TRIM(D136)="","ОГРН не указан",IF(LEN(D136)&lt;&gt;13,"ОГРН: должно быть 13 цифр",IF(NOT(ISNUMBER(IFERROR(VALUE(D136),"x"))),"ОГРН: есть нецифровые символы",IF(MOD(VALUE(LEFT(D136,12))-11*INT(VALUE(LEFT(D136,12))/11),10)=VALUE(RIGHT(D136,1)),"","ОГРН: неверная контрольная цифра"))))</f>
        <v/>
      </c>
      <c r="M136" s="24" t="str">
        <f aca="false">IF(TRIM(E136)="","КПП не указан",IF(LEN(E136)&lt;&gt;9,"КПП: должно быть 9 знаков",IF(NOT(AND(ISNUMBER(IFERROR(VALUE(LEFT(E136,4)),"x")),ISNUMBER(IFERROR(VALUE(RIGHT(E136,3)),"x")))),"КПП: неверный формат",IF(LEFT(E136,2)&lt;&gt;LEFT(C136,2),"КПП: код региона не совпадает с ИНН",""))))</f>
        <v/>
      </c>
      <c r="N136" s="24" t="str">
        <f aca="false">IF(TRIM(C136)="","",IF(COUNTIF($C$2:$C$401,C136)&gt;1,"Дубликат ИНН в реестре",""))</f>
        <v/>
      </c>
      <c r="O136" s="24" t="str">
        <f aca="false">IF(TRIM(H136)="","Email не указан",IF(AND(ISNUMBER(FIND("@",H136)),ISNUMBER(FIND(".",H136,IFERROR(FIND("@",H136),1))),ISERROR(FIND(" ",H136)),LEFT(H136,1)&lt;&gt;"@",RIGHT(H136,1)&lt;&gt;".",LEN(H136)-LEN(SUBSTITUTE(H136,"@",""))=1),"","Email: неверный формат"))</f>
        <v/>
      </c>
      <c r="P136" s="24" t="str">
        <f aca="false">IF(TRIM(I136)="","Телефон не указан",IF(AND(LEN(SUBSTITUTE(SUBSTITUTE(SUBSTITUTE(SUBSTITUTE(SUBSTITUTE(I136," ",""),"-",""),"(",""),")",""),"+",""))=11,OR(LEFT(SUBSTITUTE(SUBSTITUTE(SUBSTITUTE(SUBSTITUTE(SUBSTITUTE(I136," ",""),"-",""),"(",""),")",""),"+",""),1)="7",LEFT(SUBSTITUTE(SUBSTITUTE(SUBSTITUTE(SUBSTITUTE(SUBSTITUTE(I136," ",""),"-",""),"(",""),")",""),"+",""),1)="8"),ISNUMBER(IFERROR(VALUE(SUBSTITUTE(SUBSTITUTE(SUBSTITUTE(SUBSTITUTE(SUBSTITUTE(I136," ",""),"-",""),"(",""),")",""),"+","")),"x"))),"","Телефон: неверный формат"))</f>
        <v>Телефон: неверный формат</v>
      </c>
      <c r="Q136" s="24" t="str">
        <f aca="false">TRIM(IF(TRIM(B136)="","Нет наименования. ","")&amp;IF(TRIM(F136)="","Нет адреса. ","")&amp;IF(TRIM(G136)="","Нет контактного лица.",""))</f>
        <v/>
      </c>
      <c r="R136" s="21" t="n">
        <f aca="false">SUMPRODUCT(--(LEN(K136:Q136)&gt;0))</f>
        <v>1</v>
      </c>
      <c r="S136" s="24" t="str">
        <f aca="false">IF(R136=0,"Готово к передаче","Требует исправления")</f>
        <v>Требует исправления</v>
      </c>
      <c r="T136" s="24" t="str">
        <f aca="false">IF(R136=0,"",_xlfn.TEXTJOIN("; ",TRUE(),K136:Q136))</f>
        <v>Телефон: неверный формат</v>
      </c>
      <c r="U136" s="24" t="str">
        <f aca="false">IF(R136=0,"","Здравствуйте! В данных организации «"&amp;B136&amp;"» обнаружены ошибки: "&amp;T136&amp;". Просим проверить и прислать исправленную информацию.")</f>
        <v>Здравствуйте! В данных организации «ООО «Дельта Консалт»» обнаружены ошибки: Телефон: неверный формат. Просим проверить и прислать исправленную информацию.</v>
      </c>
      <c r="V136" s="21" t="n">
        <f aca="false">IF(R136&gt;0,COUNTIF($R$2:R136,"&gt;0"),"")</f>
        <v>50</v>
      </c>
      <c r="W136" s="21" t="str">
        <f aca="false">IF(R136=0,COUNTIF($R$2:R136,0),"")</f>
        <v/>
      </c>
    </row>
    <row r="137" customFormat="false" ht="15" hidden="false" customHeight="false" outlineLevel="0" collapsed="false">
      <c r="A137" s="21" t="n">
        <v>136</v>
      </c>
      <c r="B137" s="22" t="s">
        <v>1146</v>
      </c>
      <c r="C137" s="23" t="s">
        <v>1147</v>
      </c>
      <c r="D137" s="23" t="s">
        <v>1148</v>
      </c>
      <c r="E137" s="23" t="s">
        <v>1149</v>
      </c>
      <c r="F137" s="22" t="s">
        <v>1150</v>
      </c>
      <c r="G137" s="22" t="s">
        <v>1151</v>
      </c>
      <c r="H137" s="22" t="s">
        <v>1152</v>
      </c>
      <c r="I137" s="23" t="s">
        <v>1153</v>
      </c>
      <c r="J137" s="24" t="str">
        <f aca="false">IFERROR(VLOOKUP(VALUE(LEFT(C137,2)),Справочники!$A$2:$B$16,2,FALSE()),"не определён")</f>
        <v>Ростовская область</v>
      </c>
      <c r="K137" s="24" t="str">
        <f aca="false">IF(TRIM(C137)="","ИНН не указан",IF(LEN(C137)&lt;&gt;10,"ИНН: должно быть 10 цифр",IF(NOT(ISNUMBER(IFERROR(VALUE(C137),"x"))),"ИНН: есть нецифровые символы",IF(MOD(MOD(SUMPRODUCT(--MID(C137,{1,2,3,4,5,6,7,8,9},1),{2,4,10,3,5,9,4,6,8}),11),10)=VALUE(RIGHT(C137,1)),"","ИНН: неверная контрольная цифра"))))</f>
        <v/>
      </c>
      <c r="L137" s="24" t="str">
        <f aca="false">IF(TRIM(D137)="","ОГРН не указан",IF(LEN(D137)&lt;&gt;13,"ОГРН: должно быть 13 цифр",IF(NOT(ISNUMBER(IFERROR(VALUE(D137),"x"))),"ОГРН: есть нецифровые символы",IF(MOD(VALUE(LEFT(D137,12))-11*INT(VALUE(LEFT(D137,12))/11),10)=VALUE(RIGHT(D137,1)),"","ОГРН: неверная контрольная цифра"))))</f>
        <v/>
      </c>
      <c r="M137" s="24" t="str">
        <f aca="false">IF(TRIM(E137)="","КПП не указан",IF(LEN(E137)&lt;&gt;9,"КПП: должно быть 9 знаков",IF(NOT(AND(ISNUMBER(IFERROR(VALUE(LEFT(E137,4)),"x")),ISNUMBER(IFERROR(VALUE(RIGHT(E137,3)),"x")))),"КПП: неверный формат",IF(LEFT(E137,2)&lt;&gt;LEFT(C137,2),"КПП: код региона не совпадает с ИНН",""))))</f>
        <v/>
      </c>
      <c r="N137" s="24" t="str">
        <f aca="false">IF(TRIM(C137)="","",IF(COUNTIF($C$2:$C$401,C137)&gt;1,"Дубликат ИНН в реестре",""))</f>
        <v/>
      </c>
      <c r="O137" s="24" t="str">
        <f aca="false">IF(TRIM(H137)="","Email не указан",IF(AND(ISNUMBER(FIND("@",H137)),ISNUMBER(FIND(".",H137,IFERROR(FIND("@",H137),1))),ISERROR(FIND(" ",H137)),LEFT(H137,1)&lt;&gt;"@",RIGHT(H137,1)&lt;&gt;".",LEN(H137)-LEN(SUBSTITUTE(H137,"@",""))=1),"","Email: неверный формат"))</f>
        <v/>
      </c>
      <c r="P137" s="24" t="str">
        <f aca="false">IF(TRIM(I137)="","Телефон не указан",IF(AND(LEN(SUBSTITUTE(SUBSTITUTE(SUBSTITUTE(SUBSTITUTE(SUBSTITUTE(I137," ",""),"-",""),"(",""),")",""),"+",""))=11,OR(LEFT(SUBSTITUTE(SUBSTITUTE(SUBSTITUTE(SUBSTITUTE(SUBSTITUTE(I137," ",""),"-",""),"(",""),")",""),"+",""),1)="7",LEFT(SUBSTITUTE(SUBSTITUTE(SUBSTITUTE(SUBSTITUTE(SUBSTITUTE(I137," ",""),"-",""),"(",""),")",""),"+",""),1)="8"),ISNUMBER(IFERROR(VALUE(SUBSTITUTE(SUBSTITUTE(SUBSTITUTE(SUBSTITUTE(SUBSTITUTE(I137," ",""),"-",""),"(",""),")",""),"+","")),"x"))),"","Телефон: неверный формат"))</f>
        <v/>
      </c>
      <c r="Q137" s="24" t="str">
        <f aca="false">TRIM(IF(TRIM(B137)="","Нет наименования. ","")&amp;IF(TRIM(F137)="","Нет адреса. ","")&amp;IF(TRIM(G137)="","Нет контактного лица.",""))</f>
        <v/>
      </c>
      <c r="R137" s="21" t="n">
        <f aca="false">SUMPRODUCT(--(LEN(K137:Q137)&gt;0))</f>
        <v>0</v>
      </c>
      <c r="S137" s="24" t="str">
        <f aca="false">IF(R137=0,"Готово к передаче","Требует исправления")</f>
        <v>Готово к передаче</v>
      </c>
      <c r="T137" s="24" t="str">
        <f aca="false">IF(R137=0,"",_xlfn.TEXTJOIN("; ",TRUE(),K137:Q137))</f>
        <v/>
      </c>
      <c r="U137" s="24" t="str">
        <f aca="false">IF(R137=0,"","Здравствуйте! В данных организации «"&amp;B137&amp;"» обнаружены ошибки: "&amp;T137&amp;". Просим проверить и прислать исправленную информацию.")</f>
        <v/>
      </c>
      <c r="V137" s="21" t="str">
        <f aca="false">IF(R137&gt;0,COUNTIF($R$2:R137,"&gt;0"),"")</f>
        <v/>
      </c>
      <c r="W137" s="21" t="n">
        <f aca="false">IF(R137=0,COUNTIF($R$2:R137,0),"")</f>
        <v>86</v>
      </c>
    </row>
    <row r="138" customFormat="false" ht="15" hidden="false" customHeight="false" outlineLevel="0" collapsed="false">
      <c r="A138" s="21" t="n">
        <v>137</v>
      </c>
      <c r="B138" s="22" t="s">
        <v>1154</v>
      </c>
      <c r="C138" s="23" t="s">
        <v>1155</v>
      </c>
      <c r="D138" s="23" t="s">
        <v>1156</v>
      </c>
      <c r="E138" s="23" t="s">
        <v>1157</v>
      </c>
      <c r="F138" s="22" t="s">
        <v>1158</v>
      </c>
      <c r="G138" s="22" t="s">
        <v>1159</v>
      </c>
      <c r="H138" s="22"/>
      <c r="I138" s="23" t="s">
        <v>1160</v>
      </c>
      <c r="J138" s="24" t="str">
        <f aca="false">IFERROR(VLOOKUP(VALUE(LEFT(C138,2)),Справочники!$A$2:$B$16,2,FALSE()),"не определён")</f>
        <v>Республика Крым</v>
      </c>
      <c r="K138" s="24" t="str">
        <f aca="false">IF(TRIM(C138)="","ИНН не указан",IF(LEN(C138)&lt;&gt;10,"ИНН: должно быть 10 цифр",IF(NOT(ISNUMBER(IFERROR(VALUE(C138),"x"))),"ИНН: есть нецифровые символы",IF(MOD(MOD(SUMPRODUCT(--MID(C138,{1,2,3,4,5,6,7,8,9},1),{2,4,10,3,5,9,4,6,8}),11),10)=VALUE(RIGHT(C138,1)),"","ИНН: неверная контрольная цифра"))))</f>
        <v/>
      </c>
      <c r="L138" s="24" t="str">
        <f aca="false">IF(TRIM(D138)="","ОГРН не указан",IF(LEN(D138)&lt;&gt;13,"ОГРН: должно быть 13 цифр",IF(NOT(ISNUMBER(IFERROR(VALUE(D138),"x"))),"ОГРН: есть нецифровые символы",IF(MOD(VALUE(LEFT(D138,12))-11*INT(VALUE(LEFT(D138,12))/11),10)=VALUE(RIGHT(D138,1)),"","ОГРН: неверная контрольная цифра"))))</f>
        <v/>
      </c>
      <c r="M138" s="24" t="str">
        <f aca="false">IF(TRIM(E138)="","КПП не указан",IF(LEN(E138)&lt;&gt;9,"КПП: должно быть 9 знаков",IF(NOT(AND(ISNUMBER(IFERROR(VALUE(LEFT(E138,4)),"x")),ISNUMBER(IFERROR(VALUE(RIGHT(E138,3)),"x")))),"КПП: неверный формат",IF(LEFT(E138,2)&lt;&gt;LEFT(C138,2),"КПП: код региона не совпадает с ИНН",""))))</f>
        <v/>
      </c>
      <c r="N138" s="24" t="str">
        <f aca="false">IF(TRIM(C138)="","",IF(COUNTIF($C$2:$C$401,C138)&gt;1,"Дубликат ИНН в реестре",""))</f>
        <v/>
      </c>
      <c r="O138" s="24" t="str">
        <f aca="false">IF(TRIM(H138)="","Email не указан",IF(AND(ISNUMBER(FIND("@",H138)),ISNUMBER(FIND(".",H138,IFERROR(FIND("@",H138),1))),ISERROR(FIND(" ",H138)),LEFT(H138,1)&lt;&gt;"@",RIGHT(H138,1)&lt;&gt;".",LEN(H138)-LEN(SUBSTITUTE(H138,"@",""))=1),"","Email: неверный формат"))</f>
        <v>Email не указан</v>
      </c>
      <c r="P138" s="24" t="str">
        <f aca="false">IF(TRIM(I138)="","Телефон не указан",IF(AND(LEN(SUBSTITUTE(SUBSTITUTE(SUBSTITUTE(SUBSTITUTE(SUBSTITUTE(I138," ",""),"-",""),"(",""),")",""),"+",""))=11,OR(LEFT(SUBSTITUTE(SUBSTITUTE(SUBSTITUTE(SUBSTITUTE(SUBSTITUTE(I138," ",""),"-",""),"(",""),")",""),"+",""),1)="7",LEFT(SUBSTITUTE(SUBSTITUTE(SUBSTITUTE(SUBSTITUTE(SUBSTITUTE(I138," ",""),"-",""),"(",""),")",""),"+",""),1)="8"),ISNUMBER(IFERROR(VALUE(SUBSTITUTE(SUBSTITUTE(SUBSTITUTE(SUBSTITUTE(SUBSTITUTE(I138," ",""),"-",""),"(",""),")",""),"+","")),"x"))),"","Телефон: неверный формат"))</f>
        <v/>
      </c>
      <c r="Q138" s="24" t="str">
        <f aca="false">TRIM(IF(TRIM(B138)="","Нет наименования. ","")&amp;IF(TRIM(F138)="","Нет адреса. ","")&amp;IF(TRIM(G138)="","Нет контактного лица.",""))</f>
        <v/>
      </c>
      <c r="R138" s="21" t="n">
        <f aca="false">SUMPRODUCT(--(LEN(K138:Q138)&gt;0))</f>
        <v>1</v>
      </c>
      <c r="S138" s="24" t="str">
        <f aca="false">IF(R138=0,"Готово к передаче","Требует исправления")</f>
        <v>Требует исправления</v>
      </c>
      <c r="T138" s="24" t="str">
        <f aca="false">IF(R138=0,"",_xlfn.TEXTJOIN("; ",TRUE(),K138:Q138))</f>
        <v>Email не указан</v>
      </c>
      <c r="U138" s="24" t="str">
        <f aca="false">IF(R138=0,"","Здравствуйте! В данных организации «"&amp;B138&amp;"» обнаружены ошибки: "&amp;T138&amp;". Просим проверить и прислать исправленную информацию.")</f>
        <v>Здравствуйте! В данных организации «ООО «Навигатор Технологии»» обнаружены ошибки: Email не указан. Просим проверить и прислать исправленную информацию.</v>
      </c>
      <c r="V138" s="21" t="n">
        <f aca="false">IF(R138&gt;0,COUNTIF($R$2:R138,"&gt;0"),"")</f>
        <v>51</v>
      </c>
      <c r="W138" s="21" t="str">
        <f aca="false">IF(R138=0,COUNTIF($R$2:R138,0),"")</f>
        <v/>
      </c>
    </row>
    <row r="139" customFormat="false" ht="15" hidden="false" customHeight="false" outlineLevel="0" collapsed="false">
      <c r="A139" s="21" t="n">
        <v>138</v>
      </c>
      <c r="B139" s="22" t="s">
        <v>1161</v>
      </c>
      <c r="C139" s="23" t="s">
        <v>1162</v>
      </c>
      <c r="D139" s="23" t="s">
        <v>1163</v>
      </c>
      <c r="E139" s="23" t="s">
        <v>1164</v>
      </c>
      <c r="F139" s="22" t="s">
        <v>1165</v>
      </c>
      <c r="G139" s="22" t="s">
        <v>1166</v>
      </c>
      <c r="H139" s="22" t="s">
        <v>1167</v>
      </c>
      <c r="I139" s="23" t="s">
        <v>1168</v>
      </c>
      <c r="J139" s="24" t="str">
        <f aca="false">IFERROR(VLOOKUP(VALUE(LEFT(C139,2)),Справочники!$A$2:$B$16,2,FALSE()),"не определён")</f>
        <v>Республика Крым</v>
      </c>
      <c r="K139" s="24" t="str">
        <f aca="false">IF(TRIM(C139)="","ИНН не указан",IF(LEN(C139)&lt;&gt;10,"ИНН: должно быть 10 цифр",IF(NOT(ISNUMBER(IFERROR(VALUE(C139),"x"))),"ИНН: есть нецифровые символы",IF(MOD(MOD(SUMPRODUCT(--MID(C139,{1,2,3,4,5,6,7,8,9},1),{2,4,10,3,5,9,4,6,8}),11),10)=VALUE(RIGHT(C139,1)),"","ИНН: неверная контрольная цифра"))))</f>
        <v/>
      </c>
      <c r="L139" s="24" t="str">
        <f aca="false">IF(TRIM(D139)="","ОГРН не указан",IF(LEN(D139)&lt;&gt;13,"ОГРН: должно быть 13 цифр",IF(NOT(ISNUMBER(IFERROR(VALUE(D139),"x"))),"ОГРН: есть нецифровые символы",IF(MOD(VALUE(LEFT(D139,12))-11*INT(VALUE(LEFT(D139,12))/11),10)=VALUE(RIGHT(D139,1)),"","ОГРН: неверная контрольная цифра"))))</f>
        <v/>
      </c>
      <c r="M139" s="24" t="str">
        <f aca="false">IF(TRIM(E139)="","КПП не указан",IF(LEN(E139)&lt;&gt;9,"КПП: должно быть 9 знаков",IF(NOT(AND(ISNUMBER(IFERROR(VALUE(LEFT(E139,4)),"x")),ISNUMBER(IFERROR(VALUE(RIGHT(E139,3)),"x")))),"КПП: неверный формат",IF(LEFT(E139,2)&lt;&gt;LEFT(C139,2),"КПП: код региона не совпадает с ИНН",""))))</f>
        <v/>
      </c>
      <c r="N139" s="24" t="str">
        <f aca="false">IF(TRIM(C139)="","",IF(COUNTIF($C$2:$C$401,C139)&gt;1,"Дубликат ИНН в реестре",""))</f>
        <v/>
      </c>
      <c r="O139" s="24" t="str">
        <f aca="false">IF(TRIM(H139)="","Email не указан",IF(AND(ISNUMBER(FIND("@",H139)),ISNUMBER(FIND(".",H139,IFERROR(FIND("@",H139),1))),ISERROR(FIND(" ",H139)),LEFT(H139,1)&lt;&gt;"@",RIGHT(H139,1)&lt;&gt;".",LEN(H139)-LEN(SUBSTITUTE(H139,"@",""))=1),"","Email: неверный формат"))</f>
        <v/>
      </c>
      <c r="P139" s="24" t="str">
        <f aca="false">IF(TRIM(I139)="","Телефон не указан",IF(AND(LEN(SUBSTITUTE(SUBSTITUTE(SUBSTITUTE(SUBSTITUTE(SUBSTITUTE(I139," ",""),"-",""),"(",""),")",""),"+",""))=11,OR(LEFT(SUBSTITUTE(SUBSTITUTE(SUBSTITUTE(SUBSTITUTE(SUBSTITUTE(I139," ",""),"-",""),"(",""),")",""),"+",""),1)="7",LEFT(SUBSTITUTE(SUBSTITUTE(SUBSTITUTE(SUBSTITUTE(SUBSTITUTE(I139," ",""),"-",""),"(",""),")",""),"+",""),1)="8"),ISNUMBER(IFERROR(VALUE(SUBSTITUTE(SUBSTITUTE(SUBSTITUTE(SUBSTITUTE(SUBSTITUTE(I139," ",""),"-",""),"(",""),")",""),"+","")),"x"))),"","Телефон: неверный формат"))</f>
        <v/>
      </c>
      <c r="Q139" s="24" t="str">
        <f aca="false">TRIM(IF(TRIM(B139)="","Нет наименования. ","")&amp;IF(TRIM(F139)="","Нет адреса. ","")&amp;IF(TRIM(G139)="","Нет контактного лица.",""))</f>
        <v/>
      </c>
      <c r="R139" s="21" t="n">
        <f aca="false">SUMPRODUCT(--(LEN(K139:Q139)&gt;0))</f>
        <v>0</v>
      </c>
      <c r="S139" s="24" t="str">
        <f aca="false">IF(R139=0,"Готово к передаче","Требует исправления")</f>
        <v>Готово к передаче</v>
      </c>
      <c r="T139" s="24" t="str">
        <f aca="false">IF(R139=0,"",_xlfn.TEXTJOIN("; ",TRUE(),K139:Q139))</f>
        <v/>
      </c>
      <c r="U139" s="24" t="str">
        <f aca="false">IF(R139=0,"","Здравствуйте! В данных организации «"&amp;B139&amp;"» обнаружены ошибки: "&amp;T139&amp;". Просим проверить и прислать исправленную информацию.")</f>
        <v/>
      </c>
      <c r="V139" s="21" t="str">
        <f aca="false">IF(R139&gt;0,COUNTIF($R$2:R139,"&gt;0"),"")</f>
        <v/>
      </c>
      <c r="W139" s="21" t="n">
        <f aca="false">IF(R139=0,COUNTIF($R$2:R139,0),"")</f>
        <v>87</v>
      </c>
    </row>
    <row r="140" customFormat="false" ht="15" hidden="false" customHeight="false" outlineLevel="0" collapsed="false">
      <c r="A140" s="21" t="n">
        <v>139</v>
      </c>
      <c r="B140" s="22" t="s">
        <v>1169</v>
      </c>
      <c r="C140" s="23" t="s">
        <v>1170</v>
      </c>
      <c r="D140" s="23" t="s">
        <v>1171</v>
      </c>
      <c r="E140" s="23" t="s">
        <v>1172</v>
      </c>
      <c r="F140" s="22" t="s">
        <v>1173</v>
      </c>
      <c r="G140" s="22" t="s">
        <v>1174</v>
      </c>
      <c r="H140" s="22" t="s">
        <v>1175</v>
      </c>
      <c r="I140" s="23" t="s">
        <v>1176</v>
      </c>
      <c r="J140" s="24" t="str">
        <f aca="false">IFERROR(VLOOKUP(VALUE(LEFT(C140,2)),Справочники!$A$2:$B$16,2,FALSE()),"не определён")</f>
        <v>г. Москва</v>
      </c>
      <c r="K140" s="24" t="str">
        <f aca="false">IF(TRIM(C140)="","ИНН не указан",IF(LEN(C140)&lt;&gt;10,"ИНН: должно быть 10 цифр",IF(NOT(ISNUMBER(IFERROR(VALUE(C140),"x"))),"ИНН: есть нецифровые символы",IF(MOD(MOD(SUMPRODUCT(--MID(C140,{1,2,3,4,5,6,7,8,9},1),{2,4,10,3,5,9,4,6,8}),11),10)=VALUE(RIGHT(C140,1)),"","ИНН: неверная контрольная цифра"))))</f>
        <v/>
      </c>
      <c r="L140" s="24" t="str">
        <f aca="false">IF(TRIM(D140)="","ОГРН не указан",IF(LEN(D140)&lt;&gt;13,"ОГРН: должно быть 13 цифр",IF(NOT(ISNUMBER(IFERROR(VALUE(D140),"x"))),"ОГРН: есть нецифровые символы",IF(MOD(VALUE(LEFT(D140,12))-11*INT(VALUE(LEFT(D140,12))/11),10)=VALUE(RIGHT(D140,1)),"","ОГРН: неверная контрольная цифра"))))</f>
        <v/>
      </c>
      <c r="M140" s="24" t="str">
        <f aca="false">IF(TRIM(E140)="","КПП не указан",IF(LEN(E140)&lt;&gt;9,"КПП: должно быть 9 знаков",IF(NOT(AND(ISNUMBER(IFERROR(VALUE(LEFT(E140,4)),"x")),ISNUMBER(IFERROR(VALUE(RIGHT(E140,3)),"x")))),"КПП: неверный формат",IF(LEFT(E140,2)&lt;&gt;LEFT(C140,2),"КПП: код региона не совпадает с ИНН",""))))</f>
        <v/>
      </c>
      <c r="N140" s="24" t="str">
        <f aca="false">IF(TRIM(C140)="","",IF(COUNTIF($C$2:$C$401,C140)&gt;1,"Дубликат ИНН в реестре",""))</f>
        <v/>
      </c>
      <c r="O140" s="24" t="str">
        <f aca="false">IF(TRIM(H140)="","Email не указан",IF(AND(ISNUMBER(FIND("@",H140)),ISNUMBER(FIND(".",H140,IFERROR(FIND("@",H140),1))),ISERROR(FIND(" ",H140)),LEFT(H140,1)&lt;&gt;"@",RIGHT(H140,1)&lt;&gt;".",LEN(H140)-LEN(SUBSTITUTE(H140,"@",""))=1),"","Email: неверный формат"))</f>
        <v/>
      </c>
      <c r="P140" s="24" t="str">
        <f aca="false">IF(TRIM(I140)="","Телефон не указан",IF(AND(LEN(SUBSTITUTE(SUBSTITUTE(SUBSTITUTE(SUBSTITUTE(SUBSTITUTE(I140," ",""),"-",""),"(",""),")",""),"+",""))=11,OR(LEFT(SUBSTITUTE(SUBSTITUTE(SUBSTITUTE(SUBSTITUTE(SUBSTITUTE(I140," ",""),"-",""),"(",""),")",""),"+",""),1)="7",LEFT(SUBSTITUTE(SUBSTITUTE(SUBSTITUTE(SUBSTITUTE(SUBSTITUTE(I140," ",""),"-",""),"(",""),")",""),"+",""),1)="8"),ISNUMBER(IFERROR(VALUE(SUBSTITUTE(SUBSTITUTE(SUBSTITUTE(SUBSTITUTE(SUBSTITUTE(I140," ",""),"-",""),"(",""),")",""),"+","")),"x"))),"","Телефон: неверный формат"))</f>
        <v/>
      </c>
      <c r="Q140" s="24" t="str">
        <f aca="false">TRIM(IF(TRIM(B140)="","Нет наименования. ","")&amp;IF(TRIM(F140)="","Нет адреса. ","")&amp;IF(TRIM(G140)="","Нет контактного лица.",""))</f>
        <v/>
      </c>
      <c r="R140" s="21" t="n">
        <f aca="false">SUMPRODUCT(--(LEN(K140:Q140)&gt;0))</f>
        <v>0</v>
      </c>
      <c r="S140" s="24" t="str">
        <f aca="false">IF(R140=0,"Готово к передаче","Требует исправления")</f>
        <v>Готово к передаче</v>
      </c>
      <c r="T140" s="24" t="str">
        <f aca="false">IF(R140=0,"",_xlfn.TEXTJOIN("; ",TRUE(),K140:Q140))</f>
        <v/>
      </c>
      <c r="U140" s="24" t="str">
        <f aca="false">IF(R140=0,"","Здравствуйте! В данных организации «"&amp;B140&amp;"» обнаружены ошибки: "&amp;T140&amp;". Просим проверить и прислать исправленную информацию.")</f>
        <v/>
      </c>
      <c r="V140" s="21" t="str">
        <f aca="false">IF(R140&gt;0,COUNTIF($R$2:R140,"&gt;0"),"")</f>
        <v/>
      </c>
      <c r="W140" s="21" t="n">
        <f aca="false">IF(R140=0,COUNTIF($R$2:R140,0),"")</f>
        <v>88</v>
      </c>
    </row>
    <row r="141" customFormat="false" ht="15" hidden="false" customHeight="false" outlineLevel="0" collapsed="false">
      <c r="A141" s="21" t="n">
        <v>140</v>
      </c>
      <c r="B141" s="22" t="s">
        <v>1177</v>
      </c>
      <c r="C141" s="23" t="s">
        <v>1178</v>
      </c>
      <c r="D141" s="23" t="s">
        <v>1179</v>
      </c>
      <c r="E141" s="23" t="s">
        <v>1180</v>
      </c>
      <c r="F141" s="22" t="s">
        <v>1181</v>
      </c>
      <c r="G141" s="22" t="s">
        <v>1182</v>
      </c>
      <c r="H141" s="22" t="s">
        <v>1183</v>
      </c>
      <c r="I141" s="23" t="s">
        <v>1184</v>
      </c>
      <c r="J141" s="24" t="str">
        <f aca="false">IFERROR(VLOOKUP(VALUE(LEFT(C141,2)),Справочники!$A$2:$B$16,2,FALSE()),"не определён")</f>
        <v>г. Москва</v>
      </c>
      <c r="K141" s="24" t="str">
        <f aca="false">IF(TRIM(C141)="","ИНН не указан",IF(LEN(C141)&lt;&gt;10,"ИНН: должно быть 10 цифр",IF(NOT(ISNUMBER(IFERROR(VALUE(C141),"x"))),"ИНН: есть нецифровые символы",IF(MOD(MOD(SUMPRODUCT(--MID(C141,{1,2,3,4,5,6,7,8,9},1),{2,4,10,3,5,9,4,6,8}),11),10)=VALUE(RIGHT(C141,1)),"","ИНН: неверная контрольная цифра"))))</f>
        <v/>
      </c>
      <c r="L141" s="24" t="str">
        <f aca="false">IF(TRIM(D141)="","ОГРН не указан",IF(LEN(D141)&lt;&gt;13,"ОГРН: должно быть 13 цифр",IF(NOT(ISNUMBER(IFERROR(VALUE(D141),"x"))),"ОГРН: есть нецифровые символы",IF(MOD(VALUE(LEFT(D141,12))-11*INT(VALUE(LEFT(D141,12))/11),10)=VALUE(RIGHT(D141,1)),"","ОГРН: неверная контрольная цифра"))))</f>
        <v/>
      </c>
      <c r="M141" s="24" t="str">
        <f aca="false">IF(TRIM(E141)="","КПП не указан",IF(LEN(E141)&lt;&gt;9,"КПП: должно быть 9 знаков",IF(NOT(AND(ISNUMBER(IFERROR(VALUE(LEFT(E141,4)),"x")),ISNUMBER(IFERROR(VALUE(RIGHT(E141,3)),"x")))),"КПП: неверный формат",IF(LEFT(E141,2)&lt;&gt;LEFT(C141,2),"КПП: код региона не совпадает с ИНН",""))))</f>
        <v/>
      </c>
      <c r="N141" s="24" t="str">
        <f aca="false">IF(TRIM(C141)="","",IF(COUNTIF($C$2:$C$401,C141)&gt;1,"Дубликат ИНН в реестре",""))</f>
        <v/>
      </c>
      <c r="O141" s="24" t="str">
        <f aca="false">IF(TRIM(H141)="","Email не указан",IF(AND(ISNUMBER(FIND("@",H141)),ISNUMBER(FIND(".",H141,IFERROR(FIND("@",H141),1))),ISERROR(FIND(" ",H141)),LEFT(H141,1)&lt;&gt;"@",RIGHT(H141,1)&lt;&gt;".",LEN(H141)-LEN(SUBSTITUTE(H141,"@",""))=1),"","Email: неверный формат"))</f>
        <v/>
      </c>
      <c r="P141" s="24" t="str">
        <f aca="false">IF(TRIM(I141)="","Телефон не указан",IF(AND(LEN(SUBSTITUTE(SUBSTITUTE(SUBSTITUTE(SUBSTITUTE(SUBSTITUTE(I141," ",""),"-",""),"(",""),")",""),"+",""))=11,OR(LEFT(SUBSTITUTE(SUBSTITUTE(SUBSTITUTE(SUBSTITUTE(SUBSTITUTE(I141," ",""),"-",""),"(",""),")",""),"+",""),1)="7",LEFT(SUBSTITUTE(SUBSTITUTE(SUBSTITUTE(SUBSTITUTE(SUBSTITUTE(I141," ",""),"-",""),"(",""),")",""),"+",""),1)="8"),ISNUMBER(IFERROR(VALUE(SUBSTITUTE(SUBSTITUTE(SUBSTITUTE(SUBSTITUTE(SUBSTITUTE(I141," ",""),"-",""),"(",""),")",""),"+","")),"x"))),"","Телефон: неверный формат"))</f>
        <v/>
      </c>
      <c r="Q141" s="24" t="str">
        <f aca="false">TRIM(IF(TRIM(B141)="","Нет наименования. ","")&amp;IF(TRIM(F141)="","Нет адреса. ","")&amp;IF(TRIM(G141)="","Нет контактного лица.",""))</f>
        <v/>
      </c>
      <c r="R141" s="21" t="n">
        <f aca="false">SUMPRODUCT(--(LEN(K141:Q141)&gt;0))</f>
        <v>0</v>
      </c>
      <c r="S141" s="24" t="str">
        <f aca="false">IF(R141=0,"Готово к передаче","Требует исправления")</f>
        <v>Готово к передаче</v>
      </c>
      <c r="T141" s="24" t="str">
        <f aca="false">IF(R141=0,"",_xlfn.TEXTJOIN("; ",TRUE(),K141:Q141))</f>
        <v/>
      </c>
      <c r="U141" s="24" t="str">
        <f aca="false">IF(R141=0,"","Здравствуйте! В данных организации «"&amp;B141&amp;"» обнаружены ошибки: "&amp;T141&amp;". Просим проверить и прислать исправленную информацию.")</f>
        <v/>
      </c>
      <c r="V141" s="21" t="str">
        <f aca="false">IF(R141&gt;0,COUNTIF($R$2:R141,"&gt;0"),"")</f>
        <v/>
      </c>
      <c r="W141" s="21" t="n">
        <f aca="false">IF(R141=0,COUNTIF($R$2:R141,0),"")</f>
        <v>89</v>
      </c>
    </row>
    <row r="142" customFormat="false" ht="15" hidden="false" customHeight="false" outlineLevel="0" collapsed="false">
      <c r="A142" s="21" t="n">
        <v>141</v>
      </c>
      <c r="B142" s="22" t="s">
        <v>1185</v>
      </c>
      <c r="C142" s="23" t="s">
        <v>1186</v>
      </c>
      <c r="D142" s="23" t="s">
        <v>1187</v>
      </c>
      <c r="E142" s="23" t="s">
        <v>1188</v>
      </c>
      <c r="F142" s="22" t="s">
        <v>1189</v>
      </c>
      <c r="G142" s="22" t="s">
        <v>1190</v>
      </c>
      <c r="H142" s="22" t="s">
        <v>1191</v>
      </c>
      <c r="I142" s="23" t="s">
        <v>1192</v>
      </c>
      <c r="J142" s="24" t="str">
        <f aca="false">IFERROR(VLOOKUP(VALUE(LEFT(C142,2)),Справочники!$A$2:$B$16,2,FALSE()),"не определён")</f>
        <v>г. Санкт-Петербург</v>
      </c>
      <c r="K142" s="24" t="str">
        <f aca="false">IF(TRIM(C142)="","ИНН не указан",IF(LEN(C142)&lt;&gt;10,"ИНН: должно быть 10 цифр",IF(NOT(ISNUMBER(IFERROR(VALUE(C142),"x"))),"ИНН: есть нецифровые символы",IF(MOD(MOD(SUMPRODUCT(--MID(C142,{1,2,3,4,5,6,7,8,9},1),{2,4,10,3,5,9,4,6,8}),11),10)=VALUE(RIGHT(C142,1)),"","ИНН: неверная контрольная цифра"))))</f>
        <v/>
      </c>
      <c r="L142" s="24" t="str">
        <f aca="false">IF(TRIM(D142)="","ОГРН не указан",IF(LEN(D142)&lt;&gt;13,"ОГРН: должно быть 13 цифр",IF(NOT(ISNUMBER(IFERROR(VALUE(D142),"x"))),"ОГРН: есть нецифровые символы",IF(MOD(VALUE(LEFT(D142,12))-11*INT(VALUE(LEFT(D142,12))/11),10)=VALUE(RIGHT(D142,1)),"","ОГРН: неверная контрольная цифра"))))</f>
        <v/>
      </c>
      <c r="M142" s="24" t="str">
        <f aca="false">IF(TRIM(E142)="","КПП не указан",IF(LEN(E142)&lt;&gt;9,"КПП: должно быть 9 знаков",IF(NOT(AND(ISNUMBER(IFERROR(VALUE(LEFT(E142,4)),"x")),ISNUMBER(IFERROR(VALUE(RIGHT(E142,3)),"x")))),"КПП: неверный формат",IF(LEFT(E142,2)&lt;&gt;LEFT(C142,2),"КПП: код региона не совпадает с ИНН",""))))</f>
        <v/>
      </c>
      <c r="N142" s="24" t="str">
        <f aca="false">IF(TRIM(C142)="","",IF(COUNTIF($C$2:$C$401,C142)&gt;1,"Дубликат ИНН в реестре",""))</f>
        <v/>
      </c>
      <c r="O142" s="24" t="str">
        <f aca="false">IF(TRIM(H142)="","Email не указан",IF(AND(ISNUMBER(FIND("@",H142)),ISNUMBER(FIND(".",H142,IFERROR(FIND("@",H142),1))),ISERROR(FIND(" ",H142)),LEFT(H142,1)&lt;&gt;"@",RIGHT(H142,1)&lt;&gt;".",LEN(H142)-LEN(SUBSTITUTE(H142,"@",""))=1),"","Email: неверный формат"))</f>
        <v/>
      </c>
      <c r="P142" s="24" t="str">
        <f aca="false">IF(TRIM(I142)="","Телефон не указан",IF(AND(LEN(SUBSTITUTE(SUBSTITUTE(SUBSTITUTE(SUBSTITUTE(SUBSTITUTE(I142," ",""),"-",""),"(",""),")",""),"+",""))=11,OR(LEFT(SUBSTITUTE(SUBSTITUTE(SUBSTITUTE(SUBSTITUTE(SUBSTITUTE(I142," ",""),"-",""),"(",""),")",""),"+",""),1)="7",LEFT(SUBSTITUTE(SUBSTITUTE(SUBSTITUTE(SUBSTITUTE(SUBSTITUTE(I142," ",""),"-",""),"(",""),")",""),"+",""),1)="8"),ISNUMBER(IFERROR(VALUE(SUBSTITUTE(SUBSTITUTE(SUBSTITUTE(SUBSTITUTE(SUBSTITUTE(I142," ",""),"-",""),"(",""),")",""),"+","")),"x"))),"","Телефон: неверный формат"))</f>
        <v/>
      </c>
      <c r="Q142" s="24" t="str">
        <f aca="false">TRIM(IF(TRIM(B142)="","Нет наименования. ","")&amp;IF(TRIM(F142)="","Нет адреса. ","")&amp;IF(TRIM(G142)="","Нет контактного лица.",""))</f>
        <v/>
      </c>
      <c r="R142" s="21" t="n">
        <f aca="false">SUMPRODUCT(--(LEN(K142:Q142)&gt;0))</f>
        <v>0</v>
      </c>
      <c r="S142" s="24" t="str">
        <f aca="false">IF(R142=0,"Готово к передаче","Требует исправления")</f>
        <v>Готово к передаче</v>
      </c>
      <c r="T142" s="24" t="str">
        <f aca="false">IF(R142=0,"",_xlfn.TEXTJOIN("; ",TRUE(),K142:Q142))</f>
        <v/>
      </c>
      <c r="U142" s="24" t="str">
        <f aca="false">IF(R142=0,"","Здравствуйте! В данных организации «"&amp;B142&amp;"» обнаружены ошибки: "&amp;T142&amp;". Просим проверить и прислать исправленную информацию.")</f>
        <v/>
      </c>
      <c r="V142" s="21" t="str">
        <f aca="false">IF(R142&gt;0,COUNTIF($R$2:R142,"&gt;0"),"")</f>
        <v/>
      </c>
      <c r="W142" s="21" t="n">
        <f aca="false">IF(R142=0,COUNTIF($R$2:R142,0),"")</f>
        <v>90</v>
      </c>
    </row>
    <row r="143" customFormat="false" ht="15" hidden="false" customHeight="false" outlineLevel="0" collapsed="false">
      <c r="A143" s="21" t="n">
        <v>142</v>
      </c>
      <c r="B143" s="22" t="s">
        <v>1193</v>
      </c>
      <c r="C143" s="23" t="s">
        <v>1194</v>
      </c>
      <c r="D143" s="23" t="s">
        <v>1195</v>
      </c>
      <c r="E143" s="23" t="s">
        <v>1196</v>
      </c>
      <c r="F143" s="22" t="s">
        <v>1197</v>
      </c>
      <c r="G143" s="22" t="s">
        <v>1198</v>
      </c>
      <c r="H143" s="22" t="s">
        <v>1199</v>
      </c>
      <c r="I143" s="23" t="s">
        <v>1200</v>
      </c>
      <c r="J143" s="24" t="str">
        <f aca="false">IFERROR(VLOOKUP(VALUE(LEFT(C143,2)),Справочники!$A$2:$B$16,2,FALSE()),"не определён")</f>
        <v>Ростовская область</v>
      </c>
      <c r="K143" s="24" t="str">
        <f aca="false">IF(TRIM(C143)="","ИНН не указан",IF(LEN(C143)&lt;&gt;10,"ИНН: должно быть 10 цифр",IF(NOT(ISNUMBER(IFERROR(VALUE(C143),"x"))),"ИНН: есть нецифровые символы",IF(MOD(MOD(SUMPRODUCT(--MID(C143,{1,2,3,4,5,6,7,8,9},1),{2,4,10,3,5,9,4,6,8}),11),10)=VALUE(RIGHT(C143,1)),"","ИНН: неверная контрольная цифра"))))</f>
        <v/>
      </c>
      <c r="L143" s="24" t="str">
        <f aca="false">IF(TRIM(D143)="","ОГРН не указан",IF(LEN(D143)&lt;&gt;13,"ОГРН: должно быть 13 цифр",IF(NOT(ISNUMBER(IFERROR(VALUE(D143),"x"))),"ОГРН: есть нецифровые символы",IF(MOD(VALUE(LEFT(D143,12))-11*INT(VALUE(LEFT(D143,12))/11),10)=VALUE(RIGHT(D143,1)),"","ОГРН: неверная контрольная цифра"))))</f>
        <v/>
      </c>
      <c r="M143" s="24" t="str">
        <f aca="false">IF(TRIM(E143)="","КПП не указан",IF(LEN(E143)&lt;&gt;9,"КПП: должно быть 9 знаков",IF(NOT(AND(ISNUMBER(IFERROR(VALUE(LEFT(E143,4)),"x")),ISNUMBER(IFERROR(VALUE(RIGHT(E143,3)),"x")))),"КПП: неверный формат",IF(LEFT(E143,2)&lt;&gt;LEFT(C143,2),"КПП: код региона не совпадает с ИНН",""))))</f>
        <v/>
      </c>
      <c r="N143" s="24" t="str">
        <f aca="false">IF(TRIM(C143)="","",IF(COUNTIF($C$2:$C$401,C143)&gt;1,"Дубликат ИНН в реестре",""))</f>
        <v/>
      </c>
      <c r="O143" s="24" t="str">
        <f aca="false">IF(TRIM(H143)="","Email не указан",IF(AND(ISNUMBER(FIND("@",H143)),ISNUMBER(FIND(".",H143,IFERROR(FIND("@",H143),1))),ISERROR(FIND(" ",H143)),LEFT(H143,1)&lt;&gt;"@",RIGHT(H143,1)&lt;&gt;".",LEN(H143)-LEN(SUBSTITUTE(H143,"@",""))=1),"","Email: неверный формат"))</f>
        <v/>
      </c>
      <c r="P143" s="24" t="str">
        <f aca="false">IF(TRIM(I143)="","Телефон не указан",IF(AND(LEN(SUBSTITUTE(SUBSTITUTE(SUBSTITUTE(SUBSTITUTE(SUBSTITUTE(I143," ",""),"-",""),"(",""),")",""),"+",""))=11,OR(LEFT(SUBSTITUTE(SUBSTITUTE(SUBSTITUTE(SUBSTITUTE(SUBSTITUTE(I143," ",""),"-",""),"(",""),")",""),"+",""),1)="7",LEFT(SUBSTITUTE(SUBSTITUTE(SUBSTITUTE(SUBSTITUTE(SUBSTITUTE(I143," ",""),"-",""),"(",""),")",""),"+",""),1)="8"),ISNUMBER(IFERROR(VALUE(SUBSTITUTE(SUBSTITUTE(SUBSTITUTE(SUBSTITUTE(SUBSTITUTE(I143," ",""),"-",""),"(",""),")",""),"+","")),"x"))),"","Телефон: неверный формат"))</f>
        <v/>
      </c>
      <c r="Q143" s="24" t="str">
        <f aca="false">TRIM(IF(TRIM(B143)="","Нет наименования. ","")&amp;IF(TRIM(F143)="","Нет адреса. ","")&amp;IF(TRIM(G143)="","Нет контактного лица.",""))</f>
        <v/>
      </c>
      <c r="R143" s="21" t="n">
        <f aca="false">SUMPRODUCT(--(LEN(K143:Q143)&gt;0))</f>
        <v>0</v>
      </c>
      <c r="S143" s="24" t="str">
        <f aca="false">IF(R143=0,"Готово к передаче","Требует исправления")</f>
        <v>Готово к передаче</v>
      </c>
      <c r="T143" s="24" t="str">
        <f aca="false">IF(R143=0,"",_xlfn.TEXTJOIN("; ",TRUE(),K143:Q143))</f>
        <v/>
      </c>
      <c r="U143" s="24" t="str">
        <f aca="false">IF(R143=0,"","Здравствуйте! В данных организации «"&amp;B143&amp;"» обнаружены ошибки: "&amp;T143&amp;". Просим проверить и прислать исправленную информацию.")</f>
        <v/>
      </c>
      <c r="V143" s="21" t="str">
        <f aca="false">IF(R143&gt;0,COUNTIF($R$2:R143,"&gt;0"),"")</f>
        <v/>
      </c>
      <c r="W143" s="21" t="n">
        <f aca="false">IF(R143=0,COUNTIF($R$2:R143,0),"")</f>
        <v>91</v>
      </c>
    </row>
    <row r="144" customFormat="false" ht="15" hidden="false" customHeight="false" outlineLevel="0" collapsed="false">
      <c r="A144" s="21" t="n">
        <v>143</v>
      </c>
      <c r="B144" s="22" t="s">
        <v>1201</v>
      </c>
      <c r="C144" s="23" t="s">
        <v>1202</v>
      </c>
      <c r="D144" s="23" t="s">
        <v>1203</v>
      </c>
      <c r="E144" s="23" t="s">
        <v>1204</v>
      </c>
      <c r="F144" s="22" t="s">
        <v>1205</v>
      </c>
      <c r="G144" s="22" t="s">
        <v>1206</v>
      </c>
      <c r="H144" s="22" t="s">
        <v>1207</v>
      </c>
      <c r="I144" s="23" t="s">
        <v>1208</v>
      </c>
      <c r="J144" s="24" t="str">
        <f aca="false">IFERROR(VLOOKUP(VALUE(LEFT(C144,2)),Справочники!$A$2:$B$16,2,FALSE()),"не определён")</f>
        <v>Красноярский край</v>
      </c>
      <c r="K144" s="24" t="str">
        <f aca="false">IF(TRIM(C144)="","ИНН не указан",IF(LEN(C144)&lt;&gt;10,"ИНН: должно быть 10 цифр",IF(NOT(ISNUMBER(IFERROR(VALUE(C144),"x"))),"ИНН: есть нецифровые символы",IF(MOD(MOD(SUMPRODUCT(--MID(C144,{1,2,3,4,5,6,7,8,9},1),{2,4,10,3,5,9,4,6,8}),11),10)=VALUE(RIGHT(C144,1)),"","ИНН: неверная контрольная цифра"))))</f>
        <v/>
      </c>
      <c r="L144" s="24" t="str">
        <f aca="false">IF(TRIM(D144)="","ОГРН не указан",IF(LEN(D144)&lt;&gt;13,"ОГРН: должно быть 13 цифр",IF(NOT(ISNUMBER(IFERROR(VALUE(D144),"x"))),"ОГРН: есть нецифровые символы",IF(MOD(VALUE(LEFT(D144,12))-11*INT(VALUE(LEFT(D144,12))/11),10)=VALUE(RIGHT(D144,1)),"","ОГРН: неверная контрольная цифра"))))</f>
        <v/>
      </c>
      <c r="M144" s="24" t="str">
        <f aca="false">IF(TRIM(E144)="","КПП не указан",IF(LEN(E144)&lt;&gt;9,"КПП: должно быть 9 знаков",IF(NOT(AND(ISNUMBER(IFERROR(VALUE(LEFT(E144,4)),"x")),ISNUMBER(IFERROR(VALUE(RIGHT(E144,3)),"x")))),"КПП: неверный формат",IF(LEFT(E144,2)&lt;&gt;LEFT(C144,2),"КПП: код региона не совпадает с ИНН",""))))</f>
        <v/>
      </c>
      <c r="N144" s="24" t="str">
        <f aca="false">IF(TRIM(C144)="","",IF(COUNTIF($C$2:$C$401,C144)&gt;1,"Дубликат ИНН в реестре",""))</f>
        <v/>
      </c>
      <c r="O144" s="24" t="str">
        <f aca="false">IF(TRIM(H144)="","Email не указан",IF(AND(ISNUMBER(FIND("@",H144)),ISNUMBER(FIND(".",H144,IFERROR(FIND("@",H144),1))),ISERROR(FIND(" ",H144)),LEFT(H144,1)&lt;&gt;"@",RIGHT(H144,1)&lt;&gt;".",LEN(H144)-LEN(SUBSTITUTE(H144,"@",""))=1),"","Email: неверный формат"))</f>
        <v/>
      </c>
      <c r="P144" s="24" t="str">
        <f aca="false">IF(TRIM(I144)="","Телефон не указан",IF(AND(LEN(SUBSTITUTE(SUBSTITUTE(SUBSTITUTE(SUBSTITUTE(SUBSTITUTE(I144," ",""),"-",""),"(",""),")",""),"+",""))=11,OR(LEFT(SUBSTITUTE(SUBSTITUTE(SUBSTITUTE(SUBSTITUTE(SUBSTITUTE(I144," ",""),"-",""),"(",""),")",""),"+",""),1)="7",LEFT(SUBSTITUTE(SUBSTITUTE(SUBSTITUTE(SUBSTITUTE(SUBSTITUTE(I144," ",""),"-",""),"(",""),")",""),"+",""),1)="8"),ISNUMBER(IFERROR(VALUE(SUBSTITUTE(SUBSTITUTE(SUBSTITUTE(SUBSTITUTE(SUBSTITUTE(I144," ",""),"-",""),"(",""),")",""),"+","")),"x"))),"","Телефон: неверный формат"))</f>
        <v/>
      </c>
      <c r="Q144" s="24" t="str">
        <f aca="false">TRIM(IF(TRIM(B144)="","Нет наименования. ","")&amp;IF(TRIM(F144)="","Нет адреса. ","")&amp;IF(TRIM(G144)="","Нет контактного лица.",""))</f>
        <v/>
      </c>
      <c r="R144" s="21" t="n">
        <f aca="false">SUMPRODUCT(--(LEN(K144:Q144)&gt;0))</f>
        <v>0</v>
      </c>
      <c r="S144" s="24" t="str">
        <f aca="false">IF(R144=0,"Готово к передаче","Требует исправления")</f>
        <v>Готово к передаче</v>
      </c>
      <c r="T144" s="24" t="str">
        <f aca="false">IF(R144=0,"",_xlfn.TEXTJOIN("; ",TRUE(),K144:Q144))</f>
        <v/>
      </c>
      <c r="U144" s="24" t="str">
        <f aca="false">IF(R144=0,"","Здравствуйте! В данных организации «"&amp;B144&amp;"» обнаружены ошибки: "&amp;T144&amp;". Просим проверить и прислать исправленную информацию.")</f>
        <v/>
      </c>
      <c r="V144" s="21" t="str">
        <f aca="false">IF(R144&gt;0,COUNTIF($R$2:R144,"&gt;0"),"")</f>
        <v/>
      </c>
      <c r="W144" s="21" t="n">
        <f aca="false">IF(R144=0,COUNTIF($R$2:R144,0),"")</f>
        <v>92</v>
      </c>
    </row>
    <row r="145" customFormat="false" ht="15" hidden="false" customHeight="false" outlineLevel="0" collapsed="false">
      <c r="A145" s="21" t="n">
        <v>144</v>
      </c>
      <c r="B145" s="22" t="s">
        <v>1209</v>
      </c>
      <c r="C145" s="23" t="s">
        <v>1210</v>
      </c>
      <c r="D145" s="23" t="s">
        <v>1211</v>
      </c>
      <c r="E145" s="23" t="s">
        <v>1212</v>
      </c>
      <c r="F145" s="22" t="s">
        <v>1213</v>
      </c>
      <c r="G145" s="22" t="s">
        <v>1214</v>
      </c>
      <c r="H145" s="22" t="s">
        <v>1215</v>
      </c>
      <c r="I145" s="23" t="s">
        <v>1216</v>
      </c>
      <c r="J145" s="24" t="str">
        <f aca="false">IFERROR(VLOOKUP(VALUE(LEFT(C145,2)),Справочники!$A$2:$B$16,2,FALSE()),"не определён")</f>
        <v>г. Санкт-Петербург</v>
      </c>
      <c r="K145" s="24" t="str">
        <f aca="false">IF(TRIM(C145)="","ИНН не указан",IF(LEN(C145)&lt;&gt;10,"ИНН: должно быть 10 цифр",IF(NOT(ISNUMBER(IFERROR(VALUE(C145),"x"))),"ИНН: есть нецифровые символы",IF(MOD(MOD(SUMPRODUCT(--MID(C145,{1,2,3,4,5,6,7,8,9},1),{2,4,10,3,5,9,4,6,8}),11),10)=VALUE(RIGHT(C145,1)),"","ИНН: неверная контрольная цифра"))))</f>
        <v/>
      </c>
      <c r="L145" s="24" t="str">
        <f aca="false">IF(TRIM(D145)="","ОГРН не указан",IF(LEN(D145)&lt;&gt;13,"ОГРН: должно быть 13 цифр",IF(NOT(ISNUMBER(IFERROR(VALUE(D145),"x"))),"ОГРН: есть нецифровые символы",IF(MOD(VALUE(LEFT(D145,12))-11*INT(VALUE(LEFT(D145,12))/11),10)=VALUE(RIGHT(D145,1)),"","ОГРН: неверная контрольная цифра"))))</f>
        <v/>
      </c>
      <c r="M145" s="24" t="str">
        <f aca="false">IF(TRIM(E145)="","КПП не указан",IF(LEN(E145)&lt;&gt;9,"КПП: должно быть 9 знаков",IF(NOT(AND(ISNUMBER(IFERROR(VALUE(LEFT(E145,4)),"x")),ISNUMBER(IFERROR(VALUE(RIGHT(E145,3)),"x")))),"КПП: неверный формат",IF(LEFT(E145,2)&lt;&gt;LEFT(C145,2),"КПП: код региона не совпадает с ИНН",""))))</f>
        <v/>
      </c>
      <c r="N145" s="24" t="str">
        <f aca="false">IF(TRIM(C145)="","",IF(COUNTIF($C$2:$C$401,C145)&gt;1,"Дубликат ИНН в реестре",""))</f>
        <v/>
      </c>
      <c r="O145" s="24" t="str">
        <f aca="false">IF(TRIM(H145)="","Email не указан",IF(AND(ISNUMBER(FIND("@",H145)),ISNUMBER(FIND(".",H145,IFERROR(FIND("@",H145),1))),ISERROR(FIND(" ",H145)),LEFT(H145,1)&lt;&gt;"@",RIGHT(H145,1)&lt;&gt;".",LEN(H145)-LEN(SUBSTITUTE(H145,"@",""))=1),"","Email: неверный формат"))</f>
        <v/>
      </c>
      <c r="P145" s="24" t="str">
        <f aca="false">IF(TRIM(I145)="","Телефон не указан",IF(AND(LEN(SUBSTITUTE(SUBSTITUTE(SUBSTITUTE(SUBSTITUTE(SUBSTITUTE(I145," ",""),"-",""),"(",""),")",""),"+",""))=11,OR(LEFT(SUBSTITUTE(SUBSTITUTE(SUBSTITUTE(SUBSTITUTE(SUBSTITUTE(I145," ",""),"-",""),"(",""),")",""),"+",""),1)="7",LEFT(SUBSTITUTE(SUBSTITUTE(SUBSTITUTE(SUBSTITUTE(SUBSTITUTE(I145," ",""),"-",""),"(",""),")",""),"+",""),1)="8"),ISNUMBER(IFERROR(VALUE(SUBSTITUTE(SUBSTITUTE(SUBSTITUTE(SUBSTITUTE(SUBSTITUTE(I145," ",""),"-",""),"(",""),")",""),"+","")),"x"))),"","Телефон: неверный формат"))</f>
        <v/>
      </c>
      <c r="Q145" s="24" t="str">
        <f aca="false">TRIM(IF(TRIM(B145)="","Нет наименования. ","")&amp;IF(TRIM(F145)="","Нет адреса. ","")&amp;IF(TRIM(G145)="","Нет контактного лица.",""))</f>
        <v/>
      </c>
      <c r="R145" s="21" t="n">
        <f aca="false">SUMPRODUCT(--(LEN(K145:Q145)&gt;0))</f>
        <v>0</v>
      </c>
      <c r="S145" s="24" t="str">
        <f aca="false">IF(R145=0,"Готово к передаче","Требует исправления")</f>
        <v>Готово к передаче</v>
      </c>
      <c r="T145" s="24" t="str">
        <f aca="false">IF(R145=0,"",_xlfn.TEXTJOIN("; ",TRUE(),K145:Q145))</f>
        <v/>
      </c>
      <c r="U145" s="24" t="str">
        <f aca="false">IF(R145=0,"","Здравствуйте! В данных организации «"&amp;B145&amp;"» обнаружены ошибки: "&amp;T145&amp;". Просим проверить и прислать исправленную информацию.")</f>
        <v/>
      </c>
      <c r="V145" s="21" t="str">
        <f aca="false">IF(R145&gt;0,COUNTIF($R$2:R145,"&gt;0"),"")</f>
        <v/>
      </c>
      <c r="W145" s="21" t="n">
        <f aca="false">IF(R145=0,COUNTIF($R$2:R145,0),"")</f>
        <v>93</v>
      </c>
    </row>
    <row r="146" customFormat="false" ht="15" hidden="false" customHeight="false" outlineLevel="0" collapsed="false">
      <c r="A146" s="21" t="n">
        <v>145</v>
      </c>
      <c r="B146" s="22" t="s">
        <v>1217</v>
      </c>
      <c r="C146" s="23" t="s">
        <v>1218</v>
      </c>
      <c r="D146" s="23" t="s">
        <v>1219</v>
      </c>
      <c r="E146" s="23" t="s">
        <v>1220</v>
      </c>
      <c r="F146" s="22" t="s">
        <v>1221</v>
      </c>
      <c r="G146" s="22" t="s">
        <v>1222</v>
      </c>
      <c r="H146" s="22" t="s">
        <v>1223</v>
      </c>
      <c r="I146" s="23" t="s">
        <v>1224</v>
      </c>
      <c r="J146" s="24" t="str">
        <f aca="false">IFERROR(VLOOKUP(VALUE(LEFT(C146,2)),Справочники!$A$2:$B$16,2,FALSE()),"не определён")</f>
        <v>Свердловская область</v>
      </c>
      <c r="K146" s="24" t="str">
        <f aca="false">IF(TRIM(C146)="","ИНН не указан",IF(LEN(C146)&lt;&gt;10,"ИНН: должно быть 10 цифр",IF(NOT(ISNUMBER(IFERROR(VALUE(C146),"x"))),"ИНН: есть нецифровые символы",IF(MOD(MOD(SUMPRODUCT(--MID(C146,{1,2,3,4,5,6,7,8,9},1),{2,4,10,3,5,9,4,6,8}),11),10)=VALUE(RIGHT(C146,1)),"","ИНН: неверная контрольная цифра"))))</f>
        <v/>
      </c>
      <c r="L146" s="24" t="str">
        <f aca="false">IF(TRIM(D146)="","ОГРН не указан",IF(LEN(D146)&lt;&gt;13,"ОГРН: должно быть 13 цифр",IF(NOT(ISNUMBER(IFERROR(VALUE(D146),"x"))),"ОГРН: есть нецифровые символы",IF(MOD(VALUE(LEFT(D146,12))-11*INT(VALUE(LEFT(D146,12))/11),10)=VALUE(RIGHT(D146,1)),"","ОГРН: неверная контрольная цифра"))))</f>
        <v/>
      </c>
      <c r="M146" s="24" t="str">
        <f aca="false">IF(TRIM(E146)="","КПП не указан",IF(LEN(E146)&lt;&gt;9,"КПП: должно быть 9 знаков",IF(NOT(AND(ISNUMBER(IFERROR(VALUE(LEFT(E146,4)),"x")),ISNUMBER(IFERROR(VALUE(RIGHT(E146,3)),"x")))),"КПП: неверный формат",IF(LEFT(E146,2)&lt;&gt;LEFT(C146,2),"КПП: код региона не совпадает с ИНН",""))))</f>
        <v/>
      </c>
      <c r="N146" s="24" t="str">
        <f aca="false">IF(TRIM(C146)="","",IF(COUNTIF($C$2:$C$401,C146)&gt;1,"Дубликат ИНН в реестре",""))</f>
        <v/>
      </c>
      <c r="O146" s="24" t="str">
        <f aca="false">IF(TRIM(H146)="","Email не указан",IF(AND(ISNUMBER(FIND("@",H146)),ISNUMBER(FIND(".",H146,IFERROR(FIND("@",H146),1))),ISERROR(FIND(" ",H146)),LEFT(H146,1)&lt;&gt;"@",RIGHT(H146,1)&lt;&gt;".",LEN(H146)-LEN(SUBSTITUTE(H146,"@",""))=1),"","Email: неверный формат"))</f>
        <v/>
      </c>
      <c r="P146" s="24" t="str">
        <f aca="false">IF(TRIM(I146)="","Телефон не указан",IF(AND(LEN(SUBSTITUTE(SUBSTITUTE(SUBSTITUTE(SUBSTITUTE(SUBSTITUTE(I146," ",""),"-",""),"(",""),")",""),"+",""))=11,OR(LEFT(SUBSTITUTE(SUBSTITUTE(SUBSTITUTE(SUBSTITUTE(SUBSTITUTE(I146," ",""),"-",""),"(",""),")",""),"+",""),1)="7",LEFT(SUBSTITUTE(SUBSTITUTE(SUBSTITUTE(SUBSTITUTE(SUBSTITUTE(I146," ",""),"-",""),"(",""),")",""),"+",""),1)="8"),ISNUMBER(IFERROR(VALUE(SUBSTITUTE(SUBSTITUTE(SUBSTITUTE(SUBSTITUTE(SUBSTITUTE(I146," ",""),"-",""),"(",""),")",""),"+","")),"x"))),"","Телефон: неверный формат"))</f>
        <v/>
      </c>
      <c r="Q146" s="24" t="str">
        <f aca="false">TRIM(IF(TRIM(B146)="","Нет наименования. ","")&amp;IF(TRIM(F146)="","Нет адреса. ","")&amp;IF(TRIM(G146)="","Нет контактного лица.",""))</f>
        <v/>
      </c>
      <c r="R146" s="21" t="n">
        <f aca="false">SUMPRODUCT(--(LEN(K146:Q146)&gt;0))</f>
        <v>0</v>
      </c>
      <c r="S146" s="24" t="str">
        <f aca="false">IF(R146=0,"Готово к передаче","Требует исправления")</f>
        <v>Готово к передаче</v>
      </c>
      <c r="T146" s="24" t="str">
        <f aca="false">IF(R146=0,"",_xlfn.TEXTJOIN("; ",TRUE(),K146:Q146))</f>
        <v/>
      </c>
      <c r="U146" s="24" t="str">
        <f aca="false">IF(R146=0,"","Здравствуйте! В данных организации «"&amp;B146&amp;"» обнаружены ошибки: "&amp;T146&amp;". Просим проверить и прислать исправленную информацию.")</f>
        <v/>
      </c>
      <c r="V146" s="21" t="str">
        <f aca="false">IF(R146&gt;0,COUNTIF($R$2:R146,"&gt;0"),"")</f>
        <v/>
      </c>
      <c r="W146" s="21" t="n">
        <f aca="false">IF(R146=0,COUNTIF($R$2:R146,0),"")</f>
        <v>94</v>
      </c>
    </row>
    <row r="147" customFormat="false" ht="15" hidden="false" customHeight="false" outlineLevel="0" collapsed="false">
      <c r="A147" s="21" t="n">
        <v>146</v>
      </c>
      <c r="B147" s="22" t="s">
        <v>1225</v>
      </c>
      <c r="C147" s="23" t="s">
        <v>1226</v>
      </c>
      <c r="D147" s="23" t="s">
        <v>1227</v>
      </c>
      <c r="E147" s="23" t="s">
        <v>1228</v>
      </c>
      <c r="F147" s="22" t="s">
        <v>1229</v>
      </c>
      <c r="G147" s="22" t="s">
        <v>1230</v>
      </c>
      <c r="H147" s="22" t="s">
        <v>1231</v>
      </c>
      <c r="I147" s="23" t="s">
        <v>1232</v>
      </c>
      <c r="J147" s="24" t="str">
        <f aca="false">IFERROR(VLOOKUP(VALUE(LEFT(C147,2)),Справочники!$A$2:$B$16,2,FALSE()),"не определён")</f>
        <v>Новосибирская область</v>
      </c>
      <c r="K147" s="24" t="str">
        <f aca="false">IF(TRIM(C147)="","ИНН не указан",IF(LEN(C147)&lt;&gt;10,"ИНН: должно быть 10 цифр",IF(NOT(ISNUMBER(IFERROR(VALUE(C147),"x"))),"ИНН: есть нецифровые символы",IF(MOD(MOD(SUMPRODUCT(--MID(C147,{1,2,3,4,5,6,7,8,9},1),{2,4,10,3,5,9,4,6,8}),11),10)=VALUE(RIGHT(C147,1)),"","ИНН: неверная контрольная цифра"))))</f>
        <v/>
      </c>
      <c r="L147" s="24" t="str">
        <f aca="false">IF(TRIM(D147)="","ОГРН не указан",IF(LEN(D147)&lt;&gt;13,"ОГРН: должно быть 13 цифр",IF(NOT(ISNUMBER(IFERROR(VALUE(D147),"x"))),"ОГРН: есть нецифровые символы",IF(MOD(VALUE(LEFT(D147,12))-11*INT(VALUE(LEFT(D147,12))/11),10)=VALUE(RIGHT(D147,1)),"","ОГРН: неверная контрольная цифра"))))</f>
        <v/>
      </c>
      <c r="M147" s="24" t="str">
        <f aca="false">IF(TRIM(E147)="","КПП не указан",IF(LEN(E147)&lt;&gt;9,"КПП: должно быть 9 знаков",IF(NOT(AND(ISNUMBER(IFERROR(VALUE(LEFT(E147,4)),"x")),ISNUMBER(IFERROR(VALUE(RIGHT(E147,3)),"x")))),"КПП: неверный формат",IF(LEFT(E147,2)&lt;&gt;LEFT(C147,2),"КПП: код региона не совпадает с ИНН",""))))</f>
        <v/>
      </c>
      <c r="N147" s="24" t="str">
        <f aca="false">IF(TRIM(C147)="","",IF(COUNTIF($C$2:$C$401,C147)&gt;1,"Дубликат ИНН в реестре",""))</f>
        <v/>
      </c>
      <c r="O147" s="24" t="str">
        <f aca="false">IF(TRIM(H147)="","Email не указан",IF(AND(ISNUMBER(FIND("@",H147)),ISNUMBER(FIND(".",H147,IFERROR(FIND("@",H147),1))),ISERROR(FIND(" ",H147)),LEFT(H147,1)&lt;&gt;"@",RIGHT(H147,1)&lt;&gt;".",LEN(H147)-LEN(SUBSTITUTE(H147,"@",""))=1),"","Email: неверный формат"))</f>
        <v/>
      </c>
      <c r="P147" s="24" t="str">
        <f aca="false">IF(TRIM(I147)="","Телефон не указан",IF(AND(LEN(SUBSTITUTE(SUBSTITUTE(SUBSTITUTE(SUBSTITUTE(SUBSTITUTE(I147," ",""),"-",""),"(",""),")",""),"+",""))=11,OR(LEFT(SUBSTITUTE(SUBSTITUTE(SUBSTITUTE(SUBSTITUTE(SUBSTITUTE(I147," ",""),"-",""),"(",""),")",""),"+",""),1)="7",LEFT(SUBSTITUTE(SUBSTITUTE(SUBSTITUTE(SUBSTITUTE(SUBSTITUTE(I147," ",""),"-",""),"(",""),")",""),"+",""),1)="8"),ISNUMBER(IFERROR(VALUE(SUBSTITUTE(SUBSTITUTE(SUBSTITUTE(SUBSTITUTE(SUBSTITUTE(I147," ",""),"-",""),"(",""),")",""),"+","")),"x"))),"","Телефон: неверный формат"))</f>
        <v/>
      </c>
      <c r="Q147" s="24" t="str">
        <f aca="false">TRIM(IF(TRIM(B147)="","Нет наименования. ","")&amp;IF(TRIM(F147)="","Нет адреса. ","")&amp;IF(TRIM(G147)="","Нет контактного лица.",""))</f>
        <v/>
      </c>
      <c r="R147" s="21" t="n">
        <f aca="false">SUMPRODUCT(--(LEN(K147:Q147)&gt;0))</f>
        <v>0</v>
      </c>
      <c r="S147" s="24" t="str">
        <f aca="false">IF(R147=0,"Готово к передаче","Требует исправления")</f>
        <v>Готово к передаче</v>
      </c>
      <c r="T147" s="24" t="str">
        <f aca="false">IF(R147=0,"",_xlfn.TEXTJOIN("; ",TRUE(),K147:Q147))</f>
        <v/>
      </c>
      <c r="U147" s="24" t="str">
        <f aca="false">IF(R147=0,"","Здравствуйте! В данных организации «"&amp;B147&amp;"» обнаружены ошибки: "&amp;T147&amp;". Просим проверить и прислать исправленную информацию.")</f>
        <v/>
      </c>
      <c r="V147" s="21" t="str">
        <f aca="false">IF(R147&gt;0,COUNTIF($R$2:R147,"&gt;0"),"")</f>
        <v/>
      </c>
      <c r="W147" s="21" t="n">
        <f aca="false">IF(R147=0,COUNTIF($R$2:R147,0),"")</f>
        <v>95</v>
      </c>
    </row>
    <row r="148" customFormat="false" ht="15" hidden="false" customHeight="false" outlineLevel="0" collapsed="false">
      <c r="A148" s="21" t="n">
        <v>147</v>
      </c>
      <c r="B148" s="22" t="s">
        <v>1233</v>
      </c>
      <c r="C148" s="23" t="s">
        <v>1234</v>
      </c>
      <c r="D148" s="23" t="s">
        <v>1235</v>
      </c>
      <c r="E148" s="23" t="s">
        <v>1236</v>
      </c>
      <c r="F148" s="22" t="s">
        <v>1237</v>
      </c>
      <c r="G148" s="22" t="s">
        <v>1238</v>
      </c>
      <c r="H148" s="22" t="s">
        <v>1239</v>
      </c>
      <c r="I148" s="23" t="s">
        <v>1240</v>
      </c>
      <c r="J148" s="24" t="str">
        <f aca="false">IFERROR(VLOOKUP(VALUE(LEFT(C148,2)),Справочники!$A$2:$B$16,2,FALSE()),"не определён")</f>
        <v>Республика Башкортостан</v>
      </c>
      <c r="K148" s="24" t="str">
        <f aca="false">IF(TRIM(C148)="","ИНН не указан",IF(LEN(C148)&lt;&gt;10,"ИНН: должно быть 10 цифр",IF(NOT(ISNUMBER(IFERROR(VALUE(C148),"x"))),"ИНН: есть нецифровые символы",IF(MOD(MOD(SUMPRODUCT(--MID(C148,{1,2,3,4,5,6,7,8,9},1),{2,4,10,3,5,9,4,6,8}),11),10)=VALUE(RIGHT(C148,1)),"","ИНН: неверная контрольная цифра"))))</f>
        <v/>
      </c>
      <c r="L148" s="24" t="str">
        <f aca="false">IF(TRIM(D148)="","ОГРН не указан",IF(LEN(D148)&lt;&gt;13,"ОГРН: должно быть 13 цифр",IF(NOT(ISNUMBER(IFERROR(VALUE(D148),"x"))),"ОГРН: есть нецифровые символы",IF(MOD(VALUE(LEFT(D148,12))-11*INT(VALUE(LEFT(D148,12))/11),10)=VALUE(RIGHT(D148,1)),"","ОГРН: неверная контрольная цифра"))))</f>
        <v/>
      </c>
      <c r="M148" s="24" t="str">
        <f aca="false">IF(TRIM(E148)="","КПП не указан",IF(LEN(E148)&lt;&gt;9,"КПП: должно быть 9 знаков",IF(NOT(AND(ISNUMBER(IFERROR(VALUE(LEFT(E148,4)),"x")),ISNUMBER(IFERROR(VALUE(RIGHT(E148,3)),"x")))),"КПП: неверный формат",IF(LEFT(E148,2)&lt;&gt;LEFT(C148,2),"КПП: код региона не совпадает с ИНН",""))))</f>
        <v/>
      </c>
      <c r="N148" s="24" t="str">
        <f aca="false">IF(TRIM(C148)="","",IF(COUNTIF($C$2:$C$401,C148)&gt;1,"Дубликат ИНН в реестре",""))</f>
        <v/>
      </c>
      <c r="O148" s="24" t="str">
        <f aca="false">IF(TRIM(H148)="","Email не указан",IF(AND(ISNUMBER(FIND("@",H148)),ISNUMBER(FIND(".",H148,IFERROR(FIND("@",H148),1))),ISERROR(FIND(" ",H148)),LEFT(H148,1)&lt;&gt;"@",RIGHT(H148,1)&lt;&gt;".",LEN(H148)-LEN(SUBSTITUTE(H148,"@",""))=1),"","Email: неверный формат"))</f>
        <v/>
      </c>
      <c r="P148" s="24" t="str">
        <f aca="false">IF(TRIM(I148)="","Телефон не указан",IF(AND(LEN(SUBSTITUTE(SUBSTITUTE(SUBSTITUTE(SUBSTITUTE(SUBSTITUTE(I148," ",""),"-",""),"(",""),")",""),"+",""))=11,OR(LEFT(SUBSTITUTE(SUBSTITUTE(SUBSTITUTE(SUBSTITUTE(SUBSTITUTE(I148," ",""),"-",""),"(",""),")",""),"+",""),1)="7",LEFT(SUBSTITUTE(SUBSTITUTE(SUBSTITUTE(SUBSTITUTE(SUBSTITUTE(I148," ",""),"-",""),"(",""),")",""),"+",""),1)="8"),ISNUMBER(IFERROR(VALUE(SUBSTITUTE(SUBSTITUTE(SUBSTITUTE(SUBSTITUTE(SUBSTITUTE(I148," ",""),"-",""),"(",""),")",""),"+","")),"x"))),"","Телефон: неверный формат"))</f>
        <v/>
      </c>
      <c r="Q148" s="24" t="str">
        <f aca="false">TRIM(IF(TRIM(B148)="","Нет наименования. ","")&amp;IF(TRIM(F148)="","Нет адреса. ","")&amp;IF(TRIM(G148)="","Нет контактного лица.",""))</f>
        <v/>
      </c>
      <c r="R148" s="21" t="n">
        <f aca="false">SUMPRODUCT(--(LEN(K148:Q148)&gt;0))</f>
        <v>0</v>
      </c>
      <c r="S148" s="24" t="str">
        <f aca="false">IF(R148=0,"Готово к передаче","Требует исправления")</f>
        <v>Готово к передаче</v>
      </c>
      <c r="T148" s="24" t="str">
        <f aca="false">IF(R148=0,"",_xlfn.TEXTJOIN("; ",TRUE(),K148:Q148))</f>
        <v/>
      </c>
      <c r="U148" s="24" t="str">
        <f aca="false">IF(R148=0,"","Здравствуйте! В данных организации «"&amp;B148&amp;"» обнаружены ошибки: "&amp;T148&amp;". Просим проверить и прислать исправленную информацию.")</f>
        <v/>
      </c>
      <c r="V148" s="21" t="str">
        <f aca="false">IF(R148&gt;0,COUNTIF($R$2:R148,"&gt;0"),"")</f>
        <v/>
      </c>
      <c r="W148" s="21" t="n">
        <f aca="false">IF(R148=0,COUNTIF($R$2:R148,0),"")</f>
        <v>96</v>
      </c>
    </row>
    <row r="149" customFormat="false" ht="15" hidden="false" customHeight="false" outlineLevel="0" collapsed="false">
      <c r="A149" s="21" t="n">
        <v>148</v>
      </c>
      <c r="B149" s="22" t="s">
        <v>1241</v>
      </c>
      <c r="C149" s="23" t="s">
        <v>1242</v>
      </c>
      <c r="D149" s="23" t="s">
        <v>1243</v>
      </c>
      <c r="E149" s="23" t="s">
        <v>1244</v>
      </c>
      <c r="F149" s="22" t="s">
        <v>1245</v>
      </c>
      <c r="G149" s="22" t="s">
        <v>1246</v>
      </c>
      <c r="H149" s="22" t="s">
        <v>1247</v>
      </c>
      <c r="I149" s="23" t="s">
        <v>1248</v>
      </c>
      <c r="J149" s="24" t="str">
        <f aca="false">IFERROR(VLOOKUP(VALUE(LEFT(C149,2)),Справочники!$A$2:$B$16,2,FALSE()),"не определён")</f>
        <v>Краснодарский край</v>
      </c>
      <c r="K149" s="24" t="str">
        <f aca="false">IF(TRIM(C149)="","ИНН не указан",IF(LEN(C149)&lt;&gt;10,"ИНН: должно быть 10 цифр",IF(NOT(ISNUMBER(IFERROR(VALUE(C149),"x"))),"ИНН: есть нецифровые символы",IF(MOD(MOD(SUMPRODUCT(--MID(C149,{1,2,3,4,5,6,7,8,9},1),{2,4,10,3,5,9,4,6,8}),11),10)=VALUE(RIGHT(C149,1)),"","ИНН: неверная контрольная цифра"))))</f>
        <v/>
      </c>
      <c r="L149" s="24" t="str">
        <f aca="false">IF(TRIM(D149)="","ОГРН не указан",IF(LEN(D149)&lt;&gt;13,"ОГРН: должно быть 13 цифр",IF(NOT(ISNUMBER(IFERROR(VALUE(D149),"x"))),"ОГРН: есть нецифровые символы",IF(MOD(VALUE(LEFT(D149,12))-11*INT(VALUE(LEFT(D149,12))/11),10)=VALUE(RIGHT(D149,1)),"","ОГРН: неверная контрольная цифра"))))</f>
        <v/>
      </c>
      <c r="M149" s="24" t="str">
        <f aca="false">IF(TRIM(E149)="","КПП не указан",IF(LEN(E149)&lt;&gt;9,"КПП: должно быть 9 знаков",IF(NOT(AND(ISNUMBER(IFERROR(VALUE(LEFT(E149,4)),"x")),ISNUMBER(IFERROR(VALUE(RIGHT(E149,3)),"x")))),"КПП: неверный формат",IF(LEFT(E149,2)&lt;&gt;LEFT(C149,2),"КПП: код региона не совпадает с ИНН",""))))</f>
        <v/>
      </c>
      <c r="N149" s="24" t="str">
        <f aca="false">IF(TRIM(C149)="","",IF(COUNTIF($C$2:$C$401,C149)&gt;1,"Дубликат ИНН в реестре",""))</f>
        <v/>
      </c>
      <c r="O149" s="24" t="str">
        <f aca="false">IF(TRIM(H149)="","Email не указан",IF(AND(ISNUMBER(FIND("@",H149)),ISNUMBER(FIND(".",H149,IFERROR(FIND("@",H149),1))),ISERROR(FIND(" ",H149)),LEFT(H149,1)&lt;&gt;"@",RIGHT(H149,1)&lt;&gt;".",LEN(H149)-LEN(SUBSTITUTE(H149,"@",""))=1),"","Email: неверный формат"))</f>
        <v/>
      </c>
      <c r="P149" s="24" t="str">
        <f aca="false">IF(TRIM(I149)="","Телефон не указан",IF(AND(LEN(SUBSTITUTE(SUBSTITUTE(SUBSTITUTE(SUBSTITUTE(SUBSTITUTE(I149," ",""),"-",""),"(",""),")",""),"+",""))=11,OR(LEFT(SUBSTITUTE(SUBSTITUTE(SUBSTITUTE(SUBSTITUTE(SUBSTITUTE(I149," ",""),"-",""),"(",""),")",""),"+",""),1)="7",LEFT(SUBSTITUTE(SUBSTITUTE(SUBSTITUTE(SUBSTITUTE(SUBSTITUTE(I149," ",""),"-",""),"(",""),")",""),"+",""),1)="8"),ISNUMBER(IFERROR(VALUE(SUBSTITUTE(SUBSTITUTE(SUBSTITUTE(SUBSTITUTE(SUBSTITUTE(I149," ",""),"-",""),"(",""),")",""),"+","")),"x"))),"","Телефон: неверный формат"))</f>
        <v/>
      </c>
      <c r="Q149" s="24" t="str">
        <f aca="false">TRIM(IF(TRIM(B149)="","Нет наименования. ","")&amp;IF(TRIM(F149)="","Нет адреса. ","")&amp;IF(TRIM(G149)="","Нет контактного лица.",""))</f>
        <v/>
      </c>
      <c r="R149" s="21" t="n">
        <f aca="false">SUMPRODUCT(--(LEN(K149:Q149)&gt;0))</f>
        <v>0</v>
      </c>
      <c r="S149" s="24" t="str">
        <f aca="false">IF(R149=0,"Готово к передаче","Требует исправления")</f>
        <v>Готово к передаче</v>
      </c>
      <c r="T149" s="24" t="str">
        <f aca="false">IF(R149=0,"",_xlfn.TEXTJOIN("; ",TRUE(),K149:Q149))</f>
        <v/>
      </c>
      <c r="U149" s="24" t="str">
        <f aca="false">IF(R149=0,"","Здравствуйте! В данных организации «"&amp;B149&amp;"» обнаружены ошибки: "&amp;T149&amp;". Просим проверить и прислать исправленную информацию.")</f>
        <v/>
      </c>
      <c r="V149" s="21" t="str">
        <f aca="false">IF(R149&gt;0,COUNTIF($R$2:R149,"&gt;0"),"")</f>
        <v/>
      </c>
      <c r="W149" s="21" t="n">
        <f aca="false">IF(R149=0,COUNTIF($R$2:R149,0),"")</f>
        <v>97</v>
      </c>
    </row>
    <row r="150" customFormat="false" ht="15" hidden="false" customHeight="false" outlineLevel="0" collapsed="false">
      <c r="A150" s="21" t="n">
        <v>149</v>
      </c>
      <c r="B150" s="22" t="s">
        <v>1249</v>
      </c>
      <c r="C150" s="23" t="s">
        <v>1250</v>
      </c>
      <c r="D150" s="23" t="s">
        <v>1251</v>
      </c>
      <c r="E150" s="23" t="s">
        <v>1252</v>
      </c>
      <c r="F150" s="22" t="s">
        <v>1253</v>
      </c>
      <c r="G150" s="22" t="s">
        <v>1254</v>
      </c>
      <c r="H150" s="22" t="s">
        <v>1255</v>
      </c>
      <c r="I150" s="23" t="s">
        <v>1256</v>
      </c>
      <c r="J150" s="24" t="str">
        <f aca="false">IFERROR(VLOOKUP(VALUE(LEFT(C150,2)),Справочники!$A$2:$B$16,2,FALSE()),"не определён")</f>
        <v>г. Севастополь</v>
      </c>
      <c r="K150" s="24" t="str">
        <f aca="false">IF(TRIM(C150)="","ИНН не указан",IF(LEN(C150)&lt;&gt;10,"ИНН: должно быть 10 цифр",IF(NOT(ISNUMBER(IFERROR(VALUE(C150),"x"))),"ИНН: есть нецифровые символы",IF(MOD(MOD(SUMPRODUCT(--MID(C150,{1,2,3,4,5,6,7,8,9},1),{2,4,10,3,5,9,4,6,8}),11),10)=VALUE(RIGHT(C150,1)),"","ИНН: неверная контрольная цифра"))))</f>
        <v/>
      </c>
      <c r="L150" s="24" t="str">
        <f aca="false">IF(TRIM(D150)="","ОГРН не указан",IF(LEN(D150)&lt;&gt;13,"ОГРН: должно быть 13 цифр",IF(NOT(ISNUMBER(IFERROR(VALUE(D150),"x"))),"ОГРН: есть нецифровые символы",IF(MOD(VALUE(LEFT(D150,12))-11*INT(VALUE(LEFT(D150,12))/11),10)=VALUE(RIGHT(D150,1)),"","ОГРН: неверная контрольная цифра"))))</f>
        <v/>
      </c>
      <c r="M150" s="24" t="str">
        <f aca="false">IF(TRIM(E150)="","КПП не указан",IF(LEN(E150)&lt;&gt;9,"КПП: должно быть 9 знаков",IF(NOT(AND(ISNUMBER(IFERROR(VALUE(LEFT(E150,4)),"x")),ISNUMBER(IFERROR(VALUE(RIGHT(E150,3)),"x")))),"КПП: неверный формат",IF(LEFT(E150,2)&lt;&gt;LEFT(C150,2),"КПП: код региона не совпадает с ИНН",""))))</f>
        <v>КПП: должно быть 9 знаков</v>
      </c>
      <c r="N150" s="24" t="str">
        <f aca="false">IF(TRIM(C150)="","",IF(COUNTIF($C$2:$C$401,C150)&gt;1,"Дубликат ИНН в реестре",""))</f>
        <v/>
      </c>
      <c r="O150" s="24" t="str">
        <f aca="false">IF(TRIM(H150)="","Email не указан",IF(AND(ISNUMBER(FIND("@",H150)),ISNUMBER(FIND(".",H150,IFERROR(FIND("@",H150),1))),ISERROR(FIND(" ",H150)),LEFT(H150,1)&lt;&gt;"@",RIGHT(H150,1)&lt;&gt;".",LEN(H150)-LEN(SUBSTITUTE(H150,"@",""))=1),"","Email: неверный формат"))</f>
        <v/>
      </c>
      <c r="P150" s="24" t="str">
        <f aca="false">IF(TRIM(I150)="","Телефон не указан",IF(AND(LEN(SUBSTITUTE(SUBSTITUTE(SUBSTITUTE(SUBSTITUTE(SUBSTITUTE(I150," ",""),"-",""),"(",""),")",""),"+",""))=11,OR(LEFT(SUBSTITUTE(SUBSTITUTE(SUBSTITUTE(SUBSTITUTE(SUBSTITUTE(I150," ",""),"-",""),"(",""),")",""),"+",""),1)="7",LEFT(SUBSTITUTE(SUBSTITUTE(SUBSTITUTE(SUBSTITUTE(SUBSTITUTE(I150," ",""),"-",""),"(",""),")",""),"+",""),1)="8"),ISNUMBER(IFERROR(VALUE(SUBSTITUTE(SUBSTITUTE(SUBSTITUTE(SUBSTITUTE(SUBSTITUTE(I150," ",""),"-",""),"(",""),")",""),"+","")),"x"))),"","Телефон: неверный формат"))</f>
        <v/>
      </c>
      <c r="Q150" s="24" t="str">
        <f aca="false">TRIM(IF(TRIM(B150)="","Нет наименования. ","")&amp;IF(TRIM(F150)="","Нет адреса. ","")&amp;IF(TRIM(G150)="","Нет контактного лица.",""))</f>
        <v/>
      </c>
      <c r="R150" s="21" t="n">
        <f aca="false">SUMPRODUCT(--(LEN(K150:Q150)&gt;0))</f>
        <v>1</v>
      </c>
      <c r="S150" s="24" t="str">
        <f aca="false">IF(R150=0,"Готово к передаче","Требует исправления")</f>
        <v>Требует исправления</v>
      </c>
      <c r="T150" s="24" t="str">
        <f aca="false">IF(R150=0,"",_xlfn.TEXTJOIN("; ",TRUE(),K150:Q150))</f>
        <v>КПП: должно быть 9 знаков</v>
      </c>
      <c r="U150" s="24" t="str">
        <f aca="false">IF(R150=0,"","Здравствуйте! В данных организации «"&amp;B150&amp;"» обнаружены ошибки: "&amp;T150&amp;". Просим проверить и прислать исправленную информацию.")</f>
        <v>Здравствуйте! В данных организации «ООО «Дельта Монтаж»» обнаружены ошибки: КПП: должно быть 9 знаков. Просим проверить и прислать исправленную информацию.</v>
      </c>
      <c r="V150" s="21" t="n">
        <f aca="false">IF(R150&gt;0,COUNTIF($R$2:R150,"&gt;0"),"")</f>
        <v>52</v>
      </c>
      <c r="W150" s="21" t="str">
        <f aca="false">IF(R150=0,COUNTIF($R$2:R150,0),"")</f>
        <v/>
      </c>
    </row>
    <row r="151" customFormat="false" ht="15" hidden="false" customHeight="false" outlineLevel="0" collapsed="false">
      <c r="A151" s="21" t="n">
        <v>150</v>
      </c>
      <c r="B151" s="22" t="s">
        <v>1257</v>
      </c>
      <c r="C151" s="23" t="s">
        <v>1258</v>
      </c>
      <c r="D151" s="23" t="s">
        <v>1259</v>
      </c>
      <c r="E151" s="23" t="s">
        <v>1260</v>
      </c>
      <c r="F151" s="22" t="s">
        <v>1261</v>
      </c>
      <c r="G151" s="22" t="s">
        <v>1262</v>
      </c>
      <c r="H151" s="22" t="s">
        <v>1263</v>
      </c>
      <c r="I151" s="23" t="s">
        <v>1264</v>
      </c>
      <c r="J151" s="24" t="str">
        <f aca="false">IFERROR(VLOOKUP(VALUE(LEFT(C151,2)),Справочники!$A$2:$B$16,2,FALSE()),"не определён")</f>
        <v>г. Москва</v>
      </c>
      <c r="K151" s="24" t="str">
        <f aca="false">IF(TRIM(C151)="","ИНН не указан",IF(LEN(C151)&lt;&gt;10,"ИНН: должно быть 10 цифр",IF(NOT(ISNUMBER(IFERROR(VALUE(C151),"x"))),"ИНН: есть нецифровые символы",IF(MOD(MOD(SUMPRODUCT(--MID(C151,{1,2,3,4,5,6,7,8,9},1),{2,4,10,3,5,9,4,6,8}),11),10)=VALUE(RIGHT(C151,1)),"","ИНН: неверная контрольная цифра"))))</f>
        <v/>
      </c>
      <c r="L151" s="24" t="str">
        <f aca="false">IF(TRIM(D151)="","ОГРН не указан",IF(LEN(D151)&lt;&gt;13,"ОГРН: должно быть 13 цифр",IF(NOT(ISNUMBER(IFERROR(VALUE(D151),"x"))),"ОГРН: есть нецифровые символы",IF(MOD(VALUE(LEFT(D151,12))-11*INT(VALUE(LEFT(D151,12))/11),10)=VALUE(RIGHT(D151,1)),"","ОГРН: неверная контрольная цифра"))))</f>
        <v/>
      </c>
      <c r="M151" s="24" t="str">
        <f aca="false">IF(TRIM(E151)="","КПП не указан",IF(LEN(E151)&lt;&gt;9,"КПП: должно быть 9 знаков",IF(NOT(AND(ISNUMBER(IFERROR(VALUE(LEFT(E151,4)),"x")),ISNUMBER(IFERROR(VALUE(RIGHT(E151,3)),"x")))),"КПП: неверный формат",IF(LEFT(E151,2)&lt;&gt;LEFT(C151,2),"КПП: код региона не совпадает с ИНН",""))))</f>
        <v/>
      </c>
      <c r="N151" s="24" t="str">
        <f aca="false">IF(TRIM(C151)="","",IF(COUNTIF($C$2:$C$401,C151)&gt;1,"Дубликат ИНН в реестре",""))</f>
        <v/>
      </c>
      <c r="O151" s="24" t="str">
        <f aca="false">IF(TRIM(H151)="","Email не указан",IF(AND(ISNUMBER(FIND("@",H151)),ISNUMBER(FIND(".",H151,IFERROR(FIND("@",H151),1))),ISERROR(FIND(" ",H151)),LEFT(H151,1)&lt;&gt;"@",RIGHT(H151,1)&lt;&gt;".",LEN(H151)-LEN(SUBSTITUTE(H151,"@",""))=1),"","Email: неверный формат"))</f>
        <v/>
      </c>
      <c r="P151" s="24" t="str">
        <f aca="false">IF(TRIM(I151)="","Телефон не указан",IF(AND(LEN(SUBSTITUTE(SUBSTITUTE(SUBSTITUTE(SUBSTITUTE(SUBSTITUTE(I151," ",""),"-",""),"(",""),")",""),"+",""))=11,OR(LEFT(SUBSTITUTE(SUBSTITUTE(SUBSTITUTE(SUBSTITUTE(SUBSTITUTE(I151," ",""),"-",""),"(",""),")",""),"+",""),1)="7",LEFT(SUBSTITUTE(SUBSTITUTE(SUBSTITUTE(SUBSTITUTE(SUBSTITUTE(I151," ",""),"-",""),"(",""),")",""),"+",""),1)="8"),ISNUMBER(IFERROR(VALUE(SUBSTITUTE(SUBSTITUTE(SUBSTITUTE(SUBSTITUTE(SUBSTITUTE(I151," ",""),"-",""),"(",""),")",""),"+","")),"x"))),"","Телефон: неверный формат"))</f>
        <v/>
      </c>
      <c r="Q151" s="24" t="str">
        <f aca="false">TRIM(IF(TRIM(B151)="","Нет наименования. ","")&amp;IF(TRIM(F151)="","Нет адреса. ","")&amp;IF(TRIM(G151)="","Нет контактного лица.",""))</f>
        <v/>
      </c>
      <c r="R151" s="21" t="n">
        <f aca="false">SUMPRODUCT(--(LEN(K151:Q151)&gt;0))</f>
        <v>0</v>
      </c>
      <c r="S151" s="24" t="str">
        <f aca="false">IF(R151=0,"Готово к передаче","Требует исправления")</f>
        <v>Готово к передаче</v>
      </c>
      <c r="T151" s="24" t="str">
        <f aca="false">IF(R151=0,"",_xlfn.TEXTJOIN("; ",TRUE(),K151:Q151))</f>
        <v/>
      </c>
      <c r="U151" s="24" t="str">
        <f aca="false">IF(R151=0,"","Здравствуйте! В данных организации «"&amp;B151&amp;"» обнаружены ошибки: "&amp;T151&amp;". Просим проверить и прислать исправленную информацию.")</f>
        <v/>
      </c>
      <c r="V151" s="21" t="str">
        <f aca="false">IF(R151&gt;0,COUNTIF($R$2:R151,"&gt;0"),"")</f>
        <v/>
      </c>
      <c r="W151" s="21" t="n">
        <f aca="false">IF(R151=0,COUNTIF($R$2:R151,0),"")</f>
        <v>98</v>
      </c>
    </row>
    <row r="152" customFormat="false" ht="15" hidden="false" customHeight="false" outlineLevel="0" collapsed="false">
      <c r="A152" s="21" t="n">
        <v>151</v>
      </c>
      <c r="B152" s="22" t="s">
        <v>1265</v>
      </c>
      <c r="C152" s="23" t="s">
        <v>1266</v>
      </c>
      <c r="D152" s="23" t="s">
        <v>1267</v>
      </c>
      <c r="E152" s="23" t="s">
        <v>1268</v>
      </c>
      <c r="F152" s="22" t="s">
        <v>1269</v>
      </c>
      <c r="G152" s="22" t="s">
        <v>1270</v>
      </c>
      <c r="H152" s="22" t="s">
        <v>1271</v>
      </c>
      <c r="I152" s="23" t="s">
        <v>1272</v>
      </c>
      <c r="J152" s="24" t="str">
        <f aca="false">IFERROR(VLOOKUP(VALUE(LEFT(C152,2)),Справочники!$A$2:$B$16,2,FALSE()),"не определён")</f>
        <v>Республика Крым</v>
      </c>
      <c r="K152" s="24" t="str">
        <f aca="false">IF(TRIM(C152)="","ИНН не указан",IF(LEN(C152)&lt;&gt;10,"ИНН: должно быть 10 цифр",IF(NOT(ISNUMBER(IFERROR(VALUE(C152),"x"))),"ИНН: есть нецифровые символы",IF(MOD(MOD(SUMPRODUCT(--MID(C152,{1,2,3,4,5,6,7,8,9},1),{2,4,10,3,5,9,4,6,8}),11),10)=VALUE(RIGHT(C152,1)),"","ИНН: неверная контрольная цифра"))))</f>
        <v/>
      </c>
      <c r="L152" s="24" t="str">
        <f aca="false">IF(TRIM(D152)="","ОГРН не указан",IF(LEN(D152)&lt;&gt;13,"ОГРН: должно быть 13 цифр",IF(NOT(ISNUMBER(IFERROR(VALUE(D152),"x"))),"ОГРН: есть нецифровые символы",IF(MOD(VALUE(LEFT(D152,12))-11*INT(VALUE(LEFT(D152,12))/11),10)=VALUE(RIGHT(D152,1)),"","ОГРН: неверная контрольная цифра"))))</f>
        <v/>
      </c>
      <c r="M152" s="24" t="str">
        <f aca="false">IF(TRIM(E152)="","КПП не указан",IF(LEN(E152)&lt;&gt;9,"КПП: должно быть 9 знаков",IF(NOT(AND(ISNUMBER(IFERROR(VALUE(LEFT(E152,4)),"x")),ISNUMBER(IFERROR(VALUE(RIGHT(E152,3)),"x")))),"КПП: неверный формат",IF(LEFT(E152,2)&lt;&gt;LEFT(C152,2),"КПП: код региона не совпадает с ИНН",""))))</f>
        <v/>
      </c>
      <c r="N152" s="24" t="str">
        <f aca="false">IF(TRIM(C152)="","",IF(COUNTIF($C$2:$C$401,C152)&gt;1,"Дубликат ИНН в реестре",""))</f>
        <v/>
      </c>
      <c r="O152" s="24" t="str">
        <f aca="false">IF(TRIM(H152)="","Email не указан",IF(AND(ISNUMBER(FIND("@",H152)),ISNUMBER(FIND(".",H152,IFERROR(FIND("@",H152),1))),ISERROR(FIND(" ",H152)),LEFT(H152,1)&lt;&gt;"@",RIGHT(H152,1)&lt;&gt;".",LEN(H152)-LEN(SUBSTITUTE(H152,"@",""))=1),"","Email: неверный формат"))</f>
        <v>Email: неверный формат</v>
      </c>
      <c r="P152" s="24" t="str">
        <f aca="false">IF(TRIM(I152)="","Телефон не указан",IF(AND(LEN(SUBSTITUTE(SUBSTITUTE(SUBSTITUTE(SUBSTITUTE(SUBSTITUTE(I152," ",""),"-",""),"(",""),")",""),"+",""))=11,OR(LEFT(SUBSTITUTE(SUBSTITUTE(SUBSTITUTE(SUBSTITUTE(SUBSTITUTE(I152," ",""),"-",""),"(",""),")",""),"+",""),1)="7",LEFT(SUBSTITUTE(SUBSTITUTE(SUBSTITUTE(SUBSTITUTE(SUBSTITUTE(I152," ",""),"-",""),"(",""),")",""),"+",""),1)="8"),ISNUMBER(IFERROR(VALUE(SUBSTITUTE(SUBSTITUTE(SUBSTITUTE(SUBSTITUTE(SUBSTITUTE(I152," ",""),"-",""),"(",""),")",""),"+","")),"x"))),"","Телефон: неверный формат"))</f>
        <v/>
      </c>
      <c r="Q152" s="24" t="str">
        <f aca="false">TRIM(IF(TRIM(B152)="","Нет наименования. ","")&amp;IF(TRIM(F152)="","Нет адреса. ","")&amp;IF(TRIM(G152)="","Нет контактного лица.",""))</f>
        <v/>
      </c>
      <c r="R152" s="21" t="n">
        <f aca="false">SUMPRODUCT(--(LEN(K152:Q152)&gt;0))</f>
        <v>1</v>
      </c>
      <c r="S152" s="24" t="str">
        <f aca="false">IF(R152=0,"Готово к передаче","Требует исправления")</f>
        <v>Требует исправления</v>
      </c>
      <c r="T152" s="24" t="str">
        <f aca="false">IF(R152=0,"",_xlfn.TEXTJOIN("; ",TRUE(),K152:Q152))</f>
        <v>Email: неверный формат</v>
      </c>
      <c r="U152" s="24" t="str">
        <f aca="false">IF(R152=0,"","Здравствуйте! В данных организации «"&amp;B152&amp;"» обнаружены ошибки: "&amp;T152&amp;". Просим проверить и прислать исправленную информацию.")</f>
        <v>Здравствуйте! В данных организации «ООО «Тандем Строй»» обнаружены ошибки: Email: неверный формат. Просим проверить и прислать исправленную информацию.</v>
      </c>
      <c r="V152" s="21" t="n">
        <f aca="false">IF(R152&gt;0,COUNTIF($R$2:R152,"&gt;0"),"")</f>
        <v>53</v>
      </c>
      <c r="W152" s="21" t="str">
        <f aca="false">IF(R152=0,COUNTIF($R$2:R152,0),"")</f>
        <v/>
      </c>
    </row>
    <row r="153" customFormat="false" ht="15" hidden="false" customHeight="false" outlineLevel="0" collapsed="false">
      <c r="A153" s="21" t="n">
        <v>152</v>
      </c>
      <c r="B153" s="22" t="s">
        <v>1273</v>
      </c>
      <c r="C153" s="23" t="s">
        <v>1274</v>
      </c>
      <c r="D153" s="23" t="s">
        <v>1275</v>
      </c>
      <c r="E153" s="23" t="s">
        <v>1276</v>
      </c>
      <c r="F153" s="22" t="s">
        <v>1277</v>
      </c>
      <c r="G153" s="22" t="s">
        <v>1278</v>
      </c>
      <c r="H153" s="22" t="s">
        <v>1279</v>
      </c>
      <c r="I153" s="23" t="s">
        <v>1280</v>
      </c>
      <c r="J153" s="24" t="str">
        <f aca="false">IFERROR(VLOOKUP(VALUE(LEFT(C153,2)),Справочники!$A$2:$B$16,2,FALSE()),"не определён")</f>
        <v>Новосибирская область</v>
      </c>
      <c r="K153" s="24" t="str">
        <f aca="false">IF(TRIM(C153)="","ИНН не указан",IF(LEN(C153)&lt;&gt;10,"ИНН: должно быть 10 цифр",IF(NOT(ISNUMBER(IFERROR(VALUE(C153),"x"))),"ИНН: есть нецифровые символы",IF(MOD(MOD(SUMPRODUCT(--MID(C153,{1,2,3,4,5,6,7,8,9},1),{2,4,10,3,5,9,4,6,8}),11),10)=VALUE(RIGHT(C153,1)),"","ИНН: неверная контрольная цифра"))))</f>
        <v/>
      </c>
      <c r="L153" s="24" t="str">
        <f aca="false">IF(TRIM(D153)="","ОГРН не указан",IF(LEN(D153)&lt;&gt;13,"ОГРН: должно быть 13 цифр",IF(NOT(ISNUMBER(IFERROR(VALUE(D153),"x"))),"ОГРН: есть нецифровые символы",IF(MOD(VALUE(LEFT(D153,12))-11*INT(VALUE(LEFT(D153,12))/11),10)=VALUE(RIGHT(D153,1)),"","ОГРН: неверная контрольная цифра"))))</f>
        <v/>
      </c>
      <c r="M153" s="24" t="str">
        <f aca="false">IF(TRIM(E153)="","КПП не указан",IF(LEN(E153)&lt;&gt;9,"КПП: должно быть 9 знаков",IF(NOT(AND(ISNUMBER(IFERROR(VALUE(LEFT(E153,4)),"x")),ISNUMBER(IFERROR(VALUE(RIGHT(E153,3)),"x")))),"КПП: неверный формат",IF(LEFT(E153,2)&lt;&gt;LEFT(C153,2),"КПП: код региона не совпадает с ИНН",""))))</f>
        <v/>
      </c>
      <c r="N153" s="24" t="str">
        <f aca="false">IF(TRIM(C153)="","",IF(COUNTIF($C$2:$C$401,C153)&gt;1,"Дубликат ИНН в реестре",""))</f>
        <v/>
      </c>
      <c r="O153" s="24" t="str">
        <f aca="false">IF(TRIM(H153)="","Email не указан",IF(AND(ISNUMBER(FIND("@",H153)),ISNUMBER(FIND(".",H153,IFERROR(FIND("@",H153),1))),ISERROR(FIND(" ",H153)),LEFT(H153,1)&lt;&gt;"@",RIGHT(H153,1)&lt;&gt;".",LEN(H153)-LEN(SUBSTITUTE(H153,"@",""))=1),"","Email: неверный формат"))</f>
        <v/>
      </c>
      <c r="P153" s="24" t="str">
        <f aca="false">IF(TRIM(I153)="","Телефон не указан",IF(AND(LEN(SUBSTITUTE(SUBSTITUTE(SUBSTITUTE(SUBSTITUTE(SUBSTITUTE(I153," ",""),"-",""),"(",""),")",""),"+",""))=11,OR(LEFT(SUBSTITUTE(SUBSTITUTE(SUBSTITUTE(SUBSTITUTE(SUBSTITUTE(I153," ",""),"-",""),"(",""),")",""),"+",""),1)="7",LEFT(SUBSTITUTE(SUBSTITUTE(SUBSTITUTE(SUBSTITUTE(SUBSTITUTE(I153," ",""),"-",""),"(",""),")",""),"+",""),1)="8"),ISNUMBER(IFERROR(VALUE(SUBSTITUTE(SUBSTITUTE(SUBSTITUTE(SUBSTITUTE(SUBSTITUTE(I153," ",""),"-",""),"(",""),")",""),"+","")),"x"))),"","Телефон: неверный формат"))</f>
        <v/>
      </c>
      <c r="Q153" s="24" t="str">
        <f aca="false">TRIM(IF(TRIM(B153)="","Нет наименования. ","")&amp;IF(TRIM(F153)="","Нет адреса. ","")&amp;IF(TRIM(G153)="","Нет контактного лица.",""))</f>
        <v/>
      </c>
      <c r="R153" s="21" t="n">
        <f aca="false">SUMPRODUCT(--(LEN(K153:Q153)&gt;0))</f>
        <v>0</v>
      </c>
      <c r="S153" s="24" t="str">
        <f aca="false">IF(R153=0,"Готово к передаче","Требует исправления")</f>
        <v>Готово к передаче</v>
      </c>
      <c r="T153" s="24" t="str">
        <f aca="false">IF(R153=0,"",_xlfn.TEXTJOIN("; ",TRUE(),K153:Q153))</f>
        <v/>
      </c>
      <c r="U153" s="24" t="str">
        <f aca="false">IF(R153=0,"","Здравствуйте! В данных организации «"&amp;B153&amp;"» обнаружены ошибки: "&amp;T153&amp;". Просим проверить и прислать исправленную информацию.")</f>
        <v/>
      </c>
      <c r="V153" s="21" t="str">
        <f aca="false">IF(R153&gt;0,COUNTIF($R$2:R153,"&gt;0"),"")</f>
        <v/>
      </c>
      <c r="W153" s="21" t="n">
        <f aca="false">IF(R153=0,COUNTIF($R$2:R153,0),"")</f>
        <v>99</v>
      </c>
    </row>
    <row r="154" customFormat="false" ht="15" hidden="false" customHeight="false" outlineLevel="0" collapsed="false">
      <c r="A154" s="21" t="n">
        <v>153</v>
      </c>
      <c r="B154" s="22" t="s">
        <v>1281</v>
      </c>
      <c r="C154" s="23" t="s">
        <v>1282</v>
      </c>
      <c r="D154" s="23" t="s">
        <v>1283</v>
      </c>
      <c r="E154" s="23" t="s">
        <v>1284</v>
      </c>
      <c r="F154" s="22"/>
      <c r="G154" s="22" t="s">
        <v>1285</v>
      </c>
      <c r="H154" s="22" t="s">
        <v>1286</v>
      </c>
      <c r="I154" s="23" t="s">
        <v>1287</v>
      </c>
      <c r="J154" s="24" t="str">
        <f aca="false">IFERROR(VLOOKUP(VALUE(LEFT(C154,2)),Справочники!$A$2:$B$16,2,FALSE()),"не определён")</f>
        <v>г. Санкт-Петербург</v>
      </c>
      <c r="K154" s="24" t="str">
        <f aca="false">IF(TRIM(C154)="","ИНН не указан",IF(LEN(C154)&lt;&gt;10,"ИНН: должно быть 10 цифр",IF(NOT(ISNUMBER(IFERROR(VALUE(C154),"x"))),"ИНН: есть нецифровые символы",IF(MOD(MOD(SUMPRODUCT(--MID(C154,{1,2,3,4,5,6,7,8,9},1),{2,4,10,3,5,9,4,6,8}),11),10)=VALUE(RIGHT(C154,1)),"","ИНН: неверная контрольная цифра"))))</f>
        <v/>
      </c>
      <c r="L154" s="24" t="str">
        <f aca="false">IF(TRIM(D154)="","ОГРН не указан",IF(LEN(D154)&lt;&gt;13,"ОГРН: должно быть 13 цифр",IF(NOT(ISNUMBER(IFERROR(VALUE(D154),"x"))),"ОГРН: есть нецифровые символы",IF(MOD(VALUE(LEFT(D154,12))-11*INT(VALUE(LEFT(D154,12))/11),10)=VALUE(RIGHT(D154,1)),"","ОГРН: неверная контрольная цифра"))))</f>
        <v/>
      </c>
      <c r="M154" s="24" t="str">
        <f aca="false">IF(TRIM(E154)="","КПП не указан",IF(LEN(E154)&lt;&gt;9,"КПП: должно быть 9 знаков",IF(NOT(AND(ISNUMBER(IFERROR(VALUE(LEFT(E154,4)),"x")),ISNUMBER(IFERROR(VALUE(RIGHT(E154,3)),"x")))),"КПП: неверный формат",IF(LEFT(E154,2)&lt;&gt;LEFT(C154,2),"КПП: код региона не совпадает с ИНН",""))))</f>
        <v/>
      </c>
      <c r="N154" s="24" t="str">
        <f aca="false">IF(TRIM(C154)="","",IF(COUNTIF($C$2:$C$401,C154)&gt;1,"Дубликат ИНН в реестре",""))</f>
        <v/>
      </c>
      <c r="O154" s="24" t="str">
        <f aca="false">IF(TRIM(H154)="","Email не указан",IF(AND(ISNUMBER(FIND("@",H154)),ISNUMBER(FIND(".",H154,IFERROR(FIND("@",H154),1))),ISERROR(FIND(" ",H154)),LEFT(H154,1)&lt;&gt;"@",RIGHT(H154,1)&lt;&gt;".",LEN(H154)-LEN(SUBSTITUTE(H154,"@",""))=1),"","Email: неверный формат"))</f>
        <v/>
      </c>
      <c r="P154" s="24" t="str">
        <f aca="false">IF(TRIM(I154)="","Телефон не указан",IF(AND(LEN(SUBSTITUTE(SUBSTITUTE(SUBSTITUTE(SUBSTITUTE(SUBSTITUTE(I154," ",""),"-",""),"(",""),")",""),"+",""))=11,OR(LEFT(SUBSTITUTE(SUBSTITUTE(SUBSTITUTE(SUBSTITUTE(SUBSTITUTE(I154," ",""),"-",""),"(",""),")",""),"+",""),1)="7",LEFT(SUBSTITUTE(SUBSTITUTE(SUBSTITUTE(SUBSTITUTE(SUBSTITUTE(I154," ",""),"-",""),"(",""),")",""),"+",""),1)="8"),ISNUMBER(IFERROR(VALUE(SUBSTITUTE(SUBSTITUTE(SUBSTITUTE(SUBSTITUTE(SUBSTITUTE(I154," ",""),"-",""),"(",""),")",""),"+","")),"x"))),"","Телефон: неверный формат"))</f>
        <v/>
      </c>
      <c r="Q154" s="24" t="str">
        <f aca="false">TRIM(IF(TRIM(B154)="","Нет наименования. ","")&amp;IF(TRIM(F154)="","Нет адреса. ","")&amp;IF(TRIM(G154)="","Нет контактного лица.",""))</f>
        <v>Нет адреса.</v>
      </c>
      <c r="R154" s="21" t="n">
        <f aca="false">SUMPRODUCT(--(LEN(K154:Q154)&gt;0))</f>
        <v>1</v>
      </c>
      <c r="S154" s="24" t="str">
        <f aca="false">IF(R154=0,"Готово к передаче","Требует исправления")</f>
        <v>Требует исправления</v>
      </c>
      <c r="T154" s="24" t="str">
        <f aca="false">IF(R154=0,"",_xlfn.TEXTJOIN("; ",TRUE(),K154:Q154))</f>
        <v>Нет адреса.</v>
      </c>
      <c r="U154" s="24" t="str">
        <f aca="false">IF(R154=0,"","Здравствуйте! В данных организации «"&amp;B154&amp;"» обнаружены ошибки: "&amp;T154&amp;". Просим проверить и прислать исправленную информацию.")</f>
        <v>Здравствуйте! В данных организации «ООО «Вектор Мед»» обнаружены ошибки: Нет адреса.. Просим проверить и прислать исправленную информацию.</v>
      </c>
      <c r="V154" s="21" t="n">
        <f aca="false">IF(R154&gt;0,COUNTIF($R$2:R154,"&gt;0"),"")</f>
        <v>54</v>
      </c>
      <c r="W154" s="21" t="str">
        <f aca="false">IF(R154=0,COUNTIF($R$2:R154,0),"")</f>
        <v/>
      </c>
    </row>
    <row r="155" customFormat="false" ht="15" hidden="false" customHeight="false" outlineLevel="0" collapsed="false">
      <c r="A155" s="21" t="n">
        <v>154</v>
      </c>
      <c r="B155" s="22" t="s">
        <v>1288</v>
      </c>
      <c r="C155" s="23" t="s">
        <v>1289</v>
      </c>
      <c r="D155" s="23" t="s">
        <v>1290</v>
      </c>
      <c r="E155" s="23" t="s">
        <v>1291</v>
      </c>
      <c r="F155" s="22" t="s">
        <v>1292</v>
      </c>
      <c r="G155" s="22" t="s">
        <v>1293</v>
      </c>
      <c r="H155" s="22" t="s">
        <v>1294</v>
      </c>
      <c r="I155" s="23" t="s">
        <v>1295</v>
      </c>
      <c r="J155" s="24" t="str">
        <f aca="false">IFERROR(VLOOKUP(VALUE(LEFT(C155,2)),Справочники!$A$2:$B$16,2,FALSE()),"не определён")</f>
        <v>г. Москва</v>
      </c>
      <c r="K155" s="24" t="str">
        <f aca="false">IF(TRIM(C155)="","ИНН не указан",IF(LEN(C155)&lt;&gt;10,"ИНН: должно быть 10 цифр",IF(NOT(ISNUMBER(IFERROR(VALUE(C155),"x"))),"ИНН: есть нецифровые символы",IF(MOD(MOD(SUMPRODUCT(--MID(C155,{1,2,3,4,5,6,7,8,9},1),{2,4,10,3,5,9,4,6,8}),11),10)=VALUE(RIGHT(C155,1)),"","ИНН: неверная контрольная цифра"))))</f>
        <v/>
      </c>
      <c r="L155" s="24" t="str">
        <f aca="false">IF(TRIM(D155)="","ОГРН не указан",IF(LEN(D155)&lt;&gt;13,"ОГРН: должно быть 13 цифр",IF(NOT(ISNUMBER(IFERROR(VALUE(D155),"x"))),"ОГРН: есть нецифровые символы",IF(MOD(VALUE(LEFT(D155,12))-11*INT(VALUE(LEFT(D155,12))/11),10)=VALUE(RIGHT(D155,1)),"","ОГРН: неверная контрольная цифра"))))</f>
        <v/>
      </c>
      <c r="M155" s="24" t="str">
        <f aca="false">IF(TRIM(E155)="","КПП не указан",IF(LEN(E155)&lt;&gt;9,"КПП: должно быть 9 знаков",IF(NOT(AND(ISNUMBER(IFERROR(VALUE(LEFT(E155,4)),"x")),ISNUMBER(IFERROR(VALUE(RIGHT(E155,3)),"x")))),"КПП: неверный формат",IF(LEFT(E155,2)&lt;&gt;LEFT(C155,2),"КПП: код региона не совпадает с ИНН",""))))</f>
        <v/>
      </c>
      <c r="N155" s="24" t="str">
        <f aca="false">IF(TRIM(C155)="","",IF(COUNTIF($C$2:$C$401,C155)&gt;1,"Дубликат ИНН в реестре",""))</f>
        <v/>
      </c>
      <c r="O155" s="24" t="str">
        <f aca="false">IF(TRIM(H155)="","Email не указан",IF(AND(ISNUMBER(FIND("@",H155)),ISNUMBER(FIND(".",H155,IFERROR(FIND("@",H155),1))),ISERROR(FIND(" ",H155)),LEFT(H155,1)&lt;&gt;"@",RIGHT(H155,1)&lt;&gt;".",LEN(H155)-LEN(SUBSTITUTE(H155,"@",""))=1),"","Email: неверный формат"))</f>
        <v/>
      </c>
      <c r="P155" s="24" t="str">
        <f aca="false">IF(TRIM(I155)="","Телефон не указан",IF(AND(LEN(SUBSTITUTE(SUBSTITUTE(SUBSTITUTE(SUBSTITUTE(SUBSTITUTE(I155," ",""),"-",""),"(",""),")",""),"+",""))=11,OR(LEFT(SUBSTITUTE(SUBSTITUTE(SUBSTITUTE(SUBSTITUTE(SUBSTITUTE(I155," ",""),"-",""),"(",""),")",""),"+",""),1)="7",LEFT(SUBSTITUTE(SUBSTITUTE(SUBSTITUTE(SUBSTITUTE(SUBSTITUTE(I155," ",""),"-",""),"(",""),")",""),"+",""),1)="8"),ISNUMBER(IFERROR(VALUE(SUBSTITUTE(SUBSTITUTE(SUBSTITUTE(SUBSTITUTE(SUBSTITUTE(I155," ",""),"-",""),"(",""),")",""),"+","")),"x"))),"","Телефон: неверный формат"))</f>
        <v/>
      </c>
      <c r="Q155" s="24" t="str">
        <f aca="false">TRIM(IF(TRIM(B155)="","Нет наименования. ","")&amp;IF(TRIM(F155)="","Нет адреса. ","")&amp;IF(TRIM(G155)="","Нет контактного лица.",""))</f>
        <v/>
      </c>
      <c r="R155" s="21" t="n">
        <f aca="false">SUMPRODUCT(--(LEN(K155:Q155)&gt;0))</f>
        <v>0</v>
      </c>
      <c r="S155" s="24" t="str">
        <f aca="false">IF(R155=0,"Готово к передаче","Требует исправления")</f>
        <v>Готово к передаче</v>
      </c>
      <c r="T155" s="24" t="str">
        <f aca="false">IF(R155=0,"",_xlfn.TEXTJOIN("; ",TRUE(),K155:Q155))</f>
        <v/>
      </c>
      <c r="U155" s="24" t="str">
        <f aca="false">IF(R155=0,"","Здравствуйте! В данных организации «"&amp;B155&amp;"» обнаружены ошибки: "&amp;T155&amp;". Просим проверить и прислать исправленную информацию.")</f>
        <v/>
      </c>
      <c r="V155" s="21" t="str">
        <f aca="false">IF(R155&gt;0,COUNTIF($R$2:R155,"&gt;0"),"")</f>
        <v/>
      </c>
      <c r="W155" s="21" t="n">
        <f aca="false">IF(R155=0,COUNTIF($R$2:R155,0),"")</f>
        <v>100</v>
      </c>
    </row>
    <row r="156" customFormat="false" ht="15" hidden="false" customHeight="false" outlineLevel="0" collapsed="false">
      <c r="A156" s="21" t="n">
        <v>155</v>
      </c>
      <c r="B156" s="22" t="s">
        <v>1296</v>
      </c>
      <c r="C156" s="23" t="s">
        <v>1297</v>
      </c>
      <c r="D156" s="23" t="s">
        <v>1298</v>
      </c>
      <c r="E156" s="23" t="s">
        <v>1299</v>
      </c>
      <c r="F156" s="22" t="s">
        <v>1300</v>
      </c>
      <c r="G156" s="22" t="s">
        <v>1301</v>
      </c>
      <c r="H156" s="22" t="s">
        <v>1302</v>
      </c>
      <c r="I156" s="23" t="s">
        <v>1303</v>
      </c>
      <c r="J156" s="24" t="str">
        <f aca="false">IFERROR(VLOOKUP(VALUE(LEFT(C156,2)),Справочники!$A$2:$B$16,2,FALSE()),"не определён")</f>
        <v>г. Москва</v>
      </c>
      <c r="K156" s="24" t="str">
        <f aca="false">IF(TRIM(C156)="","ИНН не указан",IF(LEN(C156)&lt;&gt;10,"ИНН: должно быть 10 цифр",IF(NOT(ISNUMBER(IFERROR(VALUE(C156),"x"))),"ИНН: есть нецифровые символы",IF(MOD(MOD(SUMPRODUCT(--MID(C156,{1,2,3,4,5,6,7,8,9},1),{2,4,10,3,5,9,4,6,8}),11),10)=VALUE(RIGHT(C156,1)),"","ИНН: неверная контрольная цифра"))))</f>
        <v/>
      </c>
      <c r="L156" s="24" t="str">
        <f aca="false">IF(TRIM(D156)="","ОГРН не указан",IF(LEN(D156)&lt;&gt;13,"ОГРН: должно быть 13 цифр",IF(NOT(ISNUMBER(IFERROR(VALUE(D156),"x"))),"ОГРН: есть нецифровые символы",IF(MOD(VALUE(LEFT(D156,12))-11*INT(VALUE(LEFT(D156,12))/11),10)=VALUE(RIGHT(D156,1)),"","ОГРН: неверная контрольная цифра"))))</f>
        <v/>
      </c>
      <c r="M156" s="24" t="str">
        <f aca="false">IF(TRIM(E156)="","КПП не указан",IF(LEN(E156)&lt;&gt;9,"КПП: должно быть 9 знаков",IF(NOT(AND(ISNUMBER(IFERROR(VALUE(LEFT(E156,4)),"x")),ISNUMBER(IFERROR(VALUE(RIGHT(E156,3)),"x")))),"КПП: неверный формат",IF(LEFT(E156,2)&lt;&gt;LEFT(C156,2),"КПП: код региона не совпадает с ИНН",""))))</f>
        <v/>
      </c>
      <c r="N156" s="24" t="str">
        <f aca="false">IF(TRIM(C156)="","",IF(COUNTIF($C$2:$C$401,C156)&gt;1,"Дубликат ИНН в реестре",""))</f>
        <v/>
      </c>
      <c r="O156" s="24" t="str">
        <f aca="false">IF(TRIM(H156)="","Email не указан",IF(AND(ISNUMBER(FIND("@",H156)),ISNUMBER(FIND(".",H156,IFERROR(FIND("@",H156),1))),ISERROR(FIND(" ",H156)),LEFT(H156,1)&lt;&gt;"@",RIGHT(H156,1)&lt;&gt;".",LEN(H156)-LEN(SUBSTITUTE(H156,"@",""))=1),"","Email: неверный формат"))</f>
        <v/>
      </c>
      <c r="P156" s="24" t="str">
        <f aca="false">IF(TRIM(I156)="","Телефон не указан",IF(AND(LEN(SUBSTITUTE(SUBSTITUTE(SUBSTITUTE(SUBSTITUTE(SUBSTITUTE(I156," ",""),"-",""),"(",""),")",""),"+",""))=11,OR(LEFT(SUBSTITUTE(SUBSTITUTE(SUBSTITUTE(SUBSTITUTE(SUBSTITUTE(I156," ",""),"-",""),"(",""),")",""),"+",""),1)="7",LEFT(SUBSTITUTE(SUBSTITUTE(SUBSTITUTE(SUBSTITUTE(SUBSTITUTE(I156," ",""),"-",""),"(",""),")",""),"+",""),1)="8"),ISNUMBER(IFERROR(VALUE(SUBSTITUTE(SUBSTITUTE(SUBSTITUTE(SUBSTITUTE(SUBSTITUTE(I156," ",""),"-",""),"(",""),")",""),"+","")),"x"))),"","Телефон: неверный формат"))</f>
        <v/>
      </c>
      <c r="Q156" s="24" t="str">
        <f aca="false">TRIM(IF(TRIM(B156)="","Нет наименования. ","")&amp;IF(TRIM(F156)="","Нет адреса. ","")&amp;IF(TRIM(G156)="","Нет контактного лица.",""))</f>
        <v/>
      </c>
      <c r="R156" s="21" t="n">
        <f aca="false">SUMPRODUCT(--(LEN(K156:Q156)&gt;0))</f>
        <v>0</v>
      </c>
      <c r="S156" s="24" t="str">
        <f aca="false">IF(R156=0,"Готово к передаче","Требует исправления")</f>
        <v>Готово к передаче</v>
      </c>
      <c r="T156" s="24" t="str">
        <f aca="false">IF(R156=0,"",_xlfn.TEXTJOIN("; ",TRUE(),K156:Q156))</f>
        <v/>
      </c>
      <c r="U156" s="24" t="str">
        <f aca="false">IF(R156=0,"","Здравствуйте! В данных организации «"&amp;B156&amp;"» обнаружены ошибки: "&amp;T156&amp;". Просим проверить и прислать исправленную информацию.")</f>
        <v/>
      </c>
      <c r="V156" s="21" t="str">
        <f aca="false">IF(R156&gt;0,COUNTIF($R$2:R156,"&gt;0"),"")</f>
        <v/>
      </c>
      <c r="W156" s="21" t="n">
        <f aca="false">IF(R156=0,COUNTIF($R$2:R156,0),"")</f>
        <v>101</v>
      </c>
    </row>
    <row r="157" customFormat="false" ht="15" hidden="false" customHeight="false" outlineLevel="0" collapsed="false">
      <c r="A157" s="21" t="n">
        <v>156</v>
      </c>
      <c r="B157" s="22" t="s">
        <v>1304</v>
      </c>
      <c r="C157" s="23" t="s">
        <v>1305</v>
      </c>
      <c r="D157" s="23" t="s">
        <v>1306</v>
      </c>
      <c r="E157" s="23" t="s">
        <v>1307</v>
      </c>
      <c r="F157" s="22" t="s">
        <v>1308</v>
      </c>
      <c r="G157" s="22" t="s">
        <v>1309</v>
      </c>
      <c r="H157" s="22" t="s">
        <v>1310</v>
      </c>
      <c r="I157" s="23" t="s">
        <v>1311</v>
      </c>
      <c r="J157" s="24" t="str">
        <f aca="false">IFERROR(VLOOKUP(VALUE(LEFT(C157,2)),Справочники!$A$2:$B$16,2,FALSE()),"не определён")</f>
        <v>Новосибирская область</v>
      </c>
      <c r="K157" s="24" t="str">
        <f aca="false">IF(TRIM(C157)="","ИНН не указан",IF(LEN(C157)&lt;&gt;10,"ИНН: должно быть 10 цифр",IF(NOT(ISNUMBER(IFERROR(VALUE(C157),"x"))),"ИНН: есть нецифровые символы",IF(MOD(MOD(SUMPRODUCT(--MID(C157,{1,2,3,4,5,6,7,8,9},1),{2,4,10,3,5,9,4,6,8}),11),10)=VALUE(RIGHT(C157,1)),"","ИНН: неверная контрольная цифра"))))</f>
        <v/>
      </c>
      <c r="L157" s="24" t="str">
        <f aca="false">IF(TRIM(D157)="","ОГРН не указан",IF(LEN(D157)&lt;&gt;13,"ОГРН: должно быть 13 цифр",IF(NOT(ISNUMBER(IFERROR(VALUE(D157),"x"))),"ОГРН: есть нецифровые символы",IF(MOD(VALUE(LEFT(D157,12))-11*INT(VALUE(LEFT(D157,12))/11),10)=VALUE(RIGHT(D157,1)),"","ОГРН: неверная контрольная цифра"))))</f>
        <v/>
      </c>
      <c r="M157" s="24" t="str">
        <f aca="false">IF(TRIM(E157)="","КПП не указан",IF(LEN(E157)&lt;&gt;9,"КПП: должно быть 9 знаков",IF(NOT(AND(ISNUMBER(IFERROR(VALUE(LEFT(E157,4)),"x")),ISNUMBER(IFERROR(VALUE(RIGHT(E157,3)),"x")))),"КПП: неверный формат",IF(LEFT(E157,2)&lt;&gt;LEFT(C157,2),"КПП: код региона не совпадает с ИНН",""))))</f>
        <v/>
      </c>
      <c r="N157" s="24" t="str">
        <f aca="false">IF(TRIM(C157)="","",IF(COUNTIF($C$2:$C$401,C157)&gt;1,"Дубликат ИНН в реестре",""))</f>
        <v/>
      </c>
      <c r="O157" s="24" t="str">
        <f aca="false">IF(TRIM(H157)="","Email не указан",IF(AND(ISNUMBER(FIND("@",H157)),ISNUMBER(FIND(".",H157,IFERROR(FIND("@",H157),1))),ISERROR(FIND(" ",H157)),LEFT(H157,1)&lt;&gt;"@",RIGHT(H157,1)&lt;&gt;".",LEN(H157)-LEN(SUBSTITUTE(H157,"@",""))=1),"","Email: неверный формат"))</f>
        <v/>
      </c>
      <c r="P157" s="24" t="str">
        <f aca="false">IF(TRIM(I157)="","Телефон не указан",IF(AND(LEN(SUBSTITUTE(SUBSTITUTE(SUBSTITUTE(SUBSTITUTE(SUBSTITUTE(I157," ",""),"-",""),"(",""),")",""),"+",""))=11,OR(LEFT(SUBSTITUTE(SUBSTITUTE(SUBSTITUTE(SUBSTITUTE(SUBSTITUTE(I157," ",""),"-",""),"(",""),")",""),"+",""),1)="7",LEFT(SUBSTITUTE(SUBSTITUTE(SUBSTITUTE(SUBSTITUTE(SUBSTITUTE(I157," ",""),"-",""),"(",""),")",""),"+",""),1)="8"),ISNUMBER(IFERROR(VALUE(SUBSTITUTE(SUBSTITUTE(SUBSTITUTE(SUBSTITUTE(SUBSTITUTE(I157," ",""),"-",""),"(",""),")",""),"+","")),"x"))),"","Телефон: неверный формат"))</f>
        <v/>
      </c>
      <c r="Q157" s="24" t="str">
        <f aca="false">TRIM(IF(TRIM(B157)="","Нет наименования. ","")&amp;IF(TRIM(F157)="","Нет адреса. ","")&amp;IF(TRIM(G157)="","Нет контактного лица.",""))</f>
        <v/>
      </c>
      <c r="R157" s="21" t="n">
        <f aca="false">SUMPRODUCT(--(LEN(K157:Q157)&gt;0))</f>
        <v>0</v>
      </c>
      <c r="S157" s="24" t="str">
        <f aca="false">IF(R157=0,"Готово к передаче","Требует исправления")</f>
        <v>Готово к передаче</v>
      </c>
      <c r="T157" s="24" t="str">
        <f aca="false">IF(R157=0,"",_xlfn.TEXTJOIN("; ",TRUE(),K157:Q157))</f>
        <v/>
      </c>
      <c r="U157" s="24" t="str">
        <f aca="false">IF(R157=0,"","Здравствуйте! В данных организации «"&amp;B157&amp;"» обнаружены ошибки: "&amp;T157&amp;". Просим проверить и прислать исправленную информацию.")</f>
        <v/>
      </c>
      <c r="V157" s="21" t="str">
        <f aca="false">IF(R157&gt;0,COUNTIF($R$2:R157,"&gt;0"),"")</f>
        <v/>
      </c>
      <c r="W157" s="21" t="n">
        <f aca="false">IF(R157=0,COUNTIF($R$2:R157,0),"")</f>
        <v>102</v>
      </c>
    </row>
    <row r="158" customFormat="false" ht="15" hidden="false" customHeight="false" outlineLevel="0" collapsed="false">
      <c r="A158" s="21" t="n">
        <v>157</v>
      </c>
      <c r="B158" s="22" t="s">
        <v>1312</v>
      </c>
      <c r="C158" s="23" t="s">
        <v>1313</v>
      </c>
      <c r="D158" s="23" t="s">
        <v>1314</v>
      </c>
      <c r="E158" s="23" t="s">
        <v>1315</v>
      </c>
      <c r="F158" s="22" t="s">
        <v>1316</v>
      </c>
      <c r="G158" s="22" t="s">
        <v>1317</v>
      </c>
      <c r="H158" s="22" t="s">
        <v>1318</v>
      </c>
      <c r="I158" s="23" t="s">
        <v>1319</v>
      </c>
      <c r="J158" s="24" t="str">
        <f aca="false">IFERROR(VLOOKUP(VALUE(LEFT(C158,2)),Справочники!$A$2:$B$16,2,FALSE()),"не определён")</f>
        <v>г. Москва</v>
      </c>
      <c r="K158" s="24" t="str">
        <f aca="false">IF(TRIM(C158)="","ИНН не указан",IF(LEN(C158)&lt;&gt;10,"ИНН: должно быть 10 цифр",IF(NOT(ISNUMBER(IFERROR(VALUE(C158),"x"))),"ИНН: есть нецифровые символы",IF(MOD(MOD(SUMPRODUCT(--MID(C158,{1,2,3,4,5,6,7,8,9},1),{2,4,10,3,5,9,4,6,8}),11),10)=VALUE(RIGHT(C158,1)),"","ИНН: неверная контрольная цифра"))))</f>
        <v/>
      </c>
      <c r="L158" s="24" t="str">
        <f aca="false">IF(TRIM(D158)="","ОГРН не указан",IF(LEN(D158)&lt;&gt;13,"ОГРН: должно быть 13 цифр",IF(NOT(ISNUMBER(IFERROR(VALUE(D158),"x"))),"ОГРН: есть нецифровые символы",IF(MOD(VALUE(LEFT(D158,12))-11*INT(VALUE(LEFT(D158,12))/11),10)=VALUE(RIGHT(D158,1)),"","ОГРН: неверная контрольная цифра"))))</f>
        <v/>
      </c>
      <c r="M158" s="24" t="str">
        <f aca="false">IF(TRIM(E158)="","КПП не указан",IF(LEN(E158)&lt;&gt;9,"КПП: должно быть 9 знаков",IF(NOT(AND(ISNUMBER(IFERROR(VALUE(LEFT(E158,4)),"x")),ISNUMBER(IFERROR(VALUE(RIGHT(E158,3)),"x")))),"КПП: неверный формат",IF(LEFT(E158,2)&lt;&gt;LEFT(C158,2),"КПП: код региона не совпадает с ИНН",""))))</f>
        <v/>
      </c>
      <c r="N158" s="24" t="str">
        <f aca="false">IF(TRIM(C158)="","",IF(COUNTIF($C$2:$C$401,C158)&gt;1,"Дубликат ИНН в реестре",""))</f>
        <v/>
      </c>
      <c r="O158" s="24" t="str">
        <f aca="false">IF(TRIM(H158)="","Email не указан",IF(AND(ISNUMBER(FIND("@",H158)),ISNUMBER(FIND(".",H158,IFERROR(FIND("@",H158),1))),ISERROR(FIND(" ",H158)),LEFT(H158,1)&lt;&gt;"@",RIGHT(H158,1)&lt;&gt;".",LEN(H158)-LEN(SUBSTITUTE(H158,"@",""))=1),"","Email: неверный формат"))</f>
        <v/>
      </c>
      <c r="P158" s="24" t="str">
        <f aca="false">IF(TRIM(I158)="","Телефон не указан",IF(AND(LEN(SUBSTITUTE(SUBSTITUTE(SUBSTITUTE(SUBSTITUTE(SUBSTITUTE(I158," ",""),"-",""),"(",""),")",""),"+",""))=11,OR(LEFT(SUBSTITUTE(SUBSTITUTE(SUBSTITUTE(SUBSTITUTE(SUBSTITUTE(I158," ",""),"-",""),"(",""),")",""),"+",""),1)="7",LEFT(SUBSTITUTE(SUBSTITUTE(SUBSTITUTE(SUBSTITUTE(SUBSTITUTE(I158," ",""),"-",""),"(",""),")",""),"+",""),1)="8"),ISNUMBER(IFERROR(VALUE(SUBSTITUTE(SUBSTITUTE(SUBSTITUTE(SUBSTITUTE(SUBSTITUTE(I158," ",""),"-",""),"(",""),")",""),"+","")),"x"))),"","Телефон: неверный формат"))</f>
        <v/>
      </c>
      <c r="Q158" s="24" t="str">
        <f aca="false">TRIM(IF(TRIM(B158)="","Нет наименования. ","")&amp;IF(TRIM(F158)="","Нет адреса. ","")&amp;IF(TRIM(G158)="","Нет контактного лица.",""))</f>
        <v/>
      </c>
      <c r="R158" s="21" t="n">
        <f aca="false">SUMPRODUCT(--(LEN(K158:Q158)&gt;0))</f>
        <v>0</v>
      </c>
      <c r="S158" s="24" t="str">
        <f aca="false">IF(R158=0,"Готово к передаче","Требует исправления")</f>
        <v>Готово к передаче</v>
      </c>
      <c r="T158" s="24" t="str">
        <f aca="false">IF(R158=0,"",_xlfn.TEXTJOIN("; ",TRUE(),K158:Q158))</f>
        <v/>
      </c>
      <c r="U158" s="24" t="str">
        <f aca="false">IF(R158=0,"","Здравствуйте! В данных организации «"&amp;B158&amp;"» обнаружены ошибки: "&amp;T158&amp;". Просим проверить и прислать исправленную информацию.")</f>
        <v/>
      </c>
      <c r="V158" s="21" t="str">
        <f aca="false">IF(R158&gt;0,COUNTIF($R$2:R158,"&gt;0"),"")</f>
        <v/>
      </c>
      <c r="W158" s="21" t="n">
        <f aca="false">IF(R158=0,COUNTIF($R$2:R158,0),"")</f>
        <v>103</v>
      </c>
    </row>
    <row r="159" customFormat="false" ht="15" hidden="false" customHeight="false" outlineLevel="0" collapsed="false">
      <c r="A159" s="21" t="n">
        <v>158</v>
      </c>
      <c r="B159" s="22" t="s">
        <v>1320</v>
      </c>
      <c r="C159" s="23" t="s">
        <v>1321</v>
      </c>
      <c r="D159" s="23" t="s">
        <v>1322</v>
      </c>
      <c r="E159" s="23" t="s">
        <v>1323</v>
      </c>
      <c r="F159" s="22" t="s">
        <v>1324</v>
      </c>
      <c r="G159" s="22" t="s">
        <v>1325</v>
      </c>
      <c r="H159" s="22" t="s">
        <v>1326</v>
      </c>
      <c r="I159" s="23" t="s">
        <v>1327</v>
      </c>
      <c r="J159" s="24" t="str">
        <f aca="false">IFERROR(VLOOKUP(VALUE(LEFT(C159,2)),Справочники!$A$2:$B$16,2,FALSE()),"не определён")</f>
        <v>Республика Башкортостан</v>
      </c>
      <c r="K159" s="24" t="str">
        <f aca="false">IF(TRIM(C159)="","ИНН не указан",IF(LEN(C159)&lt;&gt;10,"ИНН: должно быть 10 цифр",IF(NOT(ISNUMBER(IFERROR(VALUE(C159),"x"))),"ИНН: есть нецифровые символы",IF(MOD(MOD(SUMPRODUCT(--MID(C159,{1,2,3,4,5,6,7,8,9},1),{2,4,10,3,5,9,4,6,8}),11),10)=VALUE(RIGHT(C159,1)),"","ИНН: неверная контрольная цифра"))))</f>
        <v>ИНН: должно быть 10 цифр</v>
      </c>
      <c r="L159" s="24" t="str">
        <f aca="false">IF(TRIM(D159)="","ОГРН не указан",IF(LEN(D159)&lt;&gt;13,"ОГРН: должно быть 13 цифр",IF(NOT(ISNUMBER(IFERROR(VALUE(D159),"x"))),"ОГРН: есть нецифровые символы",IF(MOD(VALUE(LEFT(D159,12))-11*INT(VALUE(LEFT(D159,12))/11),10)=VALUE(RIGHT(D159,1)),"","ОГРН: неверная контрольная цифра"))))</f>
        <v/>
      </c>
      <c r="M159" s="24" t="str">
        <f aca="false">IF(TRIM(E159)="","КПП не указан",IF(LEN(E159)&lt;&gt;9,"КПП: должно быть 9 знаков",IF(NOT(AND(ISNUMBER(IFERROR(VALUE(LEFT(E159,4)),"x")),ISNUMBER(IFERROR(VALUE(RIGHT(E159,3)),"x")))),"КПП: неверный формат",IF(LEFT(E159,2)&lt;&gt;LEFT(C159,2),"КПП: код региона не совпадает с ИНН",""))))</f>
        <v/>
      </c>
      <c r="N159" s="24" t="str">
        <f aca="false">IF(TRIM(C159)="","",IF(COUNTIF($C$2:$C$401,C159)&gt;1,"Дубликат ИНН в реестре",""))</f>
        <v/>
      </c>
      <c r="O159" s="24" t="str">
        <f aca="false">IF(TRIM(H159)="","Email не указан",IF(AND(ISNUMBER(FIND("@",H159)),ISNUMBER(FIND(".",H159,IFERROR(FIND("@",H159),1))),ISERROR(FIND(" ",H159)),LEFT(H159,1)&lt;&gt;"@",RIGHT(H159,1)&lt;&gt;".",LEN(H159)-LEN(SUBSTITUTE(H159,"@",""))=1),"","Email: неверный формат"))</f>
        <v/>
      </c>
      <c r="P159" s="24" t="str">
        <f aca="false">IF(TRIM(I159)="","Телефон не указан",IF(AND(LEN(SUBSTITUTE(SUBSTITUTE(SUBSTITUTE(SUBSTITUTE(SUBSTITUTE(I159," ",""),"-",""),"(",""),")",""),"+",""))=11,OR(LEFT(SUBSTITUTE(SUBSTITUTE(SUBSTITUTE(SUBSTITUTE(SUBSTITUTE(I159," ",""),"-",""),"(",""),")",""),"+",""),1)="7",LEFT(SUBSTITUTE(SUBSTITUTE(SUBSTITUTE(SUBSTITUTE(SUBSTITUTE(I159," ",""),"-",""),"(",""),")",""),"+",""),1)="8"),ISNUMBER(IFERROR(VALUE(SUBSTITUTE(SUBSTITUTE(SUBSTITUTE(SUBSTITUTE(SUBSTITUTE(I159," ",""),"-",""),"(",""),")",""),"+","")),"x"))),"","Телефон: неверный формат"))</f>
        <v/>
      </c>
      <c r="Q159" s="24" t="str">
        <f aca="false">TRIM(IF(TRIM(B159)="","Нет наименования. ","")&amp;IF(TRIM(F159)="","Нет адреса. ","")&amp;IF(TRIM(G159)="","Нет контактного лица.",""))</f>
        <v/>
      </c>
      <c r="R159" s="21" t="n">
        <f aca="false">SUMPRODUCT(--(LEN(K159:Q159)&gt;0))</f>
        <v>1</v>
      </c>
      <c r="S159" s="24" t="str">
        <f aca="false">IF(R159=0,"Готово к передаче","Требует исправления")</f>
        <v>Требует исправления</v>
      </c>
      <c r="T159" s="24" t="str">
        <f aca="false">IF(R159=0,"",_xlfn.TEXTJOIN("; ",TRUE(),K159:Q159))</f>
        <v>ИНН: должно быть 10 цифр</v>
      </c>
      <c r="U159" s="24" t="str">
        <f aca="false">IF(R159=0,"","Здравствуйте! В данных организации «"&amp;B159&amp;"» обнаружены ошибки: "&amp;T159&amp;". Просим проверить и прислать исправленную информацию.")</f>
        <v>Здравствуйте! В данных организации «ООО «Берег Консалт»» обнаружены ошибки: ИНН: должно быть 10 цифр. Просим проверить и прислать исправленную информацию.</v>
      </c>
      <c r="V159" s="21" t="n">
        <f aca="false">IF(R159&gt;0,COUNTIF($R$2:R159,"&gt;0"),"")</f>
        <v>55</v>
      </c>
      <c r="W159" s="21" t="str">
        <f aca="false">IF(R159=0,COUNTIF($R$2:R159,0),"")</f>
        <v/>
      </c>
    </row>
    <row r="160" customFormat="false" ht="15" hidden="false" customHeight="false" outlineLevel="0" collapsed="false">
      <c r="A160" s="21" t="n">
        <v>159</v>
      </c>
      <c r="B160" s="22" t="s">
        <v>1328</v>
      </c>
      <c r="C160" s="23" t="s">
        <v>1329</v>
      </c>
      <c r="D160" s="23" t="s">
        <v>1330</v>
      </c>
      <c r="E160" s="23" t="s">
        <v>1331</v>
      </c>
      <c r="F160" s="22" t="s">
        <v>1332</v>
      </c>
      <c r="G160" s="22" t="s">
        <v>1333</v>
      </c>
      <c r="H160" s="22" t="s">
        <v>1334</v>
      </c>
      <c r="I160" s="23" t="s">
        <v>1335</v>
      </c>
      <c r="J160" s="24" t="str">
        <f aca="false">IFERROR(VLOOKUP(VALUE(LEFT(C160,2)),Справочники!$A$2:$B$16,2,FALSE()),"не определён")</f>
        <v>г. Москва</v>
      </c>
      <c r="K160" s="24" t="str">
        <f aca="false">IF(TRIM(C160)="","ИНН не указан",IF(LEN(C160)&lt;&gt;10,"ИНН: должно быть 10 цифр",IF(NOT(ISNUMBER(IFERROR(VALUE(C160),"x"))),"ИНН: есть нецифровые символы",IF(MOD(MOD(SUMPRODUCT(--MID(C160,{1,2,3,4,5,6,7,8,9},1),{2,4,10,3,5,9,4,6,8}),11),10)=VALUE(RIGHT(C160,1)),"","ИНН: неверная контрольная цифра"))))</f>
        <v/>
      </c>
      <c r="L160" s="24" t="str">
        <f aca="false">IF(TRIM(D160)="","ОГРН не указан",IF(LEN(D160)&lt;&gt;13,"ОГРН: должно быть 13 цифр",IF(NOT(ISNUMBER(IFERROR(VALUE(D160),"x"))),"ОГРН: есть нецифровые символы",IF(MOD(VALUE(LEFT(D160,12))-11*INT(VALUE(LEFT(D160,12))/11),10)=VALUE(RIGHT(D160,1)),"","ОГРН: неверная контрольная цифра"))))</f>
        <v/>
      </c>
      <c r="M160" s="24" t="str">
        <f aca="false">IF(TRIM(E160)="","КПП не указан",IF(LEN(E160)&lt;&gt;9,"КПП: должно быть 9 знаков",IF(NOT(AND(ISNUMBER(IFERROR(VALUE(LEFT(E160,4)),"x")),ISNUMBER(IFERROR(VALUE(RIGHT(E160,3)),"x")))),"КПП: неверный формат",IF(LEFT(E160,2)&lt;&gt;LEFT(C160,2),"КПП: код региона не совпадает с ИНН",""))))</f>
        <v/>
      </c>
      <c r="N160" s="24" t="str">
        <f aca="false">IF(TRIM(C160)="","",IF(COUNTIF($C$2:$C$401,C160)&gt;1,"Дубликат ИНН в реестре",""))</f>
        <v>Дубликат ИНН в реестре</v>
      </c>
      <c r="O160" s="24" t="str">
        <f aca="false">IF(TRIM(H160)="","Email не указан",IF(AND(ISNUMBER(FIND("@",H160)),ISNUMBER(FIND(".",H160,IFERROR(FIND("@",H160),1))),ISERROR(FIND(" ",H160)),LEFT(H160,1)&lt;&gt;"@",RIGHT(H160,1)&lt;&gt;".",LEN(H160)-LEN(SUBSTITUTE(H160,"@",""))=1),"","Email: неверный формат"))</f>
        <v/>
      </c>
      <c r="P160" s="24" t="str">
        <f aca="false">IF(TRIM(I160)="","Телефон не указан",IF(AND(LEN(SUBSTITUTE(SUBSTITUTE(SUBSTITUTE(SUBSTITUTE(SUBSTITUTE(I160," ",""),"-",""),"(",""),")",""),"+",""))=11,OR(LEFT(SUBSTITUTE(SUBSTITUTE(SUBSTITUTE(SUBSTITUTE(SUBSTITUTE(I160," ",""),"-",""),"(",""),")",""),"+",""),1)="7",LEFT(SUBSTITUTE(SUBSTITUTE(SUBSTITUTE(SUBSTITUTE(SUBSTITUTE(I160," ",""),"-",""),"(",""),")",""),"+",""),1)="8"),ISNUMBER(IFERROR(VALUE(SUBSTITUTE(SUBSTITUTE(SUBSTITUTE(SUBSTITUTE(SUBSTITUTE(I160," ",""),"-",""),"(",""),")",""),"+","")),"x"))),"","Телефон: неверный формат"))</f>
        <v/>
      </c>
      <c r="Q160" s="24" t="str">
        <f aca="false">TRIM(IF(TRIM(B160)="","Нет наименования. ","")&amp;IF(TRIM(F160)="","Нет адреса. ","")&amp;IF(TRIM(G160)="","Нет контактного лица.",""))</f>
        <v/>
      </c>
      <c r="R160" s="21" t="n">
        <f aca="false">SUMPRODUCT(--(LEN(K160:Q160)&gt;0))</f>
        <v>1</v>
      </c>
      <c r="S160" s="24" t="str">
        <f aca="false">IF(R160=0,"Готово к передаче","Требует исправления")</f>
        <v>Требует исправления</v>
      </c>
      <c r="T160" s="24" t="str">
        <f aca="false">IF(R160=0,"",_xlfn.TEXTJOIN("; ",TRUE(),K160:Q160))</f>
        <v>Дубликат ИНН в реестре</v>
      </c>
      <c r="U160" s="24" t="str">
        <f aca="false">IF(R160=0,"","Здравствуйте! В данных организации «"&amp;B160&amp;"» обнаружены ошибки: "&amp;T160&amp;". Просим проверить и прислать исправленную информацию.")</f>
        <v>Здравствуйте! В данных организации «ООО «Квант Сервис»» обнаружены ошибки: Дубликат ИНН в реестре. Просим проверить и прислать исправленную информацию.</v>
      </c>
      <c r="V160" s="21" t="n">
        <f aca="false">IF(R160&gt;0,COUNTIF($R$2:R160,"&gt;0"),"")</f>
        <v>56</v>
      </c>
      <c r="W160" s="21" t="str">
        <f aca="false">IF(R160=0,COUNTIF($R$2:R160,0),"")</f>
        <v/>
      </c>
    </row>
    <row r="161" customFormat="false" ht="15" hidden="false" customHeight="false" outlineLevel="0" collapsed="false">
      <c r="A161" s="21" t="n">
        <v>160</v>
      </c>
      <c r="B161" s="22" t="s">
        <v>1336</v>
      </c>
      <c r="C161" s="23" t="s">
        <v>1337</v>
      </c>
      <c r="D161" s="23" t="s">
        <v>1338</v>
      </c>
      <c r="E161" s="23" t="s">
        <v>1339</v>
      </c>
      <c r="F161" s="22" t="s">
        <v>1340</v>
      </c>
      <c r="G161" s="22" t="s">
        <v>1341</v>
      </c>
      <c r="H161" s="22" t="s">
        <v>1342</v>
      </c>
      <c r="I161" s="23" t="s">
        <v>1343</v>
      </c>
      <c r="J161" s="24" t="str">
        <f aca="false">IFERROR(VLOOKUP(VALUE(LEFT(C161,2)),Справочники!$A$2:$B$16,2,FALSE()),"не определён")</f>
        <v>Красноярский край</v>
      </c>
      <c r="K161" s="24" t="str">
        <f aca="false">IF(TRIM(C161)="","ИНН не указан",IF(LEN(C161)&lt;&gt;10,"ИНН: должно быть 10 цифр",IF(NOT(ISNUMBER(IFERROR(VALUE(C161),"x"))),"ИНН: есть нецифровые символы",IF(MOD(MOD(SUMPRODUCT(--MID(C161,{1,2,3,4,5,6,7,8,9},1),{2,4,10,3,5,9,4,6,8}),11),10)=VALUE(RIGHT(C161,1)),"","ИНН: неверная контрольная цифра"))))</f>
        <v/>
      </c>
      <c r="L161" s="24" t="str">
        <f aca="false">IF(TRIM(D161)="","ОГРН не указан",IF(LEN(D161)&lt;&gt;13,"ОГРН: должно быть 13 цифр",IF(NOT(ISNUMBER(IFERROR(VALUE(D161),"x"))),"ОГРН: есть нецифровые символы",IF(MOD(VALUE(LEFT(D161,12))-11*INT(VALUE(LEFT(D161,12))/11),10)=VALUE(RIGHT(D161,1)),"","ОГРН: неверная контрольная цифра"))))</f>
        <v/>
      </c>
      <c r="M161" s="24" t="str">
        <f aca="false">IF(TRIM(E161)="","КПП не указан",IF(LEN(E161)&lt;&gt;9,"КПП: должно быть 9 знаков",IF(NOT(AND(ISNUMBER(IFERROR(VALUE(LEFT(E161,4)),"x")),ISNUMBER(IFERROR(VALUE(RIGHT(E161,3)),"x")))),"КПП: неверный формат",IF(LEFT(E161,2)&lt;&gt;LEFT(C161,2),"КПП: код региона не совпадает с ИНН",""))))</f>
        <v/>
      </c>
      <c r="N161" s="24" t="str">
        <f aca="false">IF(TRIM(C161)="","",IF(COUNTIF($C$2:$C$401,C161)&gt;1,"Дубликат ИНН в реестре",""))</f>
        <v/>
      </c>
      <c r="O161" s="24" t="str">
        <f aca="false">IF(TRIM(H161)="","Email не указан",IF(AND(ISNUMBER(FIND("@",H161)),ISNUMBER(FIND(".",H161,IFERROR(FIND("@",H161),1))),ISERROR(FIND(" ",H161)),LEFT(H161,1)&lt;&gt;"@",RIGHT(H161,1)&lt;&gt;".",LEN(H161)-LEN(SUBSTITUTE(H161,"@",""))=1),"","Email: неверный формат"))</f>
        <v/>
      </c>
      <c r="P161" s="24" t="str">
        <f aca="false">IF(TRIM(I161)="","Телефон не указан",IF(AND(LEN(SUBSTITUTE(SUBSTITUTE(SUBSTITUTE(SUBSTITUTE(SUBSTITUTE(I161," ",""),"-",""),"(",""),")",""),"+",""))=11,OR(LEFT(SUBSTITUTE(SUBSTITUTE(SUBSTITUTE(SUBSTITUTE(SUBSTITUTE(I161," ",""),"-",""),"(",""),")",""),"+",""),1)="7",LEFT(SUBSTITUTE(SUBSTITUTE(SUBSTITUTE(SUBSTITUTE(SUBSTITUTE(I161," ",""),"-",""),"(",""),")",""),"+",""),1)="8"),ISNUMBER(IFERROR(VALUE(SUBSTITUTE(SUBSTITUTE(SUBSTITUTE(SUBSTITUTE(SUBSTITUTE(I161," ",""),"-",""),"(",""),")",""),"+","")),"x"))),"","Телефон: неверный формат"))</f>
        <v/>
      </c>
      <c r="Q161" s="24" t="str">
        <f aca="false">TRIM(IF(TRIM(B161)="","Нет наименования. ","")&amp;IF(TRIM(F161)="","Нет адреса. ","")&amp;IF(TRIM(G161)="","Нет контактного лица.",""))</f>
        <v/>
      </c>
      <c r="R161" s="21" t="n">
        <f aca="false">SUMPRODUCT(--(LEN(K161:Q161)&gt;0))</f>
        <v>0</v>
      </c>
      <c r="S161" s="24" t="str">
        <f aca="false">IF(R161=0,"Готово к передаче","Требует исправления")</f>
        <v>Готово к передаче</v>
      </c>
      <c r="T161" s="24" t="str">
        <f aca="false">IF(R161=0,"",_xlfn.TEXTJOIN("; ",TRUE(),K161:Q161))</f>
        <v/>
      </c>
      <c r="U161" s="24" t="str">
        <f aca="false">IF(R161=0,"","Здравствуйте! В данных организации «"&amp;B161&amp;"» обнаружены ошибки: "&amp;T161&amp;". Просим проверить и прислать исправленную информацию.")</f>
        <v/>
      </c>
      <c r="V161" s="21" t="str">
        <f aca="false">IF(R161&gt;0,COUNTIF($R$2:R161,"&gt;0"),"")</f>
        <v/>
      </c>
      <c r="W161" s="21" t="n">
        <f aca="false">IF(R161=0,COUNTIF($R$2:R161,0),"")</f>
        <v>104</v>
      </c>
    </row>
    <row r="162" customFormat="false" ht="15" hidden="false" customHeight="false" outlineLevel="0" collapsed="false">
      <c r="A162" s="21" t="n">
        <v>161</v>
      </c>
      <c r="B162" s="22" t="s">
        <v>1344</v>
      </c>
      <c r="C162" s="23" t="s">
        <v>1345</v>
      </c>
      <c r="D162" s="23" t="s">
        <v>1346</v>
      </c>
      <c r="E162" s="23" t="s">
        <v>1347</v>
      </c>
      <c r="F162" s="22" t="s">
        <v>1348</v>
      </c>
      <c r="G162" s="22" t="s">
        <v>1349</v>
      </c>
      <c r="H162" s="22" t="s">
        <v>1350</v>
      </c>
      <c r="I162" s="23" t="s">
        <v>1351</v>
      </c>
      <c r="J162" s="24" t="str">
        <f aca="false">IFERROR(VLOOKUP(VALUE(LEFT(C162,2)),Справочники!$A$2:$B$16,2,FALSE()),"не определён")</f>
        <v>Свердловская область</v>
      </c>
      <c r="K162" s="24" t="str">
        <f aca="false">IF(TRIM(C162)="","ИНН не указан",IF(LEN(C162)&lt;&gt;10,"ИНН: должно быть 10 цифр",IF(NOT(ISNUMBER(IFERROR(VALUE(C162),"x"))),"ИНН: есть нецифровые символы",IF(MOD(MOD(SUMPRODUCT(--MID(C162,{1,2,3,4,5,6,7,8,9},1),{2,4,10,3,5,9,4,6,8}),11),10)=VALUE(RIGHT(C162,1)),"","ИНН: неверная контрольная цифра"))))</f>
        <v/>
      </c>
      <c r="L162" s="24" t="str">
        <f aca="false">IF(TRIM(D162)="","ОГРН не указан",IF(LEN(D162)&lt;&gt;13,"ОГРН: должно быть 13 цифр",IF(NOT(ISNUMBER(IFERROR(VALUE(D162),"x"))),"ОГРН: есть нецифровые символы",IF(MOD(VALUE(LEFT(D162,12))-11*INT(VALUE(LEFT(D162,12))/11),10)=VALUE(RIGHT(D162,1)),"","ОГРН: неверная контрольная цифра"))))</f>
        <v/>
      </c>
      <c r="M162" s="24" t="str">
        <f aca="false">IF(TRIM(E162)="","КПП не указан",IF(LEN(E162)&lt;&gt;9,"КПП: должно быть 9 знаков",IF(NOT(AND(ISNUMBER(IFERROR(VALUE(LEFT(E162,4)),"x")),ISNUMBER(IFERROR(VALUE(RIGHT(E162,3)),"x")))),"КПП: неверный формат",IF(LEFT(E162,2)&lt;&gt;LEFT(C162,2),"КПП: код региона не совпадает с ИНН",""))))</f>
        <v/>
      </c>
      <c r="N162" s="24" t="str">
        <f aca="false">IF(TRIM(C162)="","",IF(COUNTIF($C$2:$C$401,C162)&gt;1,"Дубликат ИНН в реестре",""))</f>
        <v/>
      </c>
      <c r="O162" s="24" t="str">
        <f aca="false">IF(TRIM(H162)="","Email не указан",IF(AND(ISNUMBER(FIND("@",H162)),ISNUMBER(FIND(".",H162,IFERROR(FIND("@",H162),1))),ISERROR(FIND(" ",H162)),LEFT(H162,1)&lt;&gt;"@",RIGHT(H162,1)&lt;&gt;".",LEN(H162)-LEN(SUBSTITUTE(H162,"@",""))=1),"","Email: неверный формат"))</f>
        <v/>
      </c>
      <c r="P162" s="24" t="str">
        <f aca="false">IF(TRIM(I162)="","Телефон не указан",IF(AND(LEN(SUBSTITUTE(SUBSTITUTE(SUBSTITUTE(SUBSTITUTE(SUBSTITUTE(I162," ",""),"-",""),"(",""),")",""),"+",""))=11,OR(LEFT(SUBSTITUTE(SUBSTITUTE(SUBSTITUTE(SUBSTITUTE(SUBSTITUTE(I162," ",""),"-",""),"(",""),")",""),"+",""),1)="7",LEFT(SUBSTITUTE(SUBSTITUTE(SUBSTITUTE(SUBSTITUTE(SUBSTITUTE(I162," ",""),"-",""),"(",""),")",""),"+",""),1)="8"),ISNUMBER(IFERROR(VALUE(SUBSTITUTE(SUBSTITUTE(SUBSTITUTE(SUBSTITUTE(SUBSTITUTE(I162," ",""),"-",""),"(",""),")",""),"+","")),"x"))),"","Телефон: неверный формат"))</f>
        <v/>
      </c>
      <c r="Q162" s="24" t="str">
        <f aca="false">TRIM(IF(TRIM(B162)="","Нет наименования. ","")&amp;IF(TRIM(F162)="","Нет адреса. ","")&amp;IF(TRIM(G162)="","Нет контактного лица.",""))</f>
        <v/>
      </c>
      <c r="R162" s="21" t="n">
        <f aca="false">SUMPRODUCT(--(LEN(K162:Q162)&gt;0))</f>
        <v>0</v>
      </c>
      <c r="S162" s="24" t="str">
        <f aca="false">IF(R162=0,"Готово к передаче","Требует исправления")</f>
        <v>Готово к передаче</v>
      </c>
      <c r="T162" s="24" t="str">
        <f aca="false">IF(R162=0,"",_xlfn.TEXTJOIN("; ",TRUE(),K162:Q162))</f>
        <v/>
      </c>
      <c r="U162" s="24" t="str">
        <f aca="false">IF(R162=0,"","Здравствуйте! В данных организации «"&amp;B162&amp;"» обнаружены ошибки: "&amp;T162&amp;". Просим проверить и прислать исправленную информацию.")</f>
        <v/>
      </c>
      <c r="V162" s="21" t="str">
        <f aca="false">IF(R162&gt;0,COUNTIF($R$2:R162,"&gt;0"),"")</f>
        <v/>
      </c>
      <c r="W162" s="21" t="n">
        <f aca="false">IF(R162=0,COUNTIF($R$2:R162,0),"")</f>
        <v>105</v>
      </c>
    </row>
    <row r="163" customFormat="false" ht="15" hidden="false" customHeight="false" outlineLevel="0" collapsed="false">
      <c r="A163" s="21" t="n">
        <v>162</v>
      </c>
      <c r="B163" s="22" t="s">
        <v>1352</v>
      </c>
      <c r="C163" s="23" t="s">
        <v>1353</v>
      </c>
      <c r="D163" s="23" t="s">
        <v>1354</v>
      </c>
      <c r="E163" s="23" t="s">
        <v>1355</v>
      </c>
      <c r="F163" s="22" t="s">
        <v>1356</v>
      </c>
      <c r="G163" s="22" t="s">
        <v>1357</v>
      </c>
      <c r="H163" s="22" t="s">
        <v>1358</v>
      </c>
      <c r="I163" s="23" t="s">
        <v>1359</v>
      </c>
      <c r="J163" s="24" t="str">
        <f aca="false">IFERROR(VLOOKUP(VALUE(LEFT(C163,2)),Справочники!$A$2:$B$16,2,FALSE()),"не определён")</f>
        <v>Ростовская область</v>
      </c>
      <c r="K163" s="24" t="str">
        <f aca="false">IF(TRIM(C163)="","ИНН не указан",IF(LEN(C163)&lt;&gt;10,"ИНН: должно быть 10 цифр",IF(NOT(ISNUMBER(IFERROR(VALUE(C163),"x"))),"ИНН: есть нецифровые символы",IF(MOD(MOD(SUMPRODUCT(--MID(C163,{1,2,3,4,5,6,7,8,9},1),{2,4,10,3,5,9,4,6,8}),11),10)=VALUE(RIGHT(C163,1)),"","ИНН: неверная контрольная цифра"))))</f>
        <v>ИНН: есть нецифровые символы</v>
      </c>
      <c r="L163" s="24" t="str">
        <f aca="false">IF(TRIM(D163)="","ОГРН не указан",IF(LEN(D163)&lt;&gt;13,"ОГРН: должно быть 13 цифр",IF(NOT(ISNUMBER(IFERROR(VALUE(D163),"x"))),"ОГРН: есть нецифровые символы",IF(MOD(VALUE(LEFT(D163,12))-11*INT(VALUE(LEFT(D163,12))/11),10)=VALUE(RIGHT(D163,1)),"","ОГРН: неверная контрольная цифра"))))</f>
        <v/>
      </c>
      <c r="M163" s="24" t="str">
        <f aca="false">IF(TRIM(E163)="","КПП не указан",IF(LEN(E163)&lt;&gt;9,"КПП: должно быть 9 знаков",IF(NOT(AND(ISNUMBER(IFERROR(VALUE(LEFT(E163,4)),"x")),ISNUMBER(IFERROR(VALUE(RIGHT(E163,3)),"x")))),"КПП: неверный формат",IF(LEFT(E163,2)&lt;&gt;LEFT(C163,2),"КПП: код региона не совпадает с ИНН",""))))</f>
        <v/>
      </c>
      <c r="N163" s="24" t="str">
        <f aca="false">IF(TRIM(C163)="","",IF(COUNTIF($C$2:$C$401,C163)&gt;1,"Дубликат ИНН в реестре",""))</f>
        <v/>
      </c>
      <c r="O163" s="24" t="str">
        <f aca="false">IF(TRIM(H163)="","Email не указан",IF(AND(ISNUMBER(FIND("@",H163)),ISNUMBER(FIND(".",H163,IFERROR(FIND("@",H163),1))),ISERROR(FIND(" ",H163)),LEFT(H163,1)&lt;&gt;"@",RIGHT(H163,1)&lt;&gt;".",LEN(H163)-LEN(SUBSTITUTE(H163,"@",""))=1),"","Email: неверный формат"))</f>
        <v/>
      </c>
      <c r="P163" s="24" t="str">
        <f aca="false">IF(TRIM(I163)="","Телефон не указан",IF(AND(LEN(SUBSTITUTE(SUBSTITUTE(SUBSTITUTE(SUBSTITUTE(SUBSTITUTE(I163," ",""),"-",""),"(",""),")",""),"+",""))=11,OR(LEFT(SUBSTITUTE(SUBSTITUTE(SUBSTITUTE(SUBSTITUTE(SUBSTITUTE(I163," ",""),"-",""),"(",""),")",""),"+",""),1)="7",LEFT(SUBSTITUTE(SUBSTITUTE(SUBSTITUTE(SUBSTITUTE(SUBSTITUTE(I163," ",""),"-",""),"(",""),")",""),"+",""),1)="8"),ISNUMBER(IFERROR(VALUE(SUBSTITUTE(SUBSTITUTE(SUBSTITUTE(SUBSTITUTE(SUBSTITUTE(I163," ",""),"-",""),"(",""),")",""),"+","")),"x"))),"","Телефон: неверный формат"))</f>
        <v/>
      </c>
      <c r="Q163" s="24" t="str">
        <f aca="false">TRIM(IF(TRIM(B163)="","Нет наименования. ","")&amp;IF(TRIM(F163)="","Нет адреса. ","")&amp;IF(TRIM(G163)="","Нет контактного лица.",""))</f>
        <v/>
      </c>
      <c r="R163" s="21" t="n">
        <f aca="false">SUMPRODUCT(--(LEN(K163:Q163)&gt;0))</f>
        <v>1</v>
      </c>
      <c r="S163" s="24" t="str">
        <f aca="false">IF(R163=0,"Готово к передаче","Требует исправления")</f>
        <v>Требует исправления</v>
      </c>
      <c r="T163" s="24" t="str">
        <f aca="false">IF(R163=0,"",_xlfn.TEXTJOIN("; ",TRUE(),K163:Q163))</f>
        <v>ИНН: есть нецифровые символы</v>
      </c>
      <c r="U163" s="24" t="str">
        <f aca="false">IF(R163=0,"","Здравствуйте! В данных организации «"&amp;B163&amp;"» обнаружены ошибки: "&amp;T163&amp;". Просим проверить и прислать исправленную информацию.")</f>
        <v>Здравствуйте! В данных организации «АО «Юпитер Технологии»» обнаружены ошибки: ИНН: есть нецифровые символы. Просим проверить и прислать исправленную информацию.</v>
      </c>
      <c r="V163" s="21" t="n">
        <f aca="false">IF(R163&gt;0,COUNTIF($R$2:R163,"&gt;0"),"")</f>
        <v>57</v>
      </c>
      <c r="W163" s="21" t="str">
        <f aca="false">IF(R163=0,COUNTIF($R$2:R163,0),"")</f>
        <v/>
      </c>
    </row>
    <row r="164" customFormat="false" ht="15" hidden="false" customHeight="false" outlineLevel="0" collapsed="false">
      <c r="A164" s="21" t="n">
        <v>163</v>
      </c>
      <c r="B164" s="22" t="s">
        <v>1360</v>
      </c>
      <c r="C164" s="23" t="s">
        <v>1361</v>
      </c>
      <c r="D164" s="23" t="s">
        <v>1362</v>
      </c>
      <c r="E164" s="23" t="s">
        <v>1363</v>
      </c>
      <c r="F164" s="22" t="s">
        <v>1364</v>
      </c>
      <c r="G164" s="22"/>
      <c r="H164" s="22" t="s">
        <v>1365</v>
      </c>
      <c r="I164" s="23" t="s">
        <v>1366</v>
      </c>
      <c r="J164" s="24" t="str">
        <f aca="false">IFERROR(VLOOKUP(VALUE(LEFT(C164,2)),Справочники!$A$2:$B$16,2,FALSE()),"не определён")</f>
        <v>Ростовская область</v>
      </c>
      <c r="K164" s="24" t="str">
        <f aca="false">IF(TRIM(C164)="","ИНН не указан",IF(LEN(C164)&lt;&gt;10,"ИНН: должно быть 10 цифр",IF(NOT(ISNUMBER(IFERROR(VALUE(C164),"x"))),"ИНН: есть нецифровые символы",IF(MOD(MOD(SUMPRODUCT(--MID(C164,{1,2,3,4,5,6,7,8,9},1),{2,4,10,3,5,9,4,6,8}),11),10)=VALUE(RIGHT(C164,1)),"","ИНН: неверная контрольная цифра"))))</f>
        <v/>
      </c>
      <c r="L164" s="24" t="str">
        <f aca="false">IF(TRIM(D164)="","ОГРН не указан",IF(LEN(D164)&lt;&gt;13,"ОГРН: должно быть 13 цифр",IF(NOT(ISNUMBER(IFERROR(VALUE(D164),"x"))),"ОГРН: есть нецифровые символы",IF(MOD(VALUE(LEFT(D164,12))-11*INT(VALUE(LEFT(D164,12))/11),10)=VALUE(RIGHT(D164,1)),"","ОГРН: неверная контрольная цифра"))))</f>
        <v/>
      </c>
      <c r="M164" s="24" t="str">
        <f aca="false">IF(TRIM(E164)="","КПП не указан",IF(LEN(E164)&lt;&gt;9,"КПП: должно быть 9 знаков",IF(NOT(AND(ISNUMBER(IFERROR(VALUE(LEFT(E164,4)),"x")),ISNUMBER(IFERROR(VALUE(RIGHT(E164,3)),"x")))),"КПП: неверный формат",IF(LEFT(E164,2)&lt;&gt;LEFT(C164,2),"КПП: код региона не совпадает с ИНН",""))))</f>
        <v>КПП: должно быть 9 знаков</v>
      </c>
      <c r="N164" s="24" t="str">
        <f aca="false">IF(TRIM(C164)="","",IF(COUNTIF($C$2:$C$401,C164)&gt;1,"Дубликат ИНН в реестре",""))</f>
        <v/>
      </c>
      <c r="O164" s="24" t="str">
        <f aca="false">IF(TRIM(H164)="","Email не указан",IF(AND(ISNUMBER(FIND("@",H164)),ISNUMBER(FIND(".",H164,IFERROR(FIND("@",H164),1))),ISERROR(FIND(" ",H164)),LEFT(H164,1)&lt;&gt;"@",RIGHT(H164,1)&lt;&gt;".",LEN(H164)-LEN(SUBSTITUTE(H164,"@",""))=1),"","Email: неверный формат"))</f>
        <v/>
      </c>
      <c r="P164" s="24" t="str">
        <f aca="false">IF(TRIM(I164)="","Телефон не указан",IF(AND(LEN(SUBSTITUTE(SUBSTITUTE(SUBSTITUTE(SUBSTITUTE(SUBSTITUTE(I164," ",""),"-",""),"(",""),")",""),"+",""))=11,OR(LEFT(SUBSTITUTE(SUBSTITUTE(SUBSTITUTE(SUBSTITUTE(SUBSTITUTE(I164," ",""),"-",""),"(",""),")",""),"+",""),1)="7",LEFT(SUBSTITUTE(SUBSTITUTE(SUBSTITUTE(SUBSTITUTE(SUBSTITUTE(I164," ",""),"-",""),"(",""),")",""),"+",""),1)="8"),ISNUMBER(IFERROR(VALUE(SUBSTITUTE(SUBSTITUTE(SUBSTITUTE(SUBSTITUTE(SUBSTITUTE(I164," ",""),"-",""),"(",""),")",""),"+","")),"x"))),"","Телефон: неверный формат"))</f>
        <v/>
      </c>
      <c r="Q164" s="24" t="str">
        <f aca="false">TRIM(IF(TRIM(B164)="","Нет наименования. ","")&amp;IF(TRIM(F164)="","Нет адреса. ","")&amp;IF(TRIM(G164)="","Нет контактного лица.",""))</f>
        <v>Нет контактного лица.</v>
      </c>
      <c r="R164" s="21" t="n">
        <f aca="false">SUMPRODUCT(--(LEN(K164:Q164)&gt;0))</f>
        <v>2</v>
      </c>
      <c r="S164" s="24" t="str">
        <f aca="false">IF(R164=0,"Готово к передаче","Требует исправления")</f>
        <v>Требует исправления</v>
      </c>
      <c r="T164" s="24" t="str">
        <f aca="false">IF(R164=0,"",_xlfn.TEXTJOIN("; ",TRUE(),K164:Q164))</f>
        <v>КПП: должно быть 9 знаков; Нет контактного лица.</v>
      </c>
      <c r="U164" s="24" t="str">
        <f aca="false">IF(R164=0,"","Здравствуйте! В данных организации «"&amp;B164&amp;"» обнаружены ошибки: "&amp;T164&amp;". Просим проверить и прислать исправленную информацию.")</f>
        <v>Здравствуйте! В данных организации «АО «Радуга Пласт»» обнаружены ошибки: КПП: должно быть 9 знаков; Нет контактного лица.. Просим проверить и прислать исправленную информацию.</v>
      </c>
      <c r="V164" s="21" t="n">
        <f aca="false">IF(R164&gt;0,COUNTIF($R$2:R164,"&gt;0"),"")</f>
        <v>58</v>
      </c>
      <c r="W164" s="21" t="str">
        <f aca="false">IF(R164=0,COUNTIF($R$2:R164,0),"")</f>
        <v/>
      </c>
    </row>
    <row r="165" customFormat="false" ht="15" hidden="false" customHeight="false" outlineLevel="0" collapsed="false">
      <c r="A165" s="21" t="n">
        <v>164</v>
      </c>
      <c r="B165" s="22" t="s">
        <v>1367</v>
      </c>
      <c r="C165" s="23" t="s">
        <v>1368</v>
      </c>
      <c r="D165" s="23" t="s">
        <v>1369</v>
      </c>
      <c r="E165" s="23" t="s">
        <v>1370</v>
      </c>
      <c r="F165" s="22" t="s">
        <v>1371</v>
      </c>
      <c r="G165" s="22" t="s">
        <v>1372</v>
      </c>
      <c r="H165" s="22" t="s">
        <v>1373</v>
      </c>
      <c r="I165" s="23" t="s">
        <v>1374</v>
      </c>
      <c r="J165" s="24" t="str">
        <f aca="false">IFERROR(VLOOKUP(VALUE(LEFT(C165,2)),Справочники!$A$2:$B$16,2,FALSE()),"не определён")</f>
        <v>Свердловская область</v>
      </c>
      <c r="K165" s="24" t="str">
        <f aca="false">IF(TRIM(C165)="","ИНН не указан",IF(LEN(C165)&lt;&gt;10,"ИНН: должно быть 10 цифр",IF(NOT(ISNUMBER(IFERROR(VALUE(C165),"x"))),"ИНН: есть нецифровые символы",IF(MOD(MOD(SUMPRODUCT(--MID(C165,{1,2,3,4,5,6,7,8,9},1),{2,4,10,3,5,9,4,6,8}),11),10)=VALUE(RIGHT(C165,1)),"","ИНН: неверная контрольная цифра"))))</f>
        <v/>
      </c>
      <c r="L165" s="24" t="str">
        <f aca="false">IF(TRIM(D165)="","ОГРН не указан",IF(LEN(D165)&lt;&gt;13,"ОГРН: должно быть 13 цифр",IF(NOT(ISNUMBER(IFERROR(VALUE(D165),"x"))),"ОГРН: есть нецифровые символы",IF(MOD(VALUE(LEFT(D165,12))-11*INT(VALUE(LEFT(D165,12))/11),10)=VALUE(RIGHT(D165,1)),"","ОГРН: неверная контрольная цифра"))))</f>
        <v/>
      </c>
      <c r="M165" s="24" t="str">
        <f aca="false">IF(TRIM(E165)="","КПП не указан",IF(LEN(E165)&lt;&gt;9,"КПП: должно быть 9 знаков",IF(NOT(AND(ISNUMBER(IFERROR(VALUE(LEFT(E165,4)),"x")),ISNUMBER(IFERROR(VALUE(RIGHT(E165,3)),"x")))),"КПП: неверный формат",IF(LEFT(E165,2)&lt;&gt;LEFT(C165,2),"КПП: код региона не совпадает с ИНН",""))))</f>
        <v/>
      </c>
      <c r="N165" s="24" t="str">
        <f aca="false">IF(TRIM(C165)="","",IF(COUNTIF($C$2:$C$401,C165)&gt;1,"Дубликат ИНН в реестре",""))</f>
        <v/>
      </c>
      <c r="O165" s="24" t="str">
        <f aca="false">IF(TRIM(H165)="","Email не указан",IF(AND(ISNUMBER(FIND("@",H165)),ISNUMBER(FIND(".",H165,IFERROR(FIND("@",H165),1))),ISERROR(FIND(" ",H165)),LEFT(H165,1)&lt;&gt;"@",RIGHT(H165,1)&lt;&gt;".",LEN(H165)-LEN(SUBSTITUTE(H165,"@",""))=1),"","Email: неверный формат"))</f>
        <v/>
      </c>
      <c r="P165" s="24" t="str">
        <f aca="false">IF(TRIM(I165)="","Телефон не указан",IF(AND(LEN(SUBSTITUTE(SUBSTITUTE(SUBSTITUTE(SUBSTITUTE(SUBSTITUTE(I165," ",""),"-",""),"(",""),")",""),"+",""))=11,OR(LEFT(SUBSTITUTE(SUBSTITUTE(SUBSTITUTE(SUBSTITUTE(SUBSTITUTE(I165," ",""),"-",""),"(",""),")",""),"+",""),1)="7",LEFT(SUBSTITUTE(SUBSTITUTE(SUBSTITUTE(SUBSTITUTE(SUBSTITUTE(I165," ",""),"-",""),"(",""),")",""),"+",""),1)="8"),ISNUMBER(IFERROR(VALUE(SUBSTITUTE(SUBSTITUTE(SUBSTITUTE(SUBSTITUTE(SUBSTITUTE(I165," ",""),"-",""),"(",""),")",""),"+","")),"x"))),"","Телефон: неверный формат"))</f>
        <v/>
      </c>
      <c r="Q165" s="24" t="str">
        <f aca="false">TRIM(IF(TRIM(B165)="","Нет наименования. ","")&amp;IF(TRIM(F165)="","Нет адреса. ","")&amp;IF(TRIM(G165)="","Нет контактного лица.",""))</f>
        <v/>
      </c>
      <c r="R165" s="21" t="n">
        <f aca="false">SUMPRODUCT(--(LEN(K165:Q165)&gt;0))</f>
        <v>0</v>
      </c>
      <c r="S165" s="24" t="str">
        <f aca="false">IF(R165=0,"Готово к передаче","Требует исправления")</f>
        <v>Готово к передаче</v>
      </c>
      <c r="T165" s="24" t="str">
        <f aca="false">IF(R165=0,"",_xlfn.TEXTJOIN("; ",TRUE(),K165:Q165))</f>
        <v/>
      </c>
      <c r="U165" s="24" t="str">
        <f aca="false">IF(R165=0,"","Здравствуйте! В данных организации «"&amp;B165&amp;"» обнаружены ошибки: "&amp;T165&amp;". Просим проверить и прислать исправленную информацию.")</f>
        <v/>
      </c>
      <c r="V165" s="21" t="str">
        <f aca="false">IF(R165&gt;0,COUNTIF($R$2:R165,"&gt;0"),"")</f>
        <v/>
      </c>
      <c r="W165" s="21" t="n">
        <f aca="false">IF(R165=0,COUNTIF($R$2:R165,0),"")</f>
        <v>106</v>
      </c>
    </row>
    <row r="166" customFormat="false" ht="15" hidden="false" customHeight="false" outlineLevel="0" collapsed="false">
      <c r="A166" s="21" t="n">
        <v>165</v>
      </c>
      <c r="B166" s="22" t="s">
        <v>1375</v>
      </c>
      <c r="C166" s="23" t="s">
        <v>1376</v>
      </c>
      <c r="D166" s="23" t="s">
        <v>1377</v>
      </c>
      <c r="E166" s="23" t="s">
        <v>1378</v>
      </c>
      <c r="F166" s="22" t="s">
        <v>1379</v>
      </c>
      <c r="G166" s="22" t="s">
        <v>1380</v>
      </c>
      <c r="H166" s="22" t="s">
        <v>1381</v>
      </c>
      <c r="I166" s="23" t="s">
        <v>1382</v>
      </c>
      <c r="J166" s="24" t="str">
        <f aca="false">IFERROR(VLOOKUP(VALUE(LEFT(C166,2)),Справочники!$A$2:$B$16,2,FALSE()),"не определён")</f>
        <v>Московская область</v>
      </c>
      <c r="K166" s="24" t="str">
        <f aca="false">IF(TRIM(C166)="","ИНН не указан",IF(LEN(C166)&lt;&gt;10,"ИНН: должно быть 10 цифр",IF(NOT(ISNUMBER(IFERROR(VALUE(C166),"x"))),"ИНН: есть нецифровые символы",IF(MOD(MOD(SUMPRODUCT(--MID(C166,{1,2,3,4,5,6,7,8,9},1),{2,4,10,3,5,9,4,6,8}),11),10)=VALUE(RIGHT(C166,1)),"","ИНН: неверная контрольная цифра"))))</f>
        <v/>
      </c>
      <c r="L166" s="24" t="str">
        <f aca="false">IF(TRIM(D166)="","ОГРН не указан",IF(LEN(D166)&lt;&gt;13,"ОГРН: должно быть 13 цифр",IF(NOT(ISNUMBER(IFERROR(VALUE(D166),"x"))),"ОГРН: есть нецифровые символы",IF(MOD(VALUE(LEFT(D166,12))-11*INT(VALUE(LEFT(D166,12))/11),10)=VALUE(RIGHT(D166,1)),"","ОГРН: неверная контрольная цифра"))))</f>
        <v/>
      </c>
      <c r="M166" s="24" t="str">
        <f aca="false">IF(TRIM(E166)="","КПП не указан",IF(LEN(E166)&lt;&gt;9,"КПП: должно быть 9 знаков",IF(NOT(AND(ISNUMBER(IFERROR(VALUE(LEFT(E166,4)),"x")),ISNUMBER(IFERROR(VALUE(RIGHT(E166,3)),"x")))),"КПП: неверный формат",IF(LEFT(E166,2)&lt;&gt;LEFT(C166,2),"КПП: код региона не совпадает с ИНН",""))))</f>
        <v/>
      </c>
      <c r="N166" s="24" t="str">
        <f aca="false">IF(TRIM(C166)="","",IF(COUNTIF($C$2:$C$401,C166)&gt;1,"Дубликат ИНН в реестре",""))</f>
        <v/>
      </c>
      <c r="O166" s="24" t="str">
        <f aca="false">IF(TRIM(H166)="","Email не указан",IF(AND(ISNUMBER(FIND("@",H166)),ISNUMBER(FIND(".",H166,IFERROR(FIND("@",H166),1))),ISERROR(FIND(" ",H166)),LEFT(H166,1)&lt;&gt;"@",RIGHT(H166,1)&lt;&gt;".",LEN(H166)-LEN(SUBSTITUTE(H166,"@",""))=1),"","Email: неверный формат"))</f>
        <v/>
      </c>
      <c r="P166" s="24" t="str">
        <f aca="false">IF(TRIM(I166)="","Телефон не указан",IF(AND(LEN(SUBSTITUTE(SUBSTITUTE(SUBSTITUTE(SUBSTITUTE(SUBSTITUTE(I166," ",""),"-",""),"(",""),")",""),"+",""))=11,OR(LEFT(SUBSTITUTE(SUBSTITUTE(SUBSTITUTE(SUBSTITUTE(SUBSTITUTE(I166," ",""),"-",""),"(",""),")",""),"+",""),1)="7",LEFT(SUBSTITUTE(SUBSTITUTE(SUBSTITUTE(SUBSTITUTE(SUBSTITUTE(I166," ",""),"-",""),"(",""),")",""),"+",""),1)="8"),ISNUMBER(IFERROR(VALUE(SUBSTITUTE(SUBSTITUTE(SUBSTITUTE(SUBSTITUTE(SUBSTITUTE(I166," ",""),"-",""),"(",""),")",""),"+","")),"x"))),"","Телефон: неверный формат"))</f>
        <v/>
      </c>
      <c r="Q166" s="24" t="str">
        <f aca="false">TRIM(IF(TRIM(B166)="","Нет наименования. ","")&amp;IF(TRIM(F166)="","Нет адреса. ","")&amp;IF(TRIM(G166)="","Нет контактного лица.",""))</f>
        <v/>
      </c>
      <c r="R166" s="21" t="n">
        <f aca="false">SUMPRODUCT(--(LEN(K166:Q166)&gt;0))</f>
        <v>0</v>
      </c>
      <c r="S166" s="24" t="str">
        <f aca="false">IF(R166=0,"Готово к передаче","Требует исправления")</f>
        <v>Готово к передаче</v>
      </c>
      <c r="T166" s="24" t="str">
        <f aca="false">IF(R166=0,"",_xlfn.TEXTJOIN("; ",TRUE(),K166:Q166))</f>
        <v/>
      </c>
      <c r="U166" s="24" t="str">
        <f aca="false">IF(R166=0,"","Здравствуйте! В данных организации «"&amp;B166&amp;"» обнаружены ошибки: "&amp;T166&amp;". Просим проверить и прислать исправленную информацию.")</f>
        <v/>
      </c>
      <c r="V166" s="21" t="str">
        <f aca="false">IF(R166&gt;0,COUNTIF($R$2:R166,"&gt;0"),"")</f>
        <v/>
      </c>
      <c r="W166" s="21" t="n">
        <f aca="false">IF(R166=0,COUNTIF($R$2:R166,0),"")</f>
        <v>107</v>
      </c>
    </row>
    <row r="167" customFormat="false" ht="15" hidden="false" customHeight="false" outlineLevel="0" collapsed="false">
      <c r="A167" s="21" t="n">
        <v>166</v>
      </c>
      <c r="B167" s="22" t="s">
        <v>1383</v>
      </c>
      <c r="C167" s="23" t="s">
        <v>1384</v>
      </c>
      <c r="D167" s="23" t="s">
        <v>1385</v>
      </c>
      <c r="E167" s="23" t="s">
        <v>1141</v>
      </c>
      <c r="F167" s="22" t="s">
        <v>1386</v>
      </c>
      <c r="G167" s="22" t="s">
        <v>1387</v>
      </c>
      <c r="H167" s="22" t="s">
        <v>1388</v>
      </c>
      <c r="I167" s="23" t="s">
        <v>1389</v>
      </c>
      <c r="J167" s="24" t="str">
        <f aca="false">IFERROR(VLOOKUP(VALUE(LEFT(C167,2)),Справочники!$A$2:$B$16,2,FALSE()),"не определён")</f>
        <v>Республика Башкортостан</v>
      </c>
      <c r="K167" s="24" t="str">
        <f aca="false">IF(TRIM(C167)="","ИНН не указан",IF(LEN(C167)&lt;&gt;10,"ИНН: должно быть 10 цифр",IF(NOT(ISNUMBER(IFERROR(VALUE(C167),"x"))),"ИНН: есть нецифровые символы",IF(MOD(MOD(SUMPRODUCT(--MID(C167,{1,2,3,4,5,6,7,8,9},1),{2,4,10,3,5,9,4,6,8}),11),10)=VALUE(RIGHT(C167,1)),"","ИНН: неверная контрольная цифра"))))</f>
        <v/>
      </c>
      <c r="L167" s="24" t="str">
        <f aca="false">IF(TRIM(D167)="","ОГРН не указан",IF(LEN(D167)&lt;&gt;13,"ОГРН: должно быть 13 цифр",IF(NOT(ISNUMBER(IFERROR(VALUE(D167),"x"))),"ОГРН: есть нецифровые символы",IF(MOD(VALUE(LEFT(D167,12))-11*INT(VALUE(LEFT(D167,12))/11),10)=VALUE(RIGHT(D167,1)),"","ОГРН: неверная контрольная цифра"))))</f>
        <v/>
      </c>
      <c r="M167" s="24" t="str">
        <f aca="false">IF(TRIM(E167)="","КПП не указан",IF(LEN(E167)&lt;&gt;9,"КПП: должно быть 9 знаков",IF(NOT(AND(ISNUMBER(IFERROR(VALUE(LEFT(E167,4)),"x")),ISNUMBER(IFERROR(VALUE(RIGHT(E167,3)),"x")))),"КПП: неверный формат",IF(LEFT(E167,2)&lt;&gt;LEFT(C167,2),"КПП: код региона не совпадает с ИНН",""))))</f>
        <v/>
      </c>
      <c r="N167" s="24" t="str">
        <f aca="false">IF(TRIM(C167)="","",IF(COUNTIF($C$2:$C$401,C167)&gt;1,"Дубликат ИНН в реестре",""))</f>
        <v/>
      </c>
      <c r="O167" s="24" t="str">
        <f aca="false">IF(TRIM(H167)="","Email не указан",IF(AND(ISNUMBER(FIND("@",H167)),ISNUMBER(FIND(".",H167,IFERROR(FIND("@",H167),1))),ISERROR(FIND(" ",H167)),LEFT(H167,1)&lt;&gt;"@",RIGHT(H167,1)&lt;&gt;".",LEN(H167)-LEN(SUBSTITUTE(H167,"@",""))=1),"","Email: неверный формат"))</f>
        <v/>
      </c>
      <c r="P167" s="24" t="str">
        <f aca="false">IF(TRIM(I167)="","Телефон не указан",IF(AND(LEN(SUBSTITUTE(SUBSTITUTE(SUBSTITUTE(SUBSTITUTE(SUBSTITUTE(I167," ",""),"-",""),"(",""),")",""),"+",""))=11,OR(LEFT(SUBSTITUTE(SUBSTITUTE(SUBSTITUTE(SUBSTITUTE(SUBSTITUTE(I167," ",""),"-",""),"(",""),")",""),"+",""),1)="7",LEFT(SUBSTITUTE(SUBSTITUTE(SUBSTITUTE(SUBSTITUTE(SUBSTITUTE(I167," ",""),"-",""),"(",""),")",""),"+",""),1)="8"),ISNUMBER(IFERROR(VALUE(SUBSTITUTE(SUBSTITUTE(SUBSTITUTE(SUBSTITUTE(SUBSTITUTE(I167," ",""),"-",""),"(",""),")",""),"+","")),"x"))),"","Телефон: неверный формат"))</f>
        <v/>
      </c>
      <c r="Q167" s="24" t="str">
        <f aca="false">TRIM(IF(TRIM(B167)="","Нет наименования. ","")&amp;IF(TRIM(F167)="","Нет адреса. ","")&amp;IF(TRIM(G167)="","Нет контактного лица.",""))</f>
        <v/>
      </c>
      <c r="R167" s="21" t="n">
        <f aca="false">SUMPRODUCT(--(LEN(K167:Q167)&gt;0))</f>
        <v>0</v>
      </c>
      <c r="S167" s="24" t="str">
        <f aca="false">IF(R167=0,"Готово к передаче","Требует исправления")</f>
        <v>Готово к передаче</v>
      </c>
      <c r="T167" s="24" t="str">
        <f aca="false">IF(R167=0,"",_xlfn.TEXTJOIN("; ",TRUE(),K167:Q167))</f>
        <v/>
      </c>
      <c r="U167" s="24" t="str">
        <f aca="false">IF(R167=0,"","Здравствуйте! В данных организации «"&amp;B167&amp;"» обнаружены ошибки: "&amp;T167&amp;". Просим проверить и прислать исправленную информацию.")</f>
        <v/>
      </c>
      <c r="V167" s="21" t="str">
        <f aca="false">IF(R167&gt;0,COUNTIF($R$2:R167,"&gt;0"),"")</f>
        <v/>
      </c>
      <c r="W167" s="21" t="n">
        <f aca="false">IF(R167=0,COUNTIF($R$2:R167,0),"")</f>
        <v>108</v>
      </c>
    </row>
    <row r="168" customFormat="false" ht="15" hidden="false" customHeight="false" outlineLevel="0" collapsed="false">
      <c r="A168" s="21" t="n">
        <v>167</v>
      </c>
      <c r="B168" s="22" t="s">
        <v>1390</v>
      </c>
      <c r="C168" s="23" t="s">
        <v>1391</v>
      </c>
      <c r="D168" s="23" t="s">
        <v>1392</v>
      </c>
      <c r="E168" s="23" t="s">
        <v>1393</v>
      </c>
      <c r="F168" s="22" t="s">
        <v>1394</v>
      </c>
      <c r="G168" s="22" t="s">
        <v>1395</v>
      </c>
      <c r="H168" s="22" t="s">
        <v>1396</v>
      </c>
      <c r="I168" s="23" t="s">
        <v>1397</v>
      </c>
      <c r="J168" s="24" t="str">
        <f aca="false">IFERROR(VLOOKUP(VALUE(LEFT(C168,2)),Справочники!$A$2:$B$16,2,FALSE()),"не определён")</f>
        <v>г. Москва</v>
      </c>
      <c r="K168" s="24" t="str">
        <f aca="false">IF(TRIM(C168)="","ИНН не указан",IF(LEN(C168)&lt;&gt;10,"ИНН: должно быть 10 цифр",IF(NOT(ISNUMBER(IFERROR(VALUE(C168),"x"))),"ИНН: есть нецифровые символы",IF(MOD(MOD(SUMPRODUCT(--MID(C168,{1,2,3,4,5,6,7,8,9},1),{2,4,10,3,5,9,4,6,8}),11),10)=VALUE(RIGHT(C168,1)),"","ИНН: неверная контрольная цифра"))))</f>
        <v/>
      </c>
      <c r="L168" s="24" t="str">
        <f aca="false">IF(TRIM(D168)="","ОГРН не указан",IF(LEN(D168)&lt;&gt;13,"ОГРН: должно быть 13 цифр",IF(NOT(ISNUMBER(IFERROR(VALUE(D168),"x"))),"ОГРН: есть нецифровые символы",IF(MOD(VALUE(LEFT(D168,12))-11*INT(VALUE(LEFT(D168,12))/11),10)=VALUE(RIGHT(D168,1)),"","ОГРН: неверная контрольная цифра"))))</f>
        <v/>
      </c>
      <c r="M168" s="24" t="str">
        <f aca="false">IF(TRIM(E168)="","КПП не указан",IF(LEN(E168)&lt;&gt;9,"КПП: должно быть 9 знаков",IF(NOT(AND(ISNUMBER(IFERROR(VALUE(LEFT(E168,4)),"x")),ISNUMBER(IFERROR(VALUE(RIGHT(E168,3)),"x")))),"КПП: неверный формат",IF(LEFT(E168,2)&lt;&gt;LEFT(C168,2),"КПП: код региона не совпадает с ИНН",""))))</f>
        <v>КПП: код региона не совпадает с ИНН</v>
      </c>
      <c r="N168" s="24" t="str">
        <f aca="false">IF(TRIM(C168)="","",IF(COUNTIF($C$2:$C$401,C168)&gt;1,"Дубликат ИНН в реестре",""))</f>
        <v/>
      </c>
      <c r="O168" s="24" t="str">
        <f aca="false">IF(TRIM(H168)="","Email не указан",IF(AND(ISNUMBER(FIND("@",H168)),ISNUMBER(FIND(".",H168,IFERROR(FIND("@",H168),1))),ISERROR(FIND(" ",H168)),LEFT(H168,1)&lt;&gt;"@",RIGHT(H168,1)&lt;&gt;".",LEN(H168)-LEN(SUBSTITUTE(H168,"@",""))=1),"","Email: неверный формат"))</f>
        <v/>
      </c>
      <c r="P168" s="24" t="str">
        <f aca="false">IF(TRIM(I168)="","Телефон не указан",IF(AND(LEN(SUBSTITUTE(SUBSTITUTE(SUBSTITUTE(SUBSTITUTE(SUBSTITUTE(I168," ",""),"-",""),"(",""),")",""),"+",""))=11,OR(LEFT(SUBSTITUTE(SUBSTITUTE(SUBSTITUTE(SUBSTITUTE(SUBSTITUTE(I168," ",""),"-",""),"(",""),")",""),"+",""),1)="7",LEFT(SUBSTITUTE(SUBSTITUTE(SUBSTITUTE(SUBSTITUTE(SUBSTITUTE(I168," ",""),"-",""),"(",""),")",""),"+",""),1)="8"),ISNUMBER(IFERROR(VALUE(SUBSTITUTE(SUBSTITUTE(SUBSTITUTE(SUBSTITUTE(SUBSTITUTE(I168," ",""),"-",""),"(",""),")",""),"+","")),"x"))),"","Телефон: неверный формат"))</f>
        <v/>
      </c>
      <c r="Q168" s="24" t="str">
        <f aca="false">TRIM(IF(TRIM(B168)="","Нет наименования. ","")&amp;IF(TRIM(F168)="","Нет адреса. ","")&amp;IF(TRIM(G168)="","Нет контактного лица.",""))</f>
        <v/>
      </c>
      <c r="R168" s="21" t="n">
        <f aca="false">SUMPRODUCT(--(LEN(K168:Q168)&gt;0))</f>
        <v>1</v>
      </c>
      <c r="S168" s="24" t="str">
        <f aca="false">IF(R168=0,"Готово к передаче","Требует исправления")</f>
        <v>Требует исправления</v>
      </c>
      <c r="T168" s="24" t="str">
        <f aca="false">IF(R168=0,"",_xlfn.TEXTJOIN("; ",TRUE(),K168:Q168))</f>
        <v>КПП: код региона не совпадает с ИНН</v>
      </c>
      <c r="U168" s="24" t="str">
        <f aca="false">IF(R168=0,"","Здравствуйте! В данных организации «"&amp;B168&amp;"» обнаружены ошибки: "&amp;T168&amp;". Просим проверить и прислать исправленную информацию.")</f>
        <v>Здравствуйте! В данных организации «АО «Эталон Логистик»» обнаружены ошибки: КПП: код региона не совпадает с ИНН. Просим проверить и прислать исправленную информацию.</v>
      </c>
      <c r="V168" s="21" t="n">
        <f aca="false">IF(R168&gt;0,COUNTIF($R$2:R168,"&gt;0"),"")</f>
        <v>59</v>
      </c>
      <c r="W168" s="21" t="str">
        <f aca="false">IF(R168=0,COUNTIF($R$2:R168,0),"")</f>
        <v/>
      </c>
    </row>
    <row r="169" customFormat="false" ht="15" hidden="false" customHeight="false" outlineLevel="0" collapsed="false">
      <c r="A169" s="21" t="n">
        <v>168</v>
      </c>
      <c r="B169" s="22" t="s">
        <v>1398</v>
      </c>
      <c r="C169" s="23" t="s">
        <v>1399</v>
      </c>
      <c r="D169" s="23"/>
      <c r="E169" s="23" t="s">
        <v>1400</v>
      </c>
      <c r="F169" s="22" t="s">
        <v>1401</v>
      </c>
      <c r="G169" s="22" t="s">
        <v>1402</v>
      </c>
      <c r="H169" s="22" t="s">
        <v>1403</v>
      </c>
      <c r="I169" s="23" t="s">
        <v>1404</v>
      </c>
      <c r="J169" s="24" t="str">
        <f aca="false">IFERROR(VLOOKUP(VALUE(LEFT(C169,2)),Справочники!$A$2:$B$16,2,FALSE()),"не определён")</f>
        <v>Самарская область</v>
      </c>
      <c r="K169" s="24" t="str">
        <f aca="false">IF(TRIM(C169)="","ИНН не указан",IF(LEN(C169)&lt;&gt;10,"ИНН: должно быть 10 цифр",IF(NOT(ISNUMBER(IFERROR(VALUE(C169),"x"))),"ИНН: есть нецифровые символы",IF(MOD(MOD(SUMPRODUCT(--MID(C169,{1,2,3,4,5,6,7,8,9},1),{2,4,10,3,5,9,4,6,8}),11),10)=VALUE(RIGHT(C169,1)),"","ИНН: неверная контрольная цифра"))))</f>
        <v/>
      </c>
      <c r="L169" s="24" t="str">
        <f aca="false">IF(TRIM(D169)="","ОГРН не указан",IF(LEN(D169)&lt;&gt;13,"ОГРН: должно быть 13 цифр",IF(NOT(ISNUMBER(IFERROR(VALUE(D169),"x"))),"ОГРН: есть нецифровые символы",IF(MOD(VALUE(LEFT(D169,12))-11*INT(VALUE(LEFT(D169,12))/11),10)=VALUE(RIGHT(D169,1)),"","ОГРН: неверная контрольная цифра"))))</f>
        <v>ОГРН не указан</v>
      </c>
      <c r="M169" s="24" t="str">
        <f aca="false">IF(TRIM(E169)="","КПП не указан",IF(LEN(E169)&lt;&gt;9,"КПП: должно быть 9 знаков",IF(NOT(AND(ISNUMBER(IFERROR(VALUE(LEFT(E169,4)),"x")),ISNUMBER(IFERROR(VALUE(RIGHT(E169,3)),"x")))),"КПП: неверный формат",IF(LEFT(E169,2)&lt;&gt;LEFT(C169,2),"КПП: код региона не совпадает с ИНН",""))))</f>
        <v/>
      </c>
      <c r="N169" s="24" t="str">
        <f aca="false">IF(TRIM(C169)="","",IF(COUNTIF($C$2:$C$401,C169)&gt;1,"Дубликат ИНН в реестре",""))</f>
        <v/>
      </c>
      <c r="O169" s="24" t="str">
        <f aca="false">IF(TRIM(H169)="","Email не указан",IF(AND(ISNUMBER(FIND("@",H169)),ISNUMBER(FIND(".",H169,IFERROR(FIND("@",H169),1))),ISERROR(FIND(" ",H169)),LEFT(H169,1)&lt;&gt;"@",RIGHT(H169,1)&lt;&gt;".",LEN(H169)-LEN(SUBSTITUTE(H169,"@",""))=1),"","Email: неверный формат"))</f>
        <v/>
      </c>
      <c r="P169" s="24" t="str">
        <f aca="false">IF(TRIM(I169)="","Телефон не указан",IF(AND(LEN(SUBSTITUTE(SUBSTITUTE(SUBSTITUTE(SUBSTITUTE(SUBSTITUTE(I169," ",""),"-",""),"(",""),")",""),"+",""))=11,OR(LEFT(SUBSTITUTE(SUBSTITUTE(SUBSTITUTE(SUBSTITUTE(SUBSTITUTE(I169," ",""),"-",""),"(",""),")",""),"+",""),1)="7",LEFT(SUBSTITUTE(SUBSTITUTE(SUBSTITUTE(SUBSTITUTE(SUBSTITUTE(I169," ",""),"-",""),"(",""),")",""),"+",""),1)="8"),ISNUMBER(IFERROR(VALUE(SUBSTITUTE(SUBSTITUTE(SUBSTITUTE(SUBSTITUTE(SUBSTITUTE(I169," ",""),"-",""),"(",""),")",""),"+","")),"x"))),"","Телефон: неверный формат"))</f>
        <v/>
      </c>
      <c r="Q169" s="24" t="str">
        <f aca="false">TRIM(IF(TRIM(B169)="","Нет наименования. ","")&amp;IF(TRIM(F169)="","Нет адреса. ","")&amp;IF(TRIM(G169)="","Нет контактного лица.",""))</f>
        <v/>
      </c>
      <c r="R169" s="21" t="n">
        <f aca="false">SUMPRODUCT(--(LEN(K169:Q169)&gt;0))</f>
        <v>1</v>
      </c>
      <c r="S169" s="24" t="str">
        <f aca="false">IF(R169=0,"Готово к передаче","Требует исправления")</f>
        <v>Требует исправления</v>
      </c>
      <c r="T169" s="24" t="str">
        <f aca="false">IF(R169=0,"",_xlfn.TEXTJOIN("; ",TRUE(),K169:Q169))</f>
        <v>ОГРН не указан</v>
      </c>
      <c r="U169" s="24" t="str">
        <f aca="false">IF(R169=0,"","Здравствуйте! В данных организации «"&amp;B169&amp;"» обнаружены ошибки: "&amp;T169&amp;". Просим проверить и прислать исправленную информацию.")</f>
        <v>Здравствуйте! В данных организации «ООО «Альфа Проект»» обнаружены ошибки: ОГРН не указан. Просим проверить и прислать исправленную информацию.</v>
      </c>
      <c r="V169" s="21" t="n">
        <f aca="false">IF(R169&gt;0,COUNTIF($R$2:R169,"&gt;0"),"")</f>
        <v>60</v>
      </c>
      <c r="W169" s="21" t="str">
        <f aca="false">IF(R169=0,COUNTIF($R$2:R169,0),"")</f>
        <v/>
      </c>
    </row>
    <row r="170" customFormat="false" ht="15" hidden="false" customHeight="false" outlineLevel="0" collapsed="false">
      <c r="A170" s="21" t="n">
        <v>169</v>
      </c>
      <c r="B170" s="22" t="s">
        <v>1405</v>
      </c>
      <c r="C170" s="23" t="s">
        <v>1406</v>
      </c>
      <c r="D170" s="23" t="s">
        <v>1407</v>
      </c>
      <c r="E170" s="23" t="s">
        <v>1408</v>
      </c>
      <c r="F170" s="22" t="s">
        <v>1409</v>
      </c>
      <c r="G170" s="22" t="s">
        <v>1410</v>
      </c>
      <c r="H170" s="22" t="s">
        <v>1411</v>
      </c>
      <c r="I170" s="23" t="s">
        <v>1412</v>
      </c>
      <c r="J170" s="24" t="str">
        <f aca="false">IFERROR(VLOOKUP(VALUE(LEFT(C170,2)),Справочники!$A$2:$B$16,2,FALSE()),"не определён")</f>
        <v>Новосибирская область</v>
      </c>
      <c r="K170" s="24" t="str">
        <f aca="false">IF(TRIM(C170)="","ИНН не указан",IF(LEN(C170)&lt;&gt;10,"ИНН: должно быть 10 цифр",IF(NOT(ISNUMBER(IFERROR(VALUE(C170),"x"))),"ИНН: есть нецифровые символы",IF(MOD(MOD(SUMPRODUCT(--MID(C170,{1,2,3,4,5,6,7,8,9},1),{2,4,10,3,5,9,4,6,8}),11),10)=VALUE(RIGHT(C170,1)),"","ИНН: неверная контрольная цифра"))))</f>
        <v/>
      </c>
      <c r="L170" s="24" t="str">
        <f aca="false">IF(TRIM(D170)="","ОГРН не указан",IF(LEN(D170)&lt;&gt;13,"ОГРН: должно быть 13 цифр",IF(NOT(ISNUMBER(IFERROR(VALUE(D170),"x"))),"ОГРН: есть нецифровые символы",IF(MOD(VALUE(LEFT(D170,12))-11*INT(VALUE(LEFT(D170,12))/11),10)=VALUE(RIGHT(D170,1)),"","ОГРН: неверная контрольная цифра"))))</f>
        <v/>
      </c>
      <c r="M170" s="24" t="str">
        <f aca="false">IF(TRIM(E170)="","КПП не указан",IF(LEN(E170)&lt;&gt;9,"КПП: должно быть 9 знаков",IF(NOT(AND(ISNUMBER(IFERROR(VALUE(LEFT(E170,4)),"x")),ISNUMBER(IFERROR(VALUE(RIGHT(E170,3)),"x")))),"КПП: неверный формат",IF(LEFT(E170,2)&lt;&gt;LEFT(C170,2),"КПП: код региона не совпадает с ИНН",""))))</f>
        <v/>
      </c>
      <c r="N170" s="24" t="str">
        <f aca="false">IF(TRIM(C170)="","",IF(COUNTIF($C$2:$C$401,C170)&gt;1,"Дубликат ИНН в реестре",""))</f>
        <v/>
      </c>
      <c r="O170" s="24" t="str">
        <f aca="false">IF(TRIM(H170)="","Email не указан",IF(AND(ISNUMBER(FIND("@",H170)),ISNUMBER(FIND(".",H170,IFERROR(FIND("@",H170),1))),ISERROR(FIND(" ",H170)),LEFT(H170,1)&lt;&gt;"@",RIGHT(H170,1)&lt;&gt;".",LEN(H170)-LEN(SUBSTITUTE(H170,"@",""))=1),"","Email: неверный формат"))</f>
        <v/>
      </c>
      <c r="P170" s="24" t="str">
        <f aca="false">IF(TRIM(I170)="","Телефон не указан",IF(AND(LEN(SUBSTITUTE(SUBSTITUTE(SUBSTITUTE(SUBSTITUTE(SUBSTITUTE(I170," ",""),"-",""),"(",""),")",""),"+",""))=11,OR(LEFT(SUBSTITUTE(SUBSTITUTE(SUBSTITUTE(SUBSTITUTE(SUBSTITUTE(I170," ",""),"-",""),"(",""),")",""),"+",""),1)="7",LEFT(SUBSTITUTE(SUBSTITUTE(SUBSTITUTE(SUBSTITUTE(SUBSTITUTE(I170," ",""),"-",""),"(",""),")",""),"+",""),1)="8"),ISNUMBER(IFERROR(VALUE(SUBSTITUTE(SUBSTITUTE(SUBSTITUTE(SUBSTITUTE(SUBSTITUTE(I170," ",""),"-",""),"(",""),")",""),"+","")),"x"))),"","Телефон: неверный формат"))</f>
        <v/>
      </c>
      <c r="Q170" s="24" t="str">
        <f aca="false">TRIM(IF(TRIM(B170)="","Нет наименования. ","")&amp;IF(TRIM(F170)="","Нет адреса. ","")&amp;IF(TRIM(G170)="","Нет контактного лица.",""))</f>
        <v/>
      </c>
      <c r="R170" s="21" t="n">
        <f aca="false">SUMPRODUCT(--(LEN(K170:Q170)&gt;0))</f>
        <v>0</v>
      </c>
      <c r="S170" s="24" t="str">
        <f aca="false">IF(R170=0,"Готово к передаче","Требует исправления")</f>
        <v>Готово к передаче</v>
      </c>
      <c r="T170" s="24" t="str">
        <f aca="false">IF(R170=0,"",_xlfn.TEXTJOIN("; ",TRUE(),K170:Q170))</f>
        <v/>
      </c>
      <c r="U170" s="24" t="str">
        <f aca="false">IF(R170=0,"","Здравствуйте! В данных организации «"&amp;B170&amp;"» обнаружены ошибки: "&amp;T170&amp;". Просим проверить и прислать исправленную информацию.")</f>
        <v/>
      </c>
      <c r="V170" s="21" t="str">
        <f aca="false">IF(R170&gt;0,COUNTIF($R$2:R170,"&gt;0"),"")</f>
        <v/>
      </c>
      <c r="W170" s="21" t="n">
        <f aca="false">IF(R170=0,COUNTIF($R$2:R170,0),"")</f>
        <v>109</v>
      </c>
    </row>
    <row r="171" customFormat="false" ht="15" hidden="false" customHeight="false" outlineLevel="0" collapsed="false">
      <c r="A171" s="21" t="n">
        <v>170</v>
      </c>
      <c r="B171" s="22" t="s">
        <v>1413</v>
      </c>
      <c r="C171" s="23" t="s">
        <v>1414</v>
      </c>
      <c r="D171" s="23" t="s">
        <v>1415</v>
      </c>
      <c r="E171" s="23" t="s">
        <v>1416</v>
      </c>
      <c r="F171" s="22" t="s">
        <v>1417</v>
      </c>
      <c r="G171" s="22" t="s">
        <v>1418</v>
      </c>
      <c r="H171" s="22" t="s">
        <v>1419</v>
      </c>
      <c r="I171" s="23" t="s">
        <v>1420</v>
      </c>
      <c r="J171" s="24" t="str">
        <f aca="false">IFERROR(VLOOKUP(VALUE(LEFT(C171,2)),Справочники!$A$2:$B$16,2,FALSE()),"не определён")</f>
        <v>г. Санкт-Петербург</v>
      </c>
      <c r="K171" s="24" t="str">
        <f aca="false">IF(TRIM(C171)="","ИНН не указан",IF(LEN(C171)&lt;&gt;10,"ИНН: должно быть 10 цифр",IF(NOT(ISNUMBER(IFERROR(VALUE(C171),"x"))),"ИНН: есть нецифровые символы",IF(MOD(MOD(SUMPRODUCT(--MID(C171,{1,2,3,4,5,6,7,8,9},1),{2,4,10,3,5,9,4,6,8}),11),10)=VALUE(RIGHT(C171,1)),"","ИНН: неверная контрольная цифра"))))</f>
        <v/>
      </c>
      <c r="L171" s="24" t="str">
        <f aca="false">IF(TRIM(D171)="","ОГРН не указан",IF(LEN(D171)&lt;&gt;13,"ОГРН: должно быть 13 цифр",IF(NOT(ISNUMBER(IFERROR(VALUE(D171),"x"))),"ОГРН: есть нецифровые символы",IF(MOD(VALUE(LEFT(D171,12))-11*INT(VALUE(LEFT(D171,12))/11),10)=VALUE(RIGHT(D171,1)),"","ОГРН: неверная контрольная цифра"))))</f>
        <v/>
      </c>
      <c r="M171" s="24" t="str">
        <f aca="false">IF(TRIM(E171)="","КПП не указан",IF(LEN(E171)&lt;&gt;9,"КПП: должно быть 9 знаков",IF(NOT(AND(ISNUMBER(IFERROR(VALUE(LEFT(E171,4)),"x")),ISNUMBER(IFERROR(VALUE(RIGHT(E171,3)),"x")))),"КПП: неверный формат",IF(LEFT(E171,2)&lt;&gt;LEFT(C171,2),"КПП: код региона не совпадает с ИНН",""))))</f>
        <v/>
      </c>
      <c r="N171" s="24" t="str">
        <f aca="false">IF(TRIM(C171)="","",IF(COUNTIF($C$2:$C$401,C171)&gt;1,"Дубликат ИНН в реестре",""))</f>
        <v/>
      </c>
      <c r="O171" s="24" t="str">
        <f aca="false">IF(TRIM(H171)="","Email не указан",IF(AND(ISNUMBER(FIND("@",H171)),ISNUMBER(FIND(".",H171,IFERROR(FIND("@",H171),1))),ISERROR(FIND(" ",H171)),LEFT(H171,1)&lt;&gt;"@",RIGHT(H171,1)&lt;&gt;".",LEN(H171)-LEN(SUBSTITUTE(H171,"@",""))=1),"","Email: неверный формат"))</f>
        <v/>
      </c>
      <c r="P171" s="24" t="str">
        <f aca="false">IF(TRIM(I171)="","Телефон не указан",IF(AND(LEN(SUBSTITUTE(SUBSTITUTE(SUBSTITUTE(SUBSTITUTE(SUBSTITUTE(I171," ",""),"-",""),"(",""),")",""),"+",""))=11,OR(LEFT(SUBSTITUTE(SUBSTITUTE(SUBSTITUTE(SUBSTITUTE(SUBSTITUTE(I171," ",""),"-",""),"(",""),")",""),"+",""),1)="7",LEFT(SUBSTITUTE(SUBSTITUTE(SUBSTITUTE(SUBSTITUTE(SUBSTITUTE(I171," ",""),"-",""),"(",""),")",""),"+",""),1)="8"),ISNUMBER(IFERROR(VALUE(SUBSTITUTE(SUBSTITUTE(SUBSTITUTE(SUBSTITUTE(SUBSTITUTE(I171," ",""),"-",""),"(",""),")",""),"+","")),"x"))),"","Телефон: неверный формат"))</f>
        <v/>
      </c>
      <c r="Q171" s="24" t="str">
        <f aca="false">TRIM(IF(TRIM(B171)="","Нет наименования. ","")&amp;IF(TRIM(F171)="","Нет адреса. ","")&amp;IF(TRIM(G171)="","Нет контактного лица.",""))</f>
        <v/>
      </c>
      <c r="R171" s="21" t="n">
        <f aca="false">SUMPRODUCT(--(LEN(K171:Q171)&gt;0))</f>
        <v>0</v>
      </c>
      <c r="S171" s="24" t="str">
        <f aca="false">IF(R171=0,"Готово к передаче","Требует исправления")</f>
        <v>Готово к передаче</v>
      </c>
      <c r="T171" s="24" t="str">
        <f aca="false">IF(R171=0,"",_xlfn.TEXTJOIN("; ",TRUE(),K171:Q171))</f>
        <v/>
      </c>
      <c r="U171" s="24" t="str">
        <f aca="false">IF(R171=0,"","Здравствуйте! В данных организации «"&amp;B171&amp;"» обнаружены ошибки: "&amp;T171&amp;". Просим проверить и прислать исправленную информацию.")</f>
        <v/>
      </c>
      <c r="V171" s="21" t="str">
        <f aca="false">IF(R171&gt;0,COUNTIF($R$2:R171,"&gt;0"),"")</f>
        <v/>
      </c>
      <c r="W171" s="21" t="n">
        <f aca="false">IF(R171=0,COUNTIF($R$2:R171,0),"")</f>
        <v>110</v>
      </c>
    </row>
    <row r="172" customFormat="false" ht="15" hidden="false" customHeight="false" outlineLevel="0" collapsed="false">
      <c r="A172" s="21" t="n">
        <v>171</v>
      </c>
      <c r="B172" s="22" t="s">
        <v>1421</v>
      </c>
      <c r="C172" s="23" t="s">
        <v>1422</v>
      </c>
      <c r="D172" s="23" t="s">
        <v>1423</v>
      </c>
      <c r="E172" s="23" t="s">
        <v>1424</v>
      </c>
      <c r="F172" s="22" t="s">
        <v>1425</v>
      </c>
      <c r="G172" s="22" t="s">
        <v>1426</v>
      </c>
      <c r="H172" s="22" t="s">
        <v>1427</v>
      </c>
      <c r="I172" s="23" t="s">
        <v>1428</v>
      </c>
      <c r="J172" s="24" t="str">
        <f aca="false">IFERROR(VLOOKUP(VALUE(LEFT(C172,2)),Справочники!$A$2:$B$16,2,FALSE()),"не определён")</f>
        <v>г. Москва</v>
      </c>
      <c r="K172" s="24" t="str">
        <f aca="false">IF(TRIM(C172)="","ИНН не указан",IF(LEN(C172)&lt;&gt;10,"ИНН: должно быть 10 цифр",IF(NOT(ISNUMBER(IFERROR(VALUE(C172),"x"))),"ИНН: есть нецифровые символы",IF(MOD(MOD(SUMPRODUCT(--MID(C172,{1,2,3,4,5,6,7,8,9},1),{2,4,10,3,5,9,4,6,8}),11),10)=VALUE(RIGHT(C172,1)),"","ИНН: неверная контрольная цифра"))))</f>
        <v>ИНН: должно быть 10 цифр</v>
      </c>
      <c r="L172" s="24" t="str">
        <f aca="false">IF(TRIM(D172)="","ОГРН не указан",IF(LEN(D172)&lt;&gt;13,"ОГРН: должно быть 13 цифр",IF(NOT(ISNUMBER(IFERROR(VALUE(D172),"x"))),"ОГРН: есть нецифровые символы",IF(MOD(VALUE(LEFT(D172,12))-11*INT(VALUE(LEFT(D172,12))/11),10)=VALUE(RIGHT(D172,1)),"","ОГРН: неверная контрольная цифра"))))</f>
        <v/>
      </c>
      <c r="M172" s="24" t="str">
        <f aca="false">IF(TRIM(E172)="","КПП не указан",IF(LEN(E172)&lt;&gt;9,"КПП: должно быть 9 знаков",IF(NOT(AND(ISNUMBER(IFERROR(VALUE(LEFT(E172,4)),"x")),ISNUMBER(IFERROR(VALUE(RIGHT(E172,3)),"x")))),"КПП: неверный формат",IF(LEFT(E172,2)&lt;&gt;LEFT(C172,2),"КПП: код региона не совпадает с ИНН",""))))</f>
        <v/>
      </c>
      <c r="N172" s="24" t="str">
        <f aca="false">IF(TRIM(C172)="","",IF(COUNTIF($C$2:$C$401,C172)&gt;1,"Дубликат ИНН в реестре",""))</f>
        <v/>
      </c>
      <c r="O172" s="24" t="str">
        <f aca="false">IF(TRIM(H172)="","Email не указан",IF(AND(ISNUMBER(FIND("@",H172)),ISNUMBER(FIND(".",H172,IFERROR(FIND("@",H172),1))),ISERROR(FIND(" ",H172)),LEFT(H172,1)&lt;&gt;"@",RIGHT(H172,1)&lt;&gt;".",LEN(H172)-LEN(SUBSTITUTE(H172,"@",""))=1),"","Email: неверный формат"))</f>
        <v/>
      </c>
      <c r="P172" s="24" t="str">
        <f aca="false">IF(TRIM(I172)="","Телефон не указан",IF(AND(LEN(SUBSTITUTE(SUBSTITUTE(SUBSTITUTE(SUBSTITUTE(SUBSTITUTE(I172," ",""),"-",""),"(",""),")",""),"+",""))=11,OR(LEFT(SUBSTITUTE(SUBSTITUTE(SUBSTITUTE(SUBSTITUTE(SUBSTITUTE(I172," ",""),"-",""),"(",""),")",""),"+",""),1)="7",LEFT(SUBSTITUTE(SUBSTITUTE(SUBSTITUTE(SUBSTITUTE(SUBSTITUTE(I172," ",""),"-",""),"(",""),")",""),"+",""),1)="8"),ISNUMBER(IFERROR(VALUE(SUBSTITUTE(SUBSTITUTE(SUBSTITUTE(SUBSTITUTE(SUBSTITUTE(I172," ",""),"-",""),"(",""),")",""),"+","")),"x"))),"","Телефон: неверный формат"))</f>
        <v/>
      </c>
      <c r="Q172" s="24" t="str">
        <f aca="false">TRIM(IF(TRIM(B172)="","Нет наименования. ","")&amp;IF(TRIM(F172)="","Нет адреса. ","")&amp;IF(TRIM(G172)="","Нет контактного лица.",""))</f>
        <v/>
      </c>
      <c r="R172" s="21" t="n">
        <f aca="false">SUMPRODUCT(--(LEN(K172:Q172)&gt;0))</f>
        <v>1</v>
      </c>
      <c r="S172" s="24" t="str">
        <f aca="false">IF(R172=0,"Готово к передаче","Требует исправления")</f>
        <v>Требует исправления</v>
      </c>
      <c r="T172" s="24" t="str">
        <f aca="false">IF(R172=0,"",_xlfn.TEXTJOIN("; ",TRUE(),K172:Q172))</f>
        <v>ИНН: должно быть 10 цифр</v>
      </c>
      <c r="U172" s="24" t="str">
        <f aca="false">IF(R172=0,"","Здравствуйте! В данных организации «"&amp;B172&amp;"» обнаружены ошибки: "&amp;T172&amp;". Просим проверить и прислать исправленную информацию.")</f>
        <v>Здравствуйте! В данных организации «ООО «Феникс Трейд»» обнаружены ошибки: ИНН: должно быть 10 цифр. Просим проверить и прислать исправленную информацию.</v>
      </c>
      <c r="V172" s="21" t="n">
        <f aca="false">IF(R172&gt;0,COUNTIF($R$2:R172,"&gt;0"),"")</f>
        <v>61</v>
      </c>
      <c r="W172" s="21" t="str">
        <f aca="false">IF(R172=0,COUNTIF($R$2:R172,0),"")</f>
        <v/>
      </c>
    </row>
    <row r="173" customFormat="false" ht="15" hidden="false" customHeight="false" outlineLevel="0" collapsed="false">
      <c r="A173" s="21" t="n">
        <v>172</v>
      </c>
      <c r="B173" s="22" t="s">
        <v>1429</v>
      </c>
      <c r="C173" s="23" t="s">
        <v>1430</v>
      </c>
      <c r="D173" s="23" t="s">
        <v>1431</v>
      </c>
      <c r="E173" s="23" t="s">
        <v>1432</v>
      </c>
      <c r="F173" s="22" t="s">
        <v>1433</v>
      </c>
      <c r="G173" s="22" t="s">
        <v>1434</v>
      </c>
      <c r="H173" s="22" t="s">
        <v>1435</v>
      </c>
      <c r="I173" s="23" t="s">
        <v>1436</v>
      </c>
      <c r="J173" s="24" t="str">
        <f aca="false">IFERROR(VLOOKUP(VALUE(LEFT(C173,2)),Справочники!$A$2:$B$16,2,FALSE()),"не определён")</f>
        <v>г. Санкт-Петербург</v>
      </c>
      <c r="K173" s="24" t="str">
        <f aca="false">IF(TRIM(C173)="","ИНН не указан",IF(LEN(C173)&lt;&gt;10,"ИНН: должно быть 10 цифр",IF(NOT(ISNUMBER(IFERROR(VALUE(C173),"x"))),"ИНН: есть нецифровые символы",IF(MOD(MOD(SUMPRODUCT(--MID(C173,{1,2,3,4,5,6,7,8,9},1),{2,4,10,3,5,9,4,6,8}),11),10)=VALUE(RIGHT(C173,1)),"","ИНН: неверная контрольная цифра"))))</f>
        <v/>
      </c>
      <c r="L173" s="24" t="str">
        <f aca="false">IF(TRIM(D173)="","ОГРН не указан",IF(LEN(D173)&lt;&gt;13,"ОГРН: должно быть 13 цифр",IF(NOT(ISNUMBER(IFERROR(VALUE(D173),"x"))),"ОГРН: есть нецифровые символы",IF(MOD(VALUE(LEFT(D173,12))-11*INT(VALUE(LEFT(D173,12))/11),10)=VALUE(RIGHT(D173,1)),"","ОГРН: неверная контрольная цифра"))))</f>
        <v/>
      </c>
      <c r="M173" s="24" t="str">
        <f aca="false">IF(TRIM(E173)="","КПП не указан",IF(LEN(E173)&lt;&gt;9,"КПП: должно быть 9 знаков",IF(NOT(AND(ISNUMBER(IFERROR(VALUE(LEFT(E173,4)),"x")),ISNUMBER(IFERROR(VALUE(RIGHT(E173,3)),"x")))),"КПП: неверный формат",IF(LEFT(E173,2)&lt;&gt;LEFT(C173,2),"КПП: код региона не совпадает с ИНН",""))))</f>
        <v/>
      </c>
      <c r="N173" s="24" t="str">
        <f aca="false">IF(TRIM(C173)="","",IF(COUNTIF($C$2:$C$401,C173)&gt;1,"Дубликат ИНН в реестре",""))</f>
        <v/>
      </c>
      <c r="O173" s="24" t="str">
        <f aca="false">IF(TRIM(H173)="","Email не указан",IF(AND(ISNUMBER(FIND("@",H173)),ISNUMBER(FIND(".",H173,IFERROR(FIND("@",H173),1))),ISERROR(FIND(" ",H173)),LEFT(H173,1)&lt;&gt;"@",RIGHT(H173,1)&lt;&gt;".",LEN(H173)-LEN(SUBSTITUTE(H173,"@",""))=1),"","Email: неверный формат"))</f>
        <v/>
      </c>
      <c r="P173" s="24" t="str">
        <f aca="false">IF(TRIM(I173)="","Телефон не указан",IF(AND(LEN(SUBSTITUTE(SUBSTITUTE(SUBSTITUTE(SUBSTITUTE(SUBSTITUTE(I173," ",""),"-",""),"(",""),")",""),"+",""))=11,OR(LEFT(SUBSTITUTE(SUBSTITUTE(SUBSTITUTE(SUBSTITUTE(SUBSTITUTE(I173," ",""),"-",""),"(",""),")",""),"+",""),1)="7",LEFT(SUBSTITUTE(SUBSTITUTE(SUBSTITUTE(SUBSTITUTE(SUBSTITUTE(I173," ",""),"-",""),"(",""),")",""),"+",""),1)="8"),ISNUMBER(IFERROR(VALUE(SUBSTITUTE(SUBSTITUTE(SUBSTITUTE(SUBSTITUTE(SUBSTITUTE(I173," ",""),"-",""),"(",""),")",""),"+","")),"x"))),"","Телефон: неверный формат"))</f>
        <v>Телефон: неверный формат</v>
      </c>
      <c r="Q173" s="24" t="str">
        <f aca="false">TRIM(IF(TRIM(B173)="","Нет наименования. ","")&amp;IF(TRIM(F173)="","Нет адреса. ","")&amp;IF(TRIM(G173)="","Нет контактного лица.",""))</f>
        <v/>
      </c>
      <c r="R173" s="21" t="n">
        <f aca="false">SUMPRODUCT(--(LEN(K173:Q173)&gt;0))</f>
        <v>1</v>
      </c>
      <c r="S173" s="24" t="str">
        <f aca="false">IF(R173=0,"Готово к передаче","Требует исправления")</f>
        <v>Требует исправления</v>
      </c>
      <c r="T173" s="24" t="str">
        <f aca="false">IF(R173=0,"",_xlfn.TEXTJOIN("; ",TRUE(),K173:Q173))</f>
        <v>Телефон: неверный формат</v>
      </c>
      <c r="U173" s="24" t="str">
        <f aca="false">IF(R173=0,"","Здравствуйте! В данных организации «"&amp;B173&amp;"» обнаружены ошибки: "&amp;T173&amp;". Просим проверить и прислать исправленную информацию.")</f>
        <v>Здравствуйте! В данных организации «ООО «Юпитер Пласт»» обнаружены ошибки: Телефон: неверный формат. Просим проверить и прислать исправленную информацию.</v>
      </c>
      <c r="V173" s="21" t="n">
        <f aca="false">IF(R173&gt;0,COUNTIF($R$2:R173,"&gt;0"),"")</f>
        <v>62</v>
      </c>
      <c r="W173" s="21" t="str">
        <f aca="false">IF(R173=0,COUNTIF($R$2:R173,0),"")</f>
        <v/>
      </c>
    </row>
    <row r="174" customFormat="false" ht="15" hidden="false" customHeight="false" outlineLevel="0" collapsed="false">
      <c r="A174" s="21" t="n">
        <v>173</v>
      </c>
      <c r="B174" s="22" t="s">
        <v>1437</v>
      </c>
      <c r="C174" s="23" t="s">
        <v>1438</v>
      </c>
      <c r="D174" s="23" t="s">
        <v>1439</v>
      </c>
      <c r="E174" s="23" t="s">
        <v>1440</v>
      </c>
      <c r="F174" s="22" t="s">
        <v>1441</v>
      </c>
      <c r="G174" s="22" t="s">
        <v>1442</v>
      </c>
      <c r="H174" s="22" t="s">
        <v>1443</v>
      </c>
      <c r="I174" s="23" t="s">
        <v>1444</v>
      </c>
      <c r="J174" s="24" t="str">
        <f aca="false">IFERROR(VLOOKUP(VALUE(LEFT(C174,2)),Справочники!$A$2:$B$16,2,FALSE()),"не определён")</f>
        <v>г. Севастополь</v>
      </c>
      <c r="K174" s="24" t="str">
        <f aca="false">IF(TRIM(C174)="","ИНН не указан",IF(LEN(C174)&lt;&gt;10,"ИНН: должно быть 10 цифр",IF(NOT(ISNUMBER(IFERROR(VALUE(C174),"x"))),"ИНН: есть нецифровые символы",IF(MOD(MOD(SUMPRODUCT(--MID(C174,{1,2,3,4,5,6,7,8,9},1),{2,4,10,3,5,9,4,6,8}),11),10)=VALUE(RIGHT(C174,1)),"","ИНН: неверная контрольная цифра"))))</f>
        <v/>
      </c>
      <c r="L174" s="24" t="str">
        <f aca="false">IF(TRIM(D174)="","ОГРН не указан",IF(LEN(D174)&lt;&gt;13,"ОГРН: должно быть 13 цифр",IF(NOT(ISNUMBER(IFERROR(VALUE(D174),"x"))),"ОГРН: есть нецифровые символы",IF(MOD(VALUE(LEFT(D174,12))-11*INT(VALUE(LEFT(D174,12))/11),10)=VALUE(RIGHT(D174,1)),"","ОГРН: неверная контрольная цифра"))))</f>
        <v/>
      </c>
      <c r="M174" s="24" t="str">
        <f aca="false">IF(TRIM(E174)="","КПП не указан",IF(LEN(E174)&lt;&gt;9,"КПП: должно быть 9 знаков",IF(NOT(AND(ISNUMBER(IFERROR(VALUE(LEFT(E174,4)),"x")),ISNUMBER(IFERROR(VALUE(RIGHT(E174,3)),"x")))),"КПП: неверный формат",IF(LEFT(E174,2)&lt;&gt;LEFT(C174,2),"КПП: код региона не совпадает с ИНН",""))))</f>
        <v/>
      </c>
      <c r="N174" s="24" t="str">
        <f aca="false">IF(TRIM(C174)="","",IF(COUNTIF($C$2:$C$401,C174)&gt;1,"Дубликат ИНН в реестре",""))</f>
        <v/>
      </c>
      <c r="O174" s="24" t="str">
        <f aca="false">IF(TRIM(H174)="","Email не указан",IF(AND(ISNUMBER(FIND("@",H174)),ISNUMBER(FIND(".",H174,IFERROR(FIND("@",H174),1))),ISERROR(FIND(" ",H174)),LEFT(H174,1)&lt;&gt;"@",RIGHT(H174,1)&lt;&gt;".",LEN(H174)-LEN(SUBSTITUTE(H174,"@",""))=1),"","Email: неверный формат"))</f>
        <v/>
      </c>
      <c r="P174" s="24" t="str">
        <f aca="false">IF(TRIM(I174)="","Телефон не указан",IF(AND(LEN(SUBSTITUTE(SUBSTITUTE(SUBSTITUTE(SUBSTITUTE(SUBSTITUTE(I174," ",""),"-",""),"(",""),")",""),"+",""))=11,OR(LEFT(SUBSTITUTE(SUBSTITUTE(SUBSTITUTE(SUBSTITUTE(SUBSTITUTE(I174," ",""),"-",""),"(",""),")",""),"+",""),1)="7",LEFT(SUBSTITUTE(SUBSTITUTE(SUBSTITUTE(SUBSTITUTE(SUBSTITUTE(I174," ",""),"-",""),"(",""),")",""),"+",""),1)="8"),ISNUMBER(IFERROR(VALUE(SUBSTITUTE(SUBSTITUTE(SUBSTITUTE(SUBSTITUTE(SUBSTITUTE(I174," ",""),"-",""),"(",""),")",""),"+","")),"x"))),"","Телефон: неверный формат"))</f>
        <v>Телефон: неверный формат</v>
      </c>
      <c r="Q174" s="24" t="str">
        <f aca="false">TRIM(IF(TRIM(B174)="","Нет наименования. ","")&amp;IF(TRIM(F174)="","Нет адреса. ","")&amp;IF(TRIM(G174)="","Нет контактного лица.",""))</f>
        <v/>
      </c>
      <c r="R174" s="21" t="n">
        <f aca="false">SUMPRODUCT(--(LEN(K174:Q174)&gt;0))</f>
        <v>1</v>
      </c>
      <c r="S174" s="24" t="str">
        <f aca="false">IF(R174=0,"Готово к передаче","Требует исправления")</f>
        <v>Требует исправления</v>
      </c>
      <c r="T174" s="24" t="str">
        <f aca="false">IF(R174=0,"",_xlfn.TEXTJOIN("; ",TRUE(),K174:Q174))</f>
        <v>Телефон: неверный формат</v>
      </c>
      <c r="U174" s="24" t="str">
        <f aca="false">IF(R174=0,"","Здравствуйте! В данных организации «"&amp;B174&amp;"» обнаружены ошибки: "&amp;T174&amp;". Просим проверить и прислать исправленную информацию.")</f>
        <v>Здравствуйте! В данных организации «АО «Прогресс Снаб»» обнаружены ошибки: Телефон: неверный формат. Просим проверить и прислать исправленную информацию.</v>
      </c>
      <c r="V174" s="21" t="n">
        <f aca="false">IF(R174&gt;0,COUNTIF($R$2:R174,"&gt;0"),"")</f>
        <v>63</v>
      </c>
      <c r="W174" s="21" t="str">
        <f aca="false">IF(R174=0,COUNTIF($R$2:R174,0),"")</f>
        <v/>
      </c>
    </row>
    <row r="175" customFormat="false" ht="15" hidden="false" customHeight="false" outlineLevel="0" collapsed="false">
      <c r="A175" s="21" t="n">
        <v>174</v>
      </c>
      <c r="B175" s="22" t="s">
        <v>1445</v>
      </c>
      <c r="C175" s="23" t="s">
        <v>1446</v>
      </c>
      <c r="D175" s="23" t="s">
        <v>1447</v>
      </c>
      <c r="E175" s="23" t="s">
        <v>1448</v>
      </c>
      <c r="F175" s="22" t="s">
        <v>1449</v>
      </c>
      <c r="G175" s="22" t="s">
        <v>1450</v>
      </c>
      <c r="H175" s="22" t="s">
        <v>1451</v>
      </c>
      <c r="I175" s="23" t="s">
        <v>1452</v>
      </c>
      <c r="J175" s="24" t="str">
        <f aca="false">IFERROR(VLOOKUP(VALUE(LEFT(C175,2)),Справочники!$A$2:$B$16,2,FALSE()),"не определён")</f>
        <v>г. Москва</v>
      </c>
      <c r="K175" s="24" t="str">
        <f aca="false">IF(TRIM(C175)="","ИНН не указан",IF(LEN(C175)&lt;&gt;10,"ИНН: должно быть 10 цифр",IF(NOT(ISNUMBER(IFERROR(VALUE(C175),"x"))),"ИНН: есть нецифровые символы",IF(MOD(MOD(SUMPRODUCT(--MID(C175,{1,2,3,4,5,6,7,8,9},1),{2,4,10,3,5,9,4,6,8}),11),10)=VALUE(RIGHT(C175,1)),"","ИНН: неверная контрольная цифра"))))</f>
        <v/>
      </c>
      <c r="L175" s="24" t="str">
        <f aca="false">IF(TRIM(D175)="","ОГРН не указан",IF(LEN(D175)&lt;&gt;13,"ОГРН: должно быть 13 цифр",IF(NOT(ISNUMBER(IFERROR(VALUE(D175),"x"))),"ОГРН: есть нецифровые символы",IF(MOD(VALUE(LEFT(D175,12))-11*INT(VALUE(LEFT(D175,12))/11),10)=VALUE(RIGHT(D175,1)),"","ОГРН: неверная контрольная цифра"))))</f>
        <v/>
      </c>
      <c r="M175" s="24" t="str">
        <f aca="false">IF(TRIM(E175)="","КПП не указан",IF(LEN(E175)&lt;&gt;9,"КПП: должно быть 9 знаков",IF(NOT(AND(ISNUMBER(IFERROR(VALUE(LEFT(E175,4)),"x")),ISNUMBER(IFERROR(VALUE(RIGHT(E175,3)),"x")))),"КПП: неверный формат",IF(LEFT(E175,2)&lt;&gt;LEFT(C175,2),"КПП: код региона не совпадает с ИНН",""))))</f>
        <v/>
      </c>
      <c r="N175" s="24" t="str">
        <f aca="false">IF(TRIM(C175)="","",IF(COUNTIF($C$2:$C$401,C175)&gt;1,"Дубликат ИНН в реестре",""))</f>
        <v/>
      </c>
      <c r="O175" s="24" t="str">
        <f aca="false">IF(TRIM(H175)="","Email не указан",IF(AND(ISNUMBER(FIND("@",H175)),ISNUMBER(FIND(".",H175,IFERROR(FIND("@",H175),1))),ISERROR(FIND(" ",H175)),LEFT(H175,1)&lt;&gt;"@",RIGHT(H175,1)&lt;&gt;".",LEN(H175)-LEN(SUBSTITUTE(H175,"@",""))=1),"","Email: неверный формат"))</f>
        <v/>
      </c>
      <c r="P175" s="24" t="str">
        <f aca="false">IF(TRIM(I175)="","Телефон не указан",IF(AND(LEN(SUBSTITUTE(SUBSTITUTE(SUBSTITUTE(SUBSTITUTE(SUBSTITUTE(I175," ",""),"-",""),"(",""),")",""),"+",""))=11,OR(LEFT(SUBSTITUTE(SUBSTITUTE(SUBSTITUTE(SUBSTITUTE(SUBSTITUTE(I175," ",""),"-",""),"(",""),")",""),"+",""),1)="7",LEFT(SUBSTITUTE(SUBSTITUTE(SUBSTITUTE(SUBSTITUTE(SUBSTITUTE(I175," ",""),"-",""),"(",""),")",""),"+",""),1)="8"),ISNUMBER(IFERROR(VALUE(SUBSTITUTE(SUBSTITUTE(SUBSTITUTE(SUBSTITUTE(SUBSTITUTE(I175," ",""),"-",""),"(",""),")",""),"+","")),"x"))),"","Телефон: неверный формат"))</f>
        <v/>
      </c>
      <c r="Q175" s="24" t="str">
        <f aca="false">TRIM(IF(TRIM(B175)="","Нет наименования. ","")&amp;IF(TRIM(F175)="","Нет адреса. ","")&amp;IF(TRIM(G175)="","Нет контактного лица.",""))</f>
        <v/>
      </c>
      <c r="R175" s="21" t="n">
        <f aca="false">SUMPRODUCT(--(LEN(K175:Q175)&gt;0))</f>
        <v>0</v>
      </c>
      <c r="S175" s="24" t="str">
        <f aca="false">IF(R175=0,"Готово к передаче","Требует исправления")</f>
        <v>Готово к передаче</v>
      </c>
      <c r="T175" s="24" t="str">
        <f aca="false">IF(R175=0,"",_xlfn.TEXTJOIN("; ",TRUE(),K175:Q175))</f>
        <v/>
      </c>
      <c r="U175" s="24" t="str">
        <f aca="false">IF(R175=0,"","Здравствуйте! В данных организации «"&amp;B175&amp;"» обнаружены ошибки: "&amp;T175&amp;". Просим проверить и прислать исправленную информацию.")</f>
        <v/>
      </c>
      <c r="V175" s="21" t="str">
        <f aca="false">IF(R175&gt;0,COUNTIF($R$2:R175,"&gt;0"),"")</f>
        <v/>
      </c>
      <c r="W175" s="21" t="n">
        <f aca="false">IF(R175=0,COUNTIF($R$2:R175,0),"")</f>
        <v>111</v>
      </c>
    </row>
    <row r="176" customFormat="false" ht="15" hidden="false" customHeight="false" outlineLevel="0" collapsed="false">
      <c r="A176" s="21" t="n">
        <v>175</v>
      </c>
      <c r="B176" s="22" t="s">
        <v>1453</v>
      </c>
      <c r="C176" s="23" t="s">
        <v>1454</v>
      </c>
      <c r="D176" s="23" t="s">
        <v>1455</v>
      </c>
      <c r="E176" s="23" t="s">
        <v>1456</v>
      </c>
      <c r="F176" s="22" t="s">
        <v>1457</v>
      </c>
      <c r="G176" s="22" t="s">
        <v>1458</v>
      </c>
      <c r="H176" s="22" t="s">
        <v>1459</v>
      </c>
      <c r="I176" s="23" t="s">
        <v>1460</v>
      </c>
      <c r="J176" s="24" t="str">
        <f aca="false">IFERROR(VLOOKUP(VALUE(LEFT(C176,2)),Справочники!$A$2:$B$16,2,FALSE()),"не определён")</f>
        <v>Республика Татарстан</v>
      </c>
      <c r="K176" s="24" t="str">
        <f aca="false">IF(TRIM(C176)="","ИНН не указан",IF(LEN(C176)&lt;&gt;10,"ИНН: должно быть 10 цифр",IF(NOT(ISNUMBER(IFERROR(VALUE(C176),"x"))),"ИНН: есть нецифровые символы",IF(MOD(MOD(SUMPRODUCT(--MID(C176,{1,2,3,4,5,6,7,8,9},1),{2,4,10,3,5,9,4,6,8}),11),10)=VALUE(RIGHT(C176,1)),"","ИНН: неверная контрольная цифра"))))</f>
        <v/>
      </c>
      <c r="L176" s="24" t="str">
        <f aca="false">IF(TRIM(D176)="","ОГРН не указан",IF(LEN(D176)&lt;&gt;13,"ОГРН: должно быть 13 цифр",IF(NOT(ISNUMBER(IFERROR(VALUE(D176),"x"))),"ОГРН: есть нецифровые символы",IF(MOD(VALUE(LEFT(D176,12))-11*INT(VALUE(LEFT(D176,12))/11),10)=VALUE(RIGHT(D176,1)),"","ОГРН: неверная контрольная цифра"))))</f>
        <v/>
      </c>
      <c r="M176" s="24" t="str">
        <f aca="false">IF(TRIM(E176)="","КПП не указан",IF(LEN(E176)&lt;&gt;9,"КПП: должно быть 9 знаков",IF(NOT(AND(ISNUMBER(IFERROR(VALUE(LEFT(E176,4)),"x")),ISNUMBER(IFERROR(VALUE(RIGHT(E176,3)),"x")))),"КПП: неверный формат",IF(LEFT(E176,2)&lt;&gt;LEFT(C176,2),"КПП: код региона не совпадает с ИНН",""))))</f>
        <v/>
      </c>
      <c r="N176" s="24" t="str">
        <f aca="false">IF(TRIM(C176)="","",IF(COUNTIF($C$2:$C$401,C176)&gt;1,"Дубликат ИНН в реестре",""))</f>
        <v/>
      </c>
      <c r="O176" s="24" t="str">
        <f aca="false">IF(TRIM(H176)="","Email не указан",IF(AND(ISNUMBER(FIND("@",H176)),ISNUMBER(FIND(".",H176,IFERROR(FIND("@",H176),1))),ISERROR(FIND(" ",H176)),LEFT(H176,1)&lt;&gt;"@",RIGHT(H176,1)&lt;&gt;".",LEN(H176)-LEN(SUBSTITUTE(H176,"@",""))=1),"","Email: неверный формат"))</f>
        <v/>
      </c>
      <c r="P176" s="24" t="str">
        <f aca="false">IF(TRIM(I176)="","Телефон не указан",IF(AND(LEN(SUBSTITUTE(SUBSTITUTE(SUBSTITUTE(SUBSTITUTE(SUBSTITUTE(I176," ",""),"-",""),"(",""),")",""),"+",""))=11,OR(LEFT(SUBSTITUTE(SUBSTITUTE(SUBSTITUTE(SUBSTITUTE(SUBSTITUTE(I176," ",""),"-",""),"(",""),")",""),"+",""),1)="7",LEFT(SUBSTITUTE(SUBSTITUTE(SUBSTITUTE(SUBSTITUTE(SUBSTITUTE(I176," ",""),"-",""),"(",""),")",""),"+",""),1)="8"),ISNUMBER(IFERROR(VALUE(SUBSTITUTE(SUBSTITUTE(SUBSTITUTE(SUBSTITUTE(SUBSTITUTE(I176," ",""),"-",""),"(",""),")",""),"+","")),"x"))),"","Телефон: неверный формат"))</f>
        <v/>
      </c>
      <c r="Q176" s="24" t="str">
        <f aca="false">TRIM(IF(TRIM(B176)="","Нет наименования. ","")&amp;IF(TRIM(F176)="","Нет адреса. ","")&amp;IF(TRIM(G176)="","Нет контактного лица.",""))</f>
        <v/>
      </c>
      <c r="R176" s="21" t="n">
        <f aca="false">SUMPRODUCT(--(LEN(K176:Q176)&gt;0))</f>
        <v>0</v>
      </c>
      <c r="S176" s="24" t="str">
        <f aca="false">IF(R176=0,"Готово к передаче","Требует исправления")</f>
        <v>Готово к передаче</v>
      </c>
      <c r="T176" s="24" t="str">
        <f aca="false">IF(R176=0,"",_xlfn.TEXTJOIN("; ",TRUE(),K176:Q176))</f>
        <v/>
      </c>
      <c r="U176" s="24" t="str">
        <f aca="false">IF(R176=0,"","Здравствуйте! В данных организации «"&amp;B176&amp;"» обнаружены ошибки: "&amp;T176&amp;". Просим проверить и прислать исправленную информацию.")</f>
        <v/>
      </c>
      <c r="V176" s="21" t="str">
        <f aca="false">IF(R176&gt;0,COUNTIF($R$2:R176,"&gt;0"),"")</f>
        <v/>
      </c>
      <c r="W176" s="21" t="n">
        <f aca="false">IF(R176=0,COUNTIF($R$2:R176,0),"")</f>
        <v>112</v>
      </c>
    </row>
    <row r="177" customFormat="false" ht="15" hidden="false" customHeight="false" outlineLevel="0" collapsed="false">
      <c r="A177" s="21" t="n">
        <v>176</v>
      </c>
      <c r="B177" s="22" t="s">
        <v>1461</v>
      </c>
      <c r="C177" s="23" t="s">
        <v>1462</v>
      </c>
      <c r="D177" s="23" t="s">
        <v>1463</v>
      </c>
      <c r="E177" s="23" t="s">
        <v>1464</v>
      </c>
      <c r="F177" s="22" t="s">
        <v>1465</v>
      </c>
      <c r="G177" s="22" t="s">
        <v>1466</v>
      </c>
      <c r="H177" s="22" t="s">
        <v>1467</v>
      </c>
      <c r="I177" s="23" t="s">
        <v>1468</v>
      </c>
      <c r="J177" s="24" t="str">
        <f aca="false">IFERROR(VLOOKUP(VALUE(LEFT(C177,2)),Справочники!$A$2:$B$16,2,FALSE()),"не определён")</f>
        <v>Краснодарский край</v>
      </c>
      <c r="K177" s="24" t="str">
        <f aca="false">IF(TRIM(C177)="","ИНН не указан",IF(LEN(C177)&lt;&gt;10,"ИНН: должно быть 10 цифр",IF(NOT(ISNUMBER(IFERROR(VALUE(C177),"x"))),"ИНН: есть нецифровые символы",IF(MOD(MOD(SUMPRODUCT(--MID(C177,{1,2,3,4,5,6,7,8,9},1),{2,4,10,3,5,9,4,6,8}),11),10)=VALUE(RIGHT(C177,1)),"","ИНН: неверная контрольная цифра"))))</f>
        <v/>
      </c>
      <c r="L177" s="24" t="str">
        <f aca="false">IF(TRIM(D177)="","ОГРН не указан",IF(LEN(D177)&lt;&gt;13,"ОГРН: должно быть 13 цифр",IF(NOT(ISNUMBER(IFERROR(VALUE(D177),"x"))),"ОГРН: есть нецифровые символы",IF(MOD(VALUE(LEFT(D177,12))-11*INT(VALUE(LEFT(D177,12))/11),10)=VALUE(RIGHT(D177,1)),"","ОГРН: неверная контрольная цифра"))))</f>
        <v/>
      </c>
      <c r="M177" s="24" t="str">
        <f aca="false">IF(TRIM(E177)="","КПП не указан",IF(LEN(E177)&lt;&gt;9,"КПП: должно быть 9 знаков",IF(NOT(AND(ISNUMBER(IFERROR(VALUE(LEFT(E177,4)),"x")),ISNUMBER(IFERROR(VALUE(RIGHT(E177,3)),"x")))),"КПП: неверный формат",IF(LEFT(E177,2)&lt;&gt;LEFT(C177,2),"КПП: код региона не совпадает с ИНН",""))))</f>
        <v/>
      </c>
      <c r="N177" s="24" t="str">
        <f aca="false">IF(TRIM(C177)="","",IF(COUNTIF($C$2:$C$401,C177)&gt;1,"Дубликат ИНН в реестре",""))</f>
        <v/>
      </c>
      <c r="O177" s="24" t="str">
        <f aca="false">IF(TRIM(H177)="","Email не указан",IF(AND(ISNUMBER(FIND("@",H177)),ISNUMBER(FIND(".",H177,IFERROR(FIND("@",H177),1))),ISERROR(FIND(" ",H177)),LEFT(H177,1)&lt;&gt;"@",RIGHT(H177,1)&lt;&gt;".",LEN(H177)-LEN(SUBSTITUTE(H177,"@",""))=1),"","Email: неверный формат"))</f>
        <v/>
      </c>
      <c r="P177" s="24" t="str">
        <f aca="false">IF(TRIM(I177)="","Телефон не указан",IF(AND(LEN(SUBSTITUTE(SUBSTITUTE(SUBSTITUTE(SUBSTITUTE(SUBSTITUTE(I177," ",""),"-",""),"(",""),")",""),"+",""))=11,OR(LEFT(SUBSTITUTE(SUBSTITUTE(SUBSTITUTE(SUBSTITUTE(SUBSTITUTE(I177," ",""),"-",""),"(",""),")",""),"+",""),1)="7",LEFT(SUBSTITUTE(SUBSTITUTE(SUBSTITUTE(SUBSTITUTE(SUBSTITUTE(I177," ",""),"-",""),"(",""),")",""),"+",""),1)="8"),ISNUMBER(IFERROR(VALUE(SUBSTITUTE(SUBSTITUTE(SUBSTITUTE(SUBSTITUTE(SUBSTITUTE(I177," ",""),"-",""),"(",""),")",""),"+","")),"x"))),"","Телефон: неверный формат"))</f>
        <v/>
      </c>
      <c r="Q177" s="24" t="str">
        <f aca="false">TRIM(IF(TRIM(B177)="","Нет наименования. ","")&amp;IF(TRIM(F177)="","Нет адреса. ","")&amp;IF(TRIM(G177)="","Нет контактного лица.",""))</f>
        <v/>
      </c>
      <c r="R177" s="21" t="n">
        <f aca="false">SUMPRODUCT(--(LEN(K177:Q177)&gt;0))</f>
        <v>0</v>
      </c>
      <c r="S177" s="24" t="str">
        <f aca="false">IF(R177=0,"Готово к передаче","Требует исправления")</f>
        <v>Готово к передаче</v>
      </c>
      <c r="T177" s="24" t="str">
        <f aca="false">IF(R177=0,"",_xlfn.TEXTJOIN("; ",TRUE(),K177:Q177))</f>
        <v/>
      </c>
      <c r="U177" s="24" t="str">
        <f aca="false">IF(R177=0,"","Здравствуйте! В данных организации «"&amp;B177&amp;"» обнаружены ошибки: "&amp;T177&amp;". Просим проверить и прислать исправленную информацию.")</f>
        <v/>
      </c>
      <c r="V177" s="21" t="str">
        <f aca="false">IF(R177&gt;0,COUNTIF($R$2:R177,"&gt;0"),"")</f>
        <v/>
      </c>
      <c r="W177" s="21" t="n">
        <f aca="false">IF(R177=0,COUNTIF($R$2:R177,0),"")</f>
        <v>113</v>
      </c>
    </row>
    <row r="178" customFormat="false" ht="15" hidden="false" customHeight="false" outlineLevel="0" collapsed="false">
      <c r="A178" s="21" t="n">
        <v>177</v>
      </c>
      <c r="B178" s="22" t="s">
        <v>1469</v>
      </c>
      <c r="C178" s="23" t="s">
        <v>1470</v>
      </c>
      <c r="D178" s="23" t="s">
        <v>1471</v>
      </c>
      <c r="E178" s="23" t="s">
        <v>1472</v>
      </c>
      <c r="F178" s="22" t="s">
        <v>1473</v>
      </c>
      <c r="G178" s="22" t="s">
        <v>1474</v>
      </c>
      <c r="H178" s="22" t="s">
        <v>1475</v>
      </c>
      <c r="I178" s="23" t="s">
        <v>1476</v>
      </c>
      <c r="J178" s="24" t="str">
        <f aca="false">IFERROR(VLOOKUP(VALUE(LEFT(C178,2)),Справочники!$A$2:$B$16,2,FALSE()),"не определён")</f>
        <v>Ростовская область</v>
      </c>
      <c r="K178" s="24" t="str">
        <f aca="false">IF(TRIM(C178)="","ИНН не указан",IF(LEN(C178)&lt;&gt;10,"ИНН: должно быть 10 цифр",IF(NOT(ISNUMBER(IFERROR(VALUE(C178),"x"))),"ИНН: есть нецифровые символы",IF(MOD(MOD(SUMPRODUCT(--MID(C178,{1,2,3,4,5,6,7,8,9},1),{2,4,10,3,5,9,4,6,8}),11),10)=VALUE(RIGHT(C178,1)),"","ИНН: неверная контрольная цифра"))))</f>
        <v/>
      </c>
      <c r="L178" s="24" t="str">
        <f aca="false">IF(TRIM(D178)="","ОГРН не указан",IF(LEN(D178)&lt;&gt;13,"ОГРН: должно быть 13 цифр",IF(NOT(ISNUMBER(IFERROR(VALUE(D178),"x"))),"ОГРН: есть нецифровые символы",IF(MOD(VALUE(LEFT(D178,12))-11*INT(VALUE(LEFT(D178,12))/11),10)=VALUE(RIGHT(D178,1)),"","ОГРН: неверная контрольная цифра"))))</f>
        <v/>
      </c>
      <c r="M178" s="24" t="str">
        <f aca="false">IF(TRIM(E178)="","КПП не указан",IF(LEN(E178)&lt;&gt;9,"КПП: должно быть 9 знаков",IF(NOT(AND(ISNUMBER(IFERROR(VALUE(LEFT(E178,4)),"x")),ISNUMBER(IFERROR(VALUE(RIGHT(E178,3)),"x")))),"КПП: неверный формат",IF(LEFT(E178,2)&lt;&gt;LEFT(C178,2),"КПП: код региона не совпадает с ИНН",""))))</f>
        <v/>
      </c>
      <c r="N178" s="24" t="str">
        <f aca="false">IF(TRIM(C178)="","",IF(COUNTIF($C$2:$C$401,C178)&gt;1,"Дубликат ИНН в реестре",""))</f>
        <v/>
      </c>
      <c r="O178" s="24" t="str">
        <f aca="false">IF(TRIM(H178)="","Email не указан",IF(AND(ISNUMBER(FIND("@",H178)),ISNUMBER(FIND(".",H178,IFERROR(FIND("@",H178),1))),ISERROR(FIND(" ",H178)),LEFT(H178,1)&lt;&gt;"@",RIGHT(H178,1)&lt;&gt;".",LEN(H178)-LEN(SUBSTITUTE(H178,"@",""))=1),"","Email: неверный формат"))</f>
        <v/>
      </c>
      <c r="P178" s="24" t="str">
        <f aca="false">IF(TRIM(I178)="","Телефон не указан",IF(AND(LEN(SUBSTITUTE(SUBSTITUTE(SUBSTITUTE(SUBSTITUTE(SUBSTITUTE(I178," ",""),"-",""),"(",""),")",""),"+",""))=11,OR(LEFT(SUBSTITUTE(SUBSTITUTE(SUBSTITUTE(SUBSTITUTE(SUBSTITUTE(I178," ",""),"-",""),"(",""),")",""),"+",""),1)="7",LEFT(SUBSTITUTE(SUBSTITUTE(SUBSTITUTE(SUBSTITUTE(SUBSTITUTE(I178," ",""),"-",""),"(",""),")",""),"+",""),1)="8"),ISNUMBER(IFERROR(VALUE(SUBSTITUTE(SUBSTITUTE(SUBSTITUTE(SUBSTITUTE(SUBSTITUTE(I178," ",""),"-",""),"(",""),")",""),"+","")),"x"))),"","Телефон: неверный формат"))</f>
        <v/>
      </c>
      <c r="Q178" s="24" t="str">
        <f aca="false">TRIM(IF(TRIM(B178)="","Нет наименования. ","")&amp;IF(TRIM(F178)="","Нет адреса. ","")&amp;IF(TRIM(G178)="","Нет контактного лица.",""))</f>
        <v/>
      </c>
      <c r="R178" s="21" t="n">
        <f aca="false">SUMPRODUCT(--(LEN(K178:Q178)&gt;0))</f>
        <v>0</v>
      </c>
      <c r="S178" s="24" t="str">
        <f aca="false">IF(R178=0,"Готово к передаче","Требует исправления")</f>
        <v>Готово к передаче</v>
      </c>
      <c r="T178" s="24" t="str">
        <f aca="false">IF(R178=0,"",_xlfn.TEXTJOIN("; ",TRUE(),K178:Q178))</f>
        <v/>
      </c>
      <c r="U178" s="24" t="str">
        <f aca="false">IF(R178=0,"","Здравствуйте! В данных организации «"&amp;B178&amp;"» обнаружены ошибки: "&amp;T178&amp;". Просим проверить и прислать исправленную информацию.")</f>
        <v/>
      </c>
      <c r="V178" s="21" t="str">
        <f aca="false">IF(R178&gt;0,COUNTIF($R$2:R178,"&gt;0"),"")</f>
        <v/>
      </c>
      <c r="W178" s="21" t="n">
        <f aca="false">IF(R178=0,COUNTIF($R$2:R178,0),"")</f>
        <v>114</v>
      </c>
    </row>
    <row r="179" customFormat="false" ht="15" hidden="false" customHeight="false" outlineLevel="0" collapsed="false">
      <c r="A179" s="21" t="n">
        <v>178</v>
      </c>
      <c r="B179" s="22" t="s">
        <v>1477</v>
      </c>
      <c r="C179" s="23" t="s">
        <v>1478</v>
      </c>
      <c r="D179" s="23" t="s">
        <v>1479</v>
      </c>
      <c r="E179" s="23" t="s">
        <v>1480</v>
      </c>
      <c r="F179" s="22" t="s">
        <v>1481</v>
      </c>
      <c r="G179" s="22" t="s">
        <v>1482</v>
      </c>
      <c r="H179" s="22" t="s">
        <v>1483</v>
      </c>
      <c r="I179" s="23" t="s">
        <v>1484</v>
      </c>
      <c r="J179" s="24" t="str">
        <f aca="false">IFERROR(VLOOKUP(VALUE(LEFT(C179,2)),Справочники!$A$2:$B$16,2,FALSE()),"не определён")</f>
        <v>Самарская область</v>
      </c>
      <c r="K179" s="24" t="str">
        <f aca="false">IF(TRIM(C179)="","ИНН не указан",IF(LEN(C179)&lt;&gt;10,"ИНН: должно быть 10 цифр",IF(NOT(ISNUMBER(IFERROR(VALUE(C179),"x"))),"ИНН: есть нецифровые символы",IF(MOD(MOD(SUMPRODUCT(--MID(C179,{1,2,3,4,5,6,7,8,9},1),{2,4,10,3,5,9,4,6,8}),11),10)=VALUE(RIGHT(C179,1)),"","ИНН: неверная контрольная цифра"))))</f>
        <v/>
      </c>
      <c r="L179" s="24" t="str">
        <f aca="false">IF(TRIM(D179)="","ОГРН не указан",IF(LEN(D179)&lt;&gt;13,"ОГРН: должно быть 13 цифр",IF(NOT(ISNUMBER(IFERROR(VALUE(D179),"x"))),"ОГРН: есть нецифровые символы",IF(MOD(VALUE(LEFT(D179,12))-11*INT(VALUE(LEFT(D179,12))/11),10)=VALUE(RIGHT(D179,1)),"","ОГРН: неверная контрольная цифра"))))</f>
        <v/>
      </c>
      <c r="M179" s="24" t="str">
        <f aca="false">IF(TRIM(E179)="","КПП не указан",IF(LEN(E179)&lt;&gt;9,"КПП: должно быть 9 знаков",IF(NOT(AND(ISNUMBER(IFERROR(VALUE(LEFT(E179,4)),"x")),ISNUMBER(IFERROR(VALUE(RIGHT(E179,3)),"x")))),"КПП: неверный формат",IF(LEFT(E179,2)&lt;&gt;LEFT(C179,2),"КПП: код региона не совпадает с ИНН",""))))</f>
        <v/>
      </c>
      <c r="N179" s="24" t="str">
        <f aca="false">IF(TRIM(C179)="","",IF(COUNTIF($C$2:$C$401,C179)&gt;1,"Дубликат ИНН в реестре",""))</f>
        <v/>
      </c>
      <c r="O179" s="24" t="str">
        <f aca="false">IF(TRIM(H179)="","Email не указан",IF(AND(ISNUMBER(FIND("@",H179)),ISNUMBER(FIND(".",H179,IFERROR(FIND("@",H179),1))),ISERROR(FIND(" ",H179)),LEFT(H179,1)&lt;&gt;"@",RIGHT(H179,1)&lt;&gt;".",LEN(H179)-LEN(SUBSTITUTE(H179,"@",""))=1),"","Email: неверный формат"))</f>
        <v/>
      </c>
      <c r="P179" s="24" t="str">
        <f aca="false">IF(TRIM(I179)="","Телефон не указан",IF(AND(LEN(SUBSTITUTE(SUBSTITUTE(SUBSTITUTE(SUBSTITUTE(SUBSTITUTE(I179," ",""),"-",""),"(",""),")",""),"+",""))=11,OR(LEFT(SUBSTITUTE(SUBSTITUTE(SUBSTITUTE(SUBSTITUTE(SUBSTITUTE(I179," ",""),"-",""),"(",""),")",""),"+",""),1)="7",LEFT(SUBSTITUTE(SUBSTITUTE(SUBSTITUTE(SUBSTITUTE(SUBSTITUTE(I179," ",""),"-",""),"(",""),")",""),"+",""),1)="8"),ISNUMBER(IFERROR(VALUE(SUBSTITUTE(SUBSTITUTE(SUBSTITUTE(SUBSTITUTE(SUBSTITUTE(I179," ",""),"-",""),"(",""),")",""),"+","")),"x"))),"","Телефон: неверный формат"))</f>
        <v/>
      </c>
      <c r="Q179" s="24" t="str">
        <f aca="false">TRIM(IF(TRIM(B179)="","Нет наименования. ","")&amp;IF(TRIM(F179)="","Нет адреса. ","")&amp;IF(TRIM(G179)="","Нет контактного лица.",""))</f>
        <v/>
      </c>
      <c r="R179" s="21" t="n">
        <f aca="false">SUMPRODUCT(--(LEN(K179:Q179)&gt;0))</f>
        <v>0</v>
      </c>
      <c r="S179" s="24" t="str">
        <f aca="false">IF(R179=0,"Готово к передаче","Требует исправления")</f>
        <v>Готово к передаче</v>
      </c>
      <c r="T179" s="24" t="str">
        <f aca="false">IF(R179=0,"",_xlfn.TEXTJOIN("; ",TRUE(),K179:Q179))</f>
        <v/>
      </c>
      <c r="U179" s="24" t="str">
        <f aca="false">IF(R179=0,"","Здравствуйте! В данных организации «"&amp;B179&amp;"» обнаружены ошибки: "&amp;T179&amp;". Просим проверить и прислать исправленную информацию.")</f>
        <v/>
      </c>
      <c r="V179" s="21" t="str">
        <f aca="false">IF(R179&gt;0,COUNTIF($R$2:R179,"&gt;0"),"")</f>
        <v/>
      </c>
      <c r="W179" s="21" t="n">
        <f aca="false">IF(R179=0,COUNTIF($R$2:R179,0),"")</f>
        <v>115</v>
      </c>
    </row>
    <row r="180" customFormat="false" ht="15" hidden="false" customHeight="false" outlineLevel="0" collapsed="false">
      <c r="A180" s="21" t="n">
        <v>179</v>
      </c>
      <c r="B180" s="22" t="s">
        <v>1485</v>
      </c>
      <c r="C180" s="23" t="s">
        <v>1486</v>
      </c>
      <c r="D180" s="23" t="s">
        <v>1487</v>
      </c>
      <c r="E180" s="23" t="s">
        <v>1488</v>
      </c>
      <c r="F180" s="22" t="s">
        <v>1489</v>
      </c>
      <c r="G180" s="22" t="s">
        <v>1490</v>
      </c>
      <c r="H180" s="22" t="s">
        <v>1491</v>
      </c>
      <c r="I180" s="23" t="s">
        <v>1492</v>
      </c>
      <c r="J180" s="24" t="str">
        <f aca="false">IFERROR(VLOOKUP(VALUE(LEFT(C180,2)),Справочники!$A$2:$B$16,2,FALSE()),"не определён")</f>
        <v>Свердловская область</v>
      </c>
      <c r="K180" s="24" t="str">
        <f aca="false">IF(TRIM(C180)="","ИНН не указан",IF(LEN(C180)&lt;&gt;10,"ИНН: должно быть 10 цифр",IF(NOT(ISNUMBER(IFERROR(VALUE(C180),"x"))),"ИНН: есть нецифровые символы",IF(MOD(MOD(SUMPRODUCT(--MID(C180,{1,2,3,4,5,6,7,8,9},1),{2,4,10,3,5,9,4,6,8}),11),10)=VALUE(RIGHT(C180,1)),"","ИНН: неверная контрольная цифра"))))</f>
        <v/>
      </c>
      <c r="L180" s="24" t="str">
        <f aca="false">IF(TRIM(D180)="","ОГРН не указан",IF(LEN(D180)&lt;&gt;13,"ОГРН: должно быть 13 цифр",IF(NOT(ISNUMBER(IFERROR(VALUE(D180),"x"))),"ОГРН: есть нецифровые символы",IF(MOD(VALUE(LEFT(D180,12))-11*INT(VALUE(LEFT(D180,12))/11),10)=VALUE(RIGHT(D180,1)),"","ОГРН: неверная контрольная цифра"))))</f>
        <v/>
      </c>
      <c r="M180" s="24" t="str">
        <f aca="false">IF(TRIM(E180)="","КПП не указан",IF(LEN(E180)&lt;&gt;9,"КПП: должно быть 9 знаков",IF(NOT(AND(ISNUMBER(IFERROR(VALUE(LEFT(E180,4)),"x")),ISNUMBER(IFERROR(VALUE(RIGHT(E180,3)),"x")))),"КПП: неверный формат",IF(LEFT(E180,2)&lt;&gt;LEFT(C180,2),"КПП: код региона не совпадает с ИНН",""))))</f>
        <v/>
      </c>
      <c r="N180" s="24" t="str">
        <f aca="false">IF(TRIM(C180)="","",IF(COUNTIF($C$2:$C$401,C180)&gt;1,"Дубликат ИНН в реестре",""))</f>
        <v/>
      </c>
      <c r="O180" s="24" t="str">
        <f aca="false">IF(TRIM(H180)="","Email не указан",IF(AND(ISNUMBER(FIND("@",H180)),ISNUMBER(FIND(".",H180,IFERROR(FIND("@",H180),1))),ISERROR(FIND(" ",H180)),LEFT(H180,1)&lt;&gt;"@",RIGHT(H180,1)&lt;&gt;".",LEN(H180)-LEN(SUBSTITUTE(H180,"@",""))=1),"","Email: неверный формат"))</f>
        <v/>
      </c>
      <c r="P180" s="24" t="str">
        <f aca="false">IF(TRIM(I180)="","Телефон не указан",IF(AND(LEN(SUBSTITUTE(SUBSTITUTE(SUBSTITUTE(SUBSTITUTE(SUBSTITUTE(I180," ",""),"-",""),"(",""),")",""),"+",""))=11,OR(LEFT(SUBSTITUTE(SUBSTITUTE(SUBSTITUTE(SUBSTITUTE(SUBSTITUTE(I180," ",""),"-",""),"(",""),")",""),"+",""),1)="7",LEFT(SUBSTITUTE(SUBSTITUTE(SUBSTITUTE(SUBSTITUTE(SUBSTITUTE(I180," ",""),"-",""),"(",""),")",""),"+",""),1)="8"),ISNUMBER(IFERROR(VALUE(SUBSTITUTE(SUBSTITUTE(SUBSTITUTE(SUBSTITUTE(SUBSTITUTE(I180," ",""),"-",""),"(",""),")",""),"+","")),"x"))),"","Телефон: неверный формат"))</f>
        <v/>
      </c>
      <c r="Q180" s="24" t="str">
        <f aca="false">TRIM(IF(TRIM(B180)="","Нет наименования. ","")&amp;IF(TRIM(F180)="","Нет адреса. ","")&amp;IF(TRIM(G180)="","Нет контактного лица.",""))</f>
        <v/>
      </c>
      <c r="R180" s="21" t="n">
        <f aca="false">SUMPRODUCT(--(LEN(K180:Q180)&gt;0))</f>
        <v>0</v>
      </c>
      <c r="S180" s="24" t="str">
        <f aca="false">IF(R180=0,"Готово к передаче","Требует исправления")</f>
        <v>Готово к передаче</v>
      </c>
      <c r="T180" s="24" t="str">
        <f aca="false">IF(R180=0,"",_xlfn.TEXTJOIN("; ",TRUE(),K180:Q180))</f>
        <v/>
      </c>
      <c r="U180" s="24" t="str">
        <f aca="false">IF(R180=0,"","Здравствуйте! В данных организации «"&amp;B180&amp;"» обнаружены ошибки: "&amp;T180&amp;". Просим проверить и прислать исправленную информацию.")</f>
        <v/>
      </c>
      <c r="V180" s="21" t="str">
        <f aca="false">IF(R180&gt;0,COUNTIF($R$2:R180,"&gt;0"),"")</f>
        <v/>
      </c>
      <c r="W180" s="21" t="n">
        <f aca="false">IF(R180=0,COUNTIF($R$2:R180,0),"")</f>
        <v>116</v>
      </c>
    </row>
    <row r="181" customFormat="false" ht="15" hidden="false" customHeight="false" outlineLevel="0" collapsed="false">
      <c r="A181" s="21" t="n">
        <v>180</v>
      </c>
      <c r="B181" s="22" t="s">
        <v>1493</v>
      </c>
      <c r="C181" s="23" t="s">
        <v>1494</v>
      </c>
      <c r="D181" s="23" t="s">
        <v>1495</v>
      </c>
      <c r="E181" s="23" t="s">
        <v>1496</v>
      </c>
      <c r="F181" s="22" t="s">
        <v>1497</v>
      </c>
      <c r="G181" s="22" t="s">
        <v>1498</v>
      </c>
      <c r="H181" s="22" t="s">
        <v>1499</v>
      </c>
      <c r="I181" s="23" t="s">
        <v>1500</v>
      </c>
      <c r="J181" s="24" t="str">
        <f aca="false">IFERROR(VLOOKUP(VALUE(LEFT(C181,2)),Справочники!$A$2:$B$16,2,FALSE()),"не определён")</f>
        <v>г. Севастополь</v>
      </c>
      <c r="K181" s="24" t="str">
        <f aca="false">IF(TRIM(C181)="","ИНН не указан",IF(LEN(C181)&lt;&gt;10,"ИНН: должно быть 10 цифр",IF(NOT(ISNUMBER(IFERROR(VALUE(C181),"x"))),"ИНН: есть нецифровые символы",IF(MOD(MOD(SUMPRODUCT(--MID(C181,{1,2,3,4,5,6,7,8,9},1),{2,4,10,3,5,9,4,6,8}),11),10)=VALUE(RIGHT(C181,1)),"","ИНН: неверная контрольная цифра"))))</f>
        <v/>
      </c>
      <c r="L181" s="24" t="str">
        <f aca="false">IF(TRIM(D181)="","ОГРН не указан",IF(LEN(D181)&lt;&gt;13,"ОГРН: должно быть 13 цифр",IF(NOT(ISNUMBER(IFERROR(VALUE(D181),"x"))),"ОГРН: есть нецифровые символы",IF(MOD(VALUE(LEFT(D181,12))-11*INT(VALUE(LEFT(D181,12))/11),10)=VALUE(RIGHT(D181,1)),"","ОГРН: неверная контрольная цифра"))))</f>
        <v>ОГРН: неверная контрольная цифра</v>
      </c>
      <c r="M181" s="24" t="str">
        <f aca="false">IF(TRIM(E181)="","КПП не указан",IF(LEN(E181)&lt;&gt;9,"КПП: должно быть 9 знаков",IF(NOT(AND(ISNUMBER(IFERROR(VALUE(LEFT(E181,4)),"x")),ISNUMBER(IFERROR(VALUE(RIGHT(E181,3)),"x")))),"КПП: неверный формат",IF(LEFT(E181,2)&lt;&gt;LEFT(C181,2),"КПП: код региона не совпадает с ИНН",""))))</f>
        <v/>
      </c>
      <c r="N181" s="24" t="str">
        <f aca="false">IF(TRIM(C181)="","",IF(COUNTIF($C$2:$C$401,C181)&gt;1,"Дубликат ИНН в реестре",""))</f>
        <v/>
      </c>
      <c r="O181" s="24" t="str">
        <f aca="false">IF(TRIM(H181)="","Email не указан",IF(AND(ISNUMBER(FIND("@",H181)),ISNUMBER(FIND(".",H181,IFERROR(FIND("@",H181),1))),ISERROR(FIND(" ",H181)),LEFT(H181,1)&lt;&gt;"@",RIGHT(H181,1)&lt;&gt;".",LEN(H181)-LEN(SUBSTITUTE(H181,"@",""))=1),"","Email: неверный формат"))</f>
        <v/>
      </c>
      <c r="P181" s="24" t="str">
        <f aca="false">IF(TRIM(I181)="","Телефон не указан",IF(AND(LEN(SUBSTITUTE(SUBSTITUTE(SUBSTITUTE(SUBSTITUTE(SUBSTITUTE(I181," ",""),"-",""),"(",""),")",""),"+",""))=11,OR(LEFT(SUBSTITUTE(SUBSTITUTE(SUBSTITUTE(SUBSTITUTE(SUBSTITUTE(I181," ",""),"-",""),"(",""),")",""),"+",""),1)="7",LEFT(SUBSTITUTE(SUBSTITUTE(SUBSTITUTE(SUBSTITUTE(SUBSTITUTE(I181," ",""),"-",""),"(",""),")",""),"+",""),1)="8"),ISNUMBER(IFERROR(VALUE(SUBSTITUTE(SUBSTITUTE(SUBSTITUTE(SUBSTITUTE(SUBSTITUTE(I181," ",""),"-",""),"(",""),")",""),"+","")),"x"))),"","Телефон: неверный формат"))</f>
        <v/>
      </c>
      <c r="Q181" s="24" t="str">
        <f aca="false">TRIM(IF(TRIM(B181)="","Нет наименования. ","")&amp;IF(TRIM(F181)="","Нет адреса. ","")&amp;IF(TRIM(G181)="","Нет контактного лица.",""))</f>
        <v/>
      </c>
      <c r="R181" s="21" t="n">
        <f aca="false">SUMPRODUCT(--(LEN(K181:Q181)&gt;0))</f>
        <v>1</v>
      </c>
      <c r="S181" s="24" t="str">
        <f aca="false">IF(R181=0,"Готово к передаче","Требует исправления")</f>
        <v>Требует исправления</v>
      </c>
      <c r="T181" s="24" t="str">
        <f aca="false">IF(R181=0,"",_xlfn.TEXTJOIN("; ",TRUE(),K181:Q181))</f>
        <v>ОГРН: неверная контрольная цифра</v>
      </c>
      <c r="U181" s="24" t="str">
        <f aca="false">IF(R181=0,"","Здравствуйте! В данных организации «"&amp;B181&amp;"» обнаружены ошибки: "&amp;T181&amp;". Просим проверить и прислать исправленную информацию.")</f>
        <v>Здравствуйте! В данных организации «ООО «Линия Агро»» обнаружены ошибки: ОГРН: неверная контрольная цифра. Просим проверить и прислать исправленную информацию.</v>
      </c>
      <c r="V181" s="21" t="n">
        <f aca="false">IF(R181&gt;0,COUNTIF($R$2:R181,"&gt;0"),"")</f>
        <v>64</v>
      </c>
      <c r="W181" s="21" t="str">
        <f aca="false">IF(R181=0,COUNTIF($R$2:R181,0),"")</f>
        <v/>
      </c>
    </row>
    <row r="182" customFormat="false" ht="15" hidden="false" customHeight="false" outlineLevel="0" collapsed="false">
      <c r="A182" s="21" t="n">
        <v>181</v>
      </c>
      <c r="B182" s="22" t="s">
        <v>1501</v>
      </c>
      <c r="C182" s="23" t="s">
        <v>1502</v>
      </c>
      <c r="D182" s="23" t="s">
        <v>1503</v>
      </c>
      <c r="E182" s="23" t="s">
        <v>1504</v>
      </c>
      <c r="F182" s="22" t="s">
        <v>1505</v>
      </c>
      <c r="G182" s="22" t="s">
        <v>1506</v>
      </c>
      <c r="H182" s="22" t="s">
        <v>1507</v>
      </c>
      <c r="I182" s="23" t="s">
        <v>1508</v>
      </c>
      <c r="J182" s="24" t="str">
        <f aca="false">IFERROR(VLOOKUP(VALUE(LEFT(C182,2)),Справочники!$A$2:$B$16,2,FALSE()),"не определён")</f>
        <v>Ростовская область</v>
      </c>
      <c r="K182" s="24" t="str">
        <f aca="false">IF(TRIM(C182)="","ИНН не указан",IF(LEN(C182)&lt;&gt;10,"ИНН: должно быть 10 цифр",IF(NOT(ISNUMBER(IFERROR(VALUE(C182),"x"))),"ИНН: есть нецифровые символы",IF(MOD(MOD(SUMPRODUCT(--MID(C182,{1,2,3,4,5,6,7,8,9},1),{2,4,10,3,5,9,4,6,8}),11),10)=VALUE(RIGHT(C182,1)),"","ИНН: неверная контрольная цифра"))))</f>
        <v/>
      </c>
      <c r="L182" s="24" t="str">
        <f aca="false">IF(TRIM(D182)="","ОГРН не указан",IF(LEN(D182)&lt;&gt;13,"ОГРН: должно быть 13 цифр",IF(NOT(ISNUMBER(IFERROR(VALUE(D182),"x"))),"ОГРН: есть нецифровые символы",IF(MOD(VALUE(LEFT(D182,12))-11*INT(VALUE(LEFT(D182,12))/11),10)=VALUE(RIGHT(D182,1)),"","ОГРН: неверная контрольная цифра"))))</f>
        <v/>
      </c>
      <c r="M182" s="24" t="str">
        <f aca="false">IF(TRIM(E182)="","КПП не указан",IF(LEN(E182)&lt;&gt;9,"КПП: должно быть 9 знаков",IF(NOT(AND(ISNUMBER(IFERROR(VALUE(LEFT(E182,4)),"x")),ISNUMBER(IFERROR(VALUE(RIGHT(E182,3)),"x")))),"КПП: неверный формат",IF(LEFT(E182,2)&lt;&gt;LEFT(C182,2),"КПП: код региона не совпадает с ИНН",""))))</f>
        <v/>
      </c>
      <c r="N182" s="24" t="str">
        <f aca="false">IF(TRIM(C182)="","",IF(COUNTIF($C$2:$C$401,C182)&gt;1,"Дубликат ИНН в реестре",""))</f>
        <v/>
      </c>
      <c r="O182" s="24" t="str">
        <f aca="false">IF(TRIM(H182)="","Email не указан",IF(AND(ISNUMBER(FIND("@",H182)),ISNUMBER(FIND(".",H182,IFERROR(FIND("@",H182),1))),ISERROR(FIND(" ",H182)),LEFT(H182,1)&lt;&gt;"@",RIGHT(H182,1)&lt;&gt;".",LEN(H182)-LEN(SUBSTITUTE(H182,"@",""))=1),"","Email: неверный формат"))</f>
        <v/>
      </c>
      <c r="P182" s="24" t="str">
        <f aca="false">IF(TRIM(I182)="","Телефон не указан",IF(AND(LEN(SUBSTITUTE(SUBSTITUTE(SUBSTITUTE(SUBSTITUTE(SUBSTITUTE(I182," ",""),"-",""),"(",""),")",""),"+",""))=11,OR(LEFT(SUBSTITUTE(SUBSTITUTE(SUBSTITUTE(SUBSTITUTE(SUBSTITUTE(I182," ",""),"-",""),"(",""),")",""),"+",""),1)="7",LEFT(SUBSTITUTE(SUBSTITUTE(SUBSTITUTE(SUBSTITUTE(SUBSTITUTE(I182," ",""),"-",""),"(",""),")",""),"+",""),1)="8"),ISNUMBER(IFERROR(VALUE(SUBSTITUTE(SUBSTITUTE(SUBSTITUTE(SUBSTITUTE(SUBSTITUTE(I182," ",""),"-",""),"(",""),")",""),"+","")),"x"))),"","Телефон: неверный формат"))</f>
        <v/>
      </c>
      <c r="Q182" s="24" t="str">
        <f aca="false">TRIM(IF(TRIM(B182)="","Нет наименования. ","")&amp;IF(TRIM(F182)="","Нет адреса. ","")&amp;IF(TRIM(G182)="","Нет контактного лица.",""))</f>
        <v/>
      </c>
      <c r="R182" s="21" t="n">
        <f aca="false">SUMPRODUCT(--(LEN(K182:Q182)&gt;0))</f>
        <v>0</v>
      </c>
      <c r="S182" s="24" t="str">
        <f aca="false">IF(R182=0,"Готово к передаче","Требует исправления")</f>
        <v>Готово к передаче</v>
      </c>
      <c r="T182" s="24" t="str">
        <f aca="false">IF(R182=0,"",_xlfn.TEXTJOIN("; ",TRUE(),K182:Q182))</f>
        <v/>
      </c>
      <c r="U182" s="24" t="str">
        <f aca="false">IF(R182=0,"","Здравствуйте! В данных организации «"&amp;B182&amp;"» обнаружены ошибки: "&amp;T182&amp;". Просим проверить и прислать исправленную информацию.")</f>
        <v/>
      </c>
      <c r="V182" s="21" t="str">
        <f aca="false">IF(R182&gt;0,COUNTIF($R$2:R182,"&gt;0"),"")</f>
        <v/>
      </c>
      <c r="W182" s="21" t="n">
        <f aca="false">IF(R182=0,COUNTIF($R$2:R182,0),"")</f>
        <v>117</v>
      </c>
    </row>
    <row r="183" customFormat="false" ht="15" hidden="false" customHeight="false" outlineLevel="0" collapsed="false">
      <c r="A183" s="21" t="n">
        <v>182</v>
      </c>
      <c r="B183" s="22" t="s">
        <v>1509</v>
      </c>
      <c r="C183" s="23" t="s">
        <v>1510</v>
      </c>
      <c r="D183" s="23" t="s">
        <v>1511</v>
      </c>
      <c r="E183" s="23" t="s">
        <v>1512</v>
      </c>
      <c r="F183" s="22" t="s">
        <v>1513</v>
      </c>
      <c r="G183" s="22" t="s">
        <v>1514</v>
      </c>
      <c r="H183" s="22" t="s">
        <v>1515</v>
      </c>
      <c r="I183" s="23" t="s">
        <v>1516</v>
      </c>
      <c r="J183" s="24" t="str">
        <f aca="false">IFERROR(VLOOKUP(VALUE(LEFT(C183,2)),Справочники!$A$2:$B$16,2,FALSE()),"не определён")</f>
        <v>Республика Татарстан</v>
      </c>
      <c r="K183" s="24" t="str">
        <f aca="false">IF(TRIM(C183)="","ИНН не указан",IF(LEN(C183)&lt;&gt;10,"ИНН: должно быть 10 цифр",IF(NOT(ISNUMBER(IFERROR(VALUE(C183),"x"))),"ИНН: есть нецифровые символы",IF(MOD(MOD(SUMPRODUCT(--MID(C183,{1,2,3,4,5,6,7,8,9},1),{2,4,10,3,5,9,4,6,8}),11),10)=VALUE(RIGHT(C183,1)),"","ИНН: неверная контрольная цифра"))))</f>
        <v/>
      </c>
      <c r="L183" s="24" t="str">
        <f aca="false">IF(TRIM(D183)="","ОГРН не указан",IF(LEN(D183)&lt;&gt;13,"ОГРН: должно быть 13 цифр",IF(NOT(ISNUMBER(IFERROR(VALUE(D183),"x"))),"ОГРН: есть нецифровые символы",IF(MOD(VALUE(LEFT(D183,12))-11*INT(VALUE(LEFT(D183,12))/11),10)=VALUE(RIGHT(D183,1)),"","ОГРН: неверная контрольная цифра"))))</f>
        <v/>
      </c>
      <c r="M183" s="24" t="str">
        <f aca="false">IF(TRIM(E183)="","КПП не указан",IF(LEN(E183)&lt;&gt;9,"КПП: должно быть 9 знаков",IF(NOT(AND(ISNUMBER(IFERROR(VALUE(LEFT(E183,4)),"x")),ISNUMBER(IFERROR(VALUE(RIGHT(E183,3)),"x")))),"КПП: неверный формат",IF(LEFT(E183,2)&lt;&gt;LEFT(C183,2),"КПП: код региона не совпадает с ИНН",""))))</f>
        <v/>
      </c>
      <c r="N183" s="24" t="str">
        <f aca="false">IF(TRIM(C183)="","",IF(COUNTIF($C$2:$C$401,C183)&gt;1,"Дубликат ИНН в реестре",""))</f>
        <v/>
      </c>
      <c r="O183" s="24" t="str">
        <f aca="false">IF(TRIM(H183)="","Email не указан",IF(AND(ISNUMBER(FIND("@",H183)),ISNUMBER(FIND(".",H183,IFERROR(FIND("@",H183),1))),ISERROR(FIND(" ",H183)),LEFT(H183,1)&lt;&gt;"@",RIGHT(H183,1)&lt;&gt;".",LEN(H183)-LEN(SUBSTITUTE(H183,"@",""))=1),"","Email: неверный формат"))</f>
        <v/>
      </c>
      <c r="P183" s="24" t="str">
        <f aca="false">IF(TRIM(I183)="","Телефон не указан",IF(AND(LEN(SUBSTITUTE(SUBSTITUTE(SUBSTITUTE(SUBSTITUTE(SUBSTITUTE(I183," ",""),"-",""),"(",""),")",""),"+",""))=11,OR(LEFT(SUBSTITUTE(SUBSTITUTE(SUBSTITUTE(SUBSTITUTE(SUBSTITUTE(I183," ",""),"-",""),"(",""),")",""),"+",""),1)="7",LEFT(SUBSTITUTE(SUBSTITUTE(SUBSTITUTE(SUBSTITUTE(SUBSTITUTE(I183," ",""),"-",""),"(",""),")",""),"+",""),1)="8"),ISNUMBER(IFERROR(VALUE(SUBSTITUTE(SUBSTITUTE(SUBSTITUTE(SUBSTITUTE(SUBSTITUTE(I183," ",""),"-",""),"(",""),")",""),"+","")),"x"))),"","Телефон: неверный формат"))</f>
        <v/>
      </c>
      <c r="Q183" s="24" t="str">
        <f aca="false">TRIM(IF(TRIM(B183)="","Нет наименования. ","")&amp;IF(TRIM(F183)="","Нет адреса. ","")&amp;IF(TRIM(G183)="","Нет контактного лица.",""))</f>
        <v/>
      </c>
      <c r="R183" s="21" t="n">
        <f aca="false">SUMPRODUCT(--(LEN(K183:Q183)&gt;0))</f>
        <v>0</v>
      </c>
      <c r="S183" s="24" t="str">
        <f aca="false">IF(R183=0,"Готово к передаче","Требует исправления")</f>
        <v>Готово к передаче</v>
      </c>
      <c r="T183" s="24" t="str">
        <f aca="false">IF(R183=0,"",_xlfn.TEXTJOIN("; ",TRUE(),K183:Q183))</f>
        <v/>
      </c>
      <c r="U183" s="24" t="str">
        <f aca="false">IF(R183=0,"","Здравствуйте! В данных организации «"&amp;B183&amp;"» обнаружены ошибки: "&amp;T183&amp;". Просим проверить и прислать исправленную информацию.")</f>
        <v/>
      </c>
      <c r="V183" s="21" t="str">
        <f aca="false">IF(R183&gt;0,COUNTIF($R$2:R183,"&gt;0"),"")</f>
        <v/>
      </c>
      <c r="W183" s="21" t="n">
        <f aca="false">IF(R183=0,COUNTIF($R$2:R183,0),"")</f>
        <v>118</v>
      </c>
    </row>
    <row r="184" customFormat="false" ht="15" hidden="false" customHeight="false" outlineLevel="0" collapsed="false">
      <c r="A184" s="21" t="n">
        <v>183</v>
      </c>
      <c r="B184" s="22" t="s">
        <v>1517</v>
      </c>
      <c r="C184" s="23" t="s">
        <v>1518</v>
      </c>
      <c r="D184" s="23" t="s">
        <v>1519</v>
      </c>
      <c r="E184" s="23" t="s">
        <v>1520</v>
      </c>
      <c r="F184" s="22" t="s">
        <v>1521</v>
      </c>
      <c r="G184" s="22" t="s">
        <v>1522</v>
      </c>
      <c r="H184" s="22" t="s">
        <v>1523</v>
      </c>
      <c r="I184" s="23" t="s">
        <v>1524</v>
      </c>
      <c r="J184" s="24" t="str">
        <f aca="false">IFERROR(VLOOKUP(VALUE(LEFT(C184,2)),Справочники!$A$2:$B$16,2,FALSE()),"не определён")</f>
        <v>Московская область</v>
      </c>
      <c r="K184" s="24" t="str">
        <f aca="false">IF(TRIM(C184)="","ИНН не указан",IF(LEN(C184)&lt;&gt;10,"ИНН: должно быть 10 цифр",IF(NOT(ISNUMBER(IFERROR(VALUE(C184),"x"))),"ИНН: есть нецифровые символы",IF(MOD(MOD(SUMPRODUCT(--MID(C184,{1,2,3,4,5,6,7,8,9},1),{2,4,10,3,5,9,4,6,8}),11),10)=VALUE(RIGHT(C184,1)),"","ИНН: неверная контрольная цифра"))))</f>
        <v/>
      </c>
      <c r="L184" s="24" t="str">
        <f aca="false">IF(TRIM(D184)="","ОГРН не указан",IF(LEN(D184)&lt;&gt;13,"ОГРН: должно быть 13 цифр",IF(NOT(ISNUMBER(IFERROR(VALUE(D184),"x"))),"ОГРН: есть нецифровые символы",IF(MOD(VALUE(LEFT(D184,12))-11*INT(VALUE(LEFT(D184,12))/11),10)=VALUE(RIGHT(D184,1)),"","ОГРН: неверная контрольная цифра"))))</f>
        <v/>
      </c>
      <c r="M184" s="24" t="str">
        <f aca="false">IF(TRIM(E184)="","КПП не указан",IF(LEN(E184)&lt;&gt;9,"КПП: должно быть 9 знаков",IF(NOT(AND(ISNUMBER(IFERROR(VALUE(LEFT(E184,4)),"x")),ISNUMBER(IFERROR(VALUE(RIGHT(E184,3)),"x")))),"КПП: неверный формат",IF(LEFT(E184,2)&lt;&gt;LEFT(C184,2),"КПП: код региона не совпадает с ИНН",""))))</f>
        <v/>
      </c>
      <c r="N184" s="24" t="str">
        <f aca="false">IF(TRIM(C184)="","",IF(COUNTIF($C$2:$C$401,C184)&gt;1,"Дубликат ИНН в реестре",""))</f>
        <v/>
      </c>
      <c r="O184" s="24" t="str">
        <f aca="false">IF(TRIM(H184)="","Email не указан",IF(AND(ISNUMBER(FIND("@",H184)),ISNUMBER(FIND(".",H184,IFERROR(FIND("@",H184),1))),ISERROR(FIND(" ",H184)),LEFT(H184,1)&lt;&gt;"@",RIGHT(H184,1)&lt;&gt;".",LEN(H184)-LEN(SUBSTITUTE(H184,"@",""))=1),"","Email: неверный формат"))</f>
        <v/>
      </c>
      <c r="P184" s="24" t="str">
        <f aca="false">IF(TRIM(I184)="","Телефон не указан",IF(AND(LEN(SUBSTITUTE(SUBSTITUTE(SUBSTITUTE(SUBSTITUTE(SUBSTITUTE(I184," ",""),"-",""),"(",""),")",""),"+",""))=11,OR(LEFT(SUBSTITUTE(SUBSTITUTE(SUBSTITUTE(SUBSTITUTE(SUBSTITUTE(I184," ",""),"-",""),"(",""),")",""),"+",""),1)="7",LEFT(SUBSTITUTE(SUBSTITUTE(SUBSTITUTE(SUBSTITUTE(SUBSTITUTE(I184," ",""),"-",""),"(",""),")",""),"+",""),1)="8"),ISNUMBER(IFERROR(VALUE(SUBSTITUTE(SUBSTITUTE(SUBSTITUTE(SUBSTITUTE(SUBSTITUTE(I184," ",""),"-",""),"(",""),")",""),"+","")),"x"))),"","Телефон: неверный формат"))</f>
        <v/>
      </c>
      <c r="Q184" s="24" t="str">
        <f aca="false">TRIM(IF(TRIM(B184)="","Нет наименования. ","")&amp;IF(TRIM(F184)="","Нет адреса. ","")&amp;IF(TRIM(G184)="","Нет контактного лица.",""))</f>
        <v/>
      </c>
      <c r="R184" s="21" t="n">
        <f aca="false">SUMPRODUCT(--(LEN(K184:Q184)&gt;0))</f>
        <v>0</v>
      </c>
      <c r="S184" s="24" t="str">
        <f aca="false">IF(R184=0,"Готово к передаче","Требует исправления")</f>
        <v>Готово к передаче</v>
      </c>
      <c r="T184" s="24" t="str">
        <f aca="false">IF(R184=0,"",_xlfn.TEXTJOIN("; ",TRUE(),K184:Q184))</f>
        <v/>
      </c>
      <c r="U184" s="24" t="str">
        <f aca="false">IF(R184=0,"","Здравствуйте! В данных организации «"&amp;B184&amp;"» обнаружены ошибки: "&amp;T184&amp;". Просим проверить и прислать исправленную информацию.")</f>
        <v/>
      </c>
      <c r="V184" s="21" t="str">
        <f aca="false">IF(R184&gt;0,COUNTIF($R$2:R184,"&gt;0"),"")</f>
        <v/>
      </c>
      <c r="W184" s="21" t="n">
        <f aca="false">IF(R184=0,COUNTIF($R$2:R184,0),"")</f>
        <v>119</v>
      </c>
    </row>
    <row r="185" customFormat="false" ht="15" hidden="false" customHeight="false" outlineLevel="0" collapsed="false">
      <c r="A185" s="21" t="n">
        <v>184</v>
      </c>
      <c r="B185" s="22" t="s">
        <v>1525</v>
      </c>
      <c r="C185" s="23" t="s">
        <v>1526</v>
      </c>
      <c r="D185" s="23" t="s">
        <v>1527</v>
      </c>
      <c r="E185" s="23" t="s">
        <v>1528</v>
      </c>
      <c r="F185" s="22" t="s">
        <v>1529</v>
      </c>
      <c r="G185" s="22" t="s">
        <v>1530</v>
      </c>
      <c r="H185" s="22" t="s">
        <v>1531</v>
      </c>
      <c r="I185" s="23" t="s">
        <v>1532</v>
      </c>
      <c r="J185" s="24" t="str">
        <f aca="false">IFERROR(VLOOKUP(VALUE(LEFT(C185,2)),Справочники!$A$2:$B$16,2,FALSE()),"не определён")</f>
        <v>Челябинская область</v>
      </c>
      <c r="K185" s="24" t="str">
        <f aca="false">IF(TRIM(C185)="","ИНН не указан",IF(LEN(C185)&lt;&gt;10,"ИНН: должно быть 10 цифр",IF(NOT(ISNUMBER(IFERROR(VALUE(C185),"x"))),"ИНН: есть нецифровые символы",IF(MOD(MOD(SUMPRODUCT(--MID(C185,{1,2,3,4,5,6,7,8,9},1),{2,4,10,3,5,9,4,6,8}),11),10)=VALUE(RIGHT(C185,1)),"","ИНН: неверная контрольная цифра"))))</f>
        <v/>
      </c>
      <c r="L185" s="24" t="str">
        <f aca="false">IF(TRIM(D185)="","ОГРН не указан",IF(LEN(D185)&lt;&gt;13,"ОГРН: должно быть 13 цифр",IF(NOT(ISNUMBER(IFERROR(VALUE(D185),"x"))),"ОГРН: есть нецифровые символы",IF(MOD(VALUE(LEFT(D185,12))-11*INT(VALUE(LEFT(D185,12))/11),10)=VALUE(RIGHT(D185,1)),"","ОГРН: неверная контрольная цифра"))))</f>
        <v/>
      </c>
      <c r="M185" s="24" t="str">
        <f aca="false">IF(TRIM(E185)="","КПП не указан",IF(LEN(E185)&lt;&gt;9,"КПП: должно быть 9 знаков",IF(NOT(AND(ISNUMBER(IFERROR(VALUE(LEFT(E185,4)),"x")),ISNUMBER(IFERROR(VALUE(RIGHT(E185,3)),"x")))),"КПП: неверный формат",IF(LEFT(E185,2)&lt;&gt;LEFT(C185,2),"КПП: код региона не совпадает с ИНН",""))))</f>
        <v/>
      </c>
      <c r="N185" s="24" t="str">
        <f aca="false">IF(TRIM(C185)="","",IF(COUNTIF($C$2:$C$401,C185)&gt;1,"Дубликат ИНН в реестре",""))</f>
        <v/>
      </c>
      <c r="O185" s="24" t="str">
        <f aca="false">IF(TRIM(H185)="","Email не указан",IF(AND(ISNUMBER(FIND("@",H185)),ISNUMBER(FIND(".",H185,IFERROR(FIND("@",H185),1))),ISERROR(FIND(" ",H185)),LEFT(H185,1)&lt;&gt;"@",RIGHT(H185,1)&lt;&gt;".",LEN(H185)-LEN(SUBSTITUTE(H185,"@",""))=1),"","Email: неверный формат"))</f>
        <v/>
      </c>
      <c r="P185" s="24" t="str">
        <f aca="false">IF(TRIM(I185)="","Телефон не указан",IF(AND(LEN(SUBSTITUTE(SUBSTITUTE(SUBSTITUTE(SUBSTITUTE(SUBSTITUTE(I185," ",""),"-",""),"(",""),")",""),"+",""))=11,OR(LEFT(SUBSTITUTE(SUBSTITUTE(SUBSTITUTE(SUBSTITUTE(SUBSTITUTE(I185," ",""),"-",""),"(",""),")",""),"+",""),1)="7",LEFT(SUBSTITUTE(SUBSTITUTE(SUBSTITUTE(SUBSTITUTE(SUBSTITUTE(I185," ",""),"-",""),"(",""),")",""),"+",""),1)="8"),ISNUMBER(IFERROR(VALUE(SUBSTITUTE(SUBSTITUTE(SUBSTITUTE(SUBSTITUTE(SUBSTITUTE(I185," ",""),"-",""),"(",""),")",""),"+","")),"x"))),"","Телефон: неверный формат"))</f>
        <v/>
      </c>
      <c r="Q185" s="24" t="str">
        <f aca="false">TRIM(IF(TRIM(B185)="","Нет наименования. ","")&amp;IF(TRIM(F185)="","Нет адреса. ","")&amp;IF(TRIM(G185)="","Нет контактного лица.",""))</f>
        <v/>
      </c>
      <c r="R185" s="21" t="n">
        <f aca="false">SUMPRODUCT(--(LEN(K185:Q185)&gt;0))</f>
        <v>0</v>
      </c>
      <c r="S185" s="24" t="str">
        <f aca="false">IF(R185=0,"Готово к передаче","Требует исправления")</f>
        <v>Готово к передаче</v>
      </c>
      <c r="T185" s="24" t="str">
        <f aca="false">IF(R185=0,"",_xlfn.TEXTJOIN("; ",TRUE(),K185:Q185))</f>
        <v/>
      </c>
      <c r="U185" s="24" t="str">
        <f aca="false">IF(R185=0,"","Здравствуйте! В данных организации «"&amp;B185&amp;"» обнаружены ошибки: "&amp;T185&amp;". Просим проверить и прислать исправленную информацию.")</f>
        <v/>
      </c>
      <c r="V185" s="21" t="str">
        <f aca="false">IF(R185&gt;0,COUNTIF($R$2:R185,"&gt;0"),"")</f>
        <v/>
      </c>
      <c r="W185" s="21" t="n">
        <f aca="false">IF(R185=0,COUNTIF($R$2:R185,0),"")</f>
        <v>120</v>
      </c>
    </row>
    <row r="186" customFormat="false" ht="15" hidden="false" customHeight="false" outlineLevel="0" collapsed="false">
      <c r="A186" s="21" t="n">
        <v>185</v>
      </c>
      <c r="B186" s="22" t="s">
        <v>1533</v>
      </c>
      <c r="C186" s="23" t="s">
        <v>1534</v>
      </c>
      <c r="D186" s="23" t="s">
        <v>1535</v>
      </c>
      <c r="E186" s="23" t="s">
        <v>1536</v>
      </c>
      <c r="F186" s="22" t="s">
        <v>1537</v>
      </c>
      <c r="G186" s="22" t="s">
        <v>1538</v>
      </c>
      <c r="H186" s="22" t="s">
        <v>1539</v>
      </c>
      <c r="I186" s="23" t="s">
        <v>1540</v>
      </c>
      <c r="J186" s="24" t="str">
        <f aca="false">IFERROR(VLOOKUP(VALUE(LEFT(C186,2)),Справочники!$A$2:$B$16,2,FALSE()),"не определён")</f>
        <v>г. Москва</v>
      </c>
      <c r="K186" s="24" t="str">
        <f aca="false">IF(TRIM(C186)="","ИНН не указан",IF(LEN(C186)&lt;&gt;10,"ИНН: должно быть 10 цифр",IF(NOT(ISNUMBER(IFERROR(VALUE(C186),"x"))),"ИНН: есть нецифровые символы",IF(MOD(MOD(SUMPRODUCT(--MID(C186,{1,2,3,4,5,6,7,8,9},1),{2,4,10,3,5,9,4,6,8}),11),10)=VALUE(RIGHT(C186,1)),"","ИНН: неверная контрольная цифра"))))</f>
        <v/>
      </c>
      <c r="L186" s="24" t="str">
        <f aca="false">IF(TRIM(D186)="","ОГРН не указан",IF(LEN(D186)&lt;&gt;13,"ОГРН: должно быть 13 цифр",IF(NOT(ISNUMBER(IFERROR(VALUE(D186),"x"))),"ОГРН: есть нецифровые символы",IF(MOD(VALUE(LEFT(D186,12))-11*INT(VALUE(LEFT(D186,12))/11),10)=VALUE(RIGHT(D186,1)),"","ОГРН: неверная контрольная цифра"))))</f>
        <v/>
      </c>
      <c r="M186" s="24" t="str">
        <f aca="false">IF(TRIM(E186)="","КПП не указан",IF(LEN(E186)&lt;&gt;9,"КПП: должно быть 9 знаков",IF(NOT(AND(ISNUMBER(IFERROR(VALUE(LEFT(E186,4)),"x")),ISNUMBER(IFERROR(VALUE(RIGHT(E186,3)),"x")))),"КПП: неверный формат",IF(LEFT(E186,2)&lt;&gt;LEFT(C186,2),"КПП: код региона не совпадает с ИНН",""))))</f>
        <v/>
      </c>
      <c r="N186" s="24" t="str">
        <f aca="false">IF(TRIM(C186)="","",IF(COUNTIF($C$2:$C$401,C186)&gt;1,"Дубликат ИНН в реестре",""))</f>
        <v/>
      </c>
      <c r="O186" s="24" t="str">
        <f aca="false">IF(TRIM(H186)="","Email не указан",IF(AND(ISNUMBER(FIND("@",H186)),ISNUMBER(FIND(".",H186,IFERROR(FIND("@",H186),1))),ISERROR(FIND(" ",H186)),LEFT(H186,1)&lt;&gt;"@",RIGHT(H186,1)&lt;&gt;".",LEN(H186)-LEN(SUBSTITUTE(H186,"@",""))=1),"","Email: неверный формат"))</f>
        <v/>
      </c>
      <c r="P186" s="24" t="str">
        <f aca="false">IF(TRIM(I186)="","Телефон не указан",IF(AND(LEN(SUBSTITUTE(SUBSTITUTE(SUBSTITUTE(SUBSTITUTE(SUBSTITUTE(I186," ",""),"-",""),"(",""),")",""),"+",""))=11,OR(LEFT(SUBSTITUTE(SUBSTITUTE(SUBSTITUTE(SUBSTITUTE(SUBSTITUTE(I186," ",""),"-",""),"(",""),")",""),"+",""),1)="7",LEFT(SUBSTITUTE(SUBSTITUTE(SUBSTITUTE(SUBSTITUTE(SUBSTITUTE(I186," ",""),"-",""),"(",""),")",""),"+",""),1)="8"),ISNUMBER(IFERROR(VALUE(SUBSTITUTE(SUBSTITUTE(SUBSTITUTE(SUBSTITUTE(SUBSTITUTE(I186," ",""),"-",""),"(",""),")",""),"+","")),"x"))),"","Телефон: неверный формат"))</f>
        <v/>
      </c>
      <c r="Q186" s="24" t="str">
        <f aca="false">TRIM(IF(TRIM(B186)="","Нет наименования. ","")&amp;IF(TRIM(F186)="","Нет адреса. ","")&amp;IF(TRIM(G186)="","Нет контактного лица.",""))</f>
        <v/>
      </c>
      <c r="R186" s="21" t="n">
        <f aca="false">SUMPRODUCT(--(LEN(K186:Q186)&gt;0))</f>
        <v>0</v>
      </c>
      <c r="S186" s="24" t="str">
        <f aca="false">IF(R186=0,"Готово к передаче","Требует исправления")</f>
        <v>Готово к передаче</v>
      </c>
      <c r="T186" s="24" t="str">
        <f aca="false">IF(R186=0,"",_xlfn.TEXTJOIN("; ",TRUE(),K186:Q186))</f>
        <v/>
      </c>
      <c r="U186" s="24" t="str">
        <f aca="false">IF(R186=0,"","Здравствуйте! В данных организации «"&amp;B186&amp;"» обнаружены ошибки: "&amp;T186&amp;". Просим проверить и прислать исправленную информацию.")</f>
        <v/>
      </c>
      <c r="V186" s="21" t="str">
        <f aca="false">IF(R186&gt;0,COUNTIF($R$2:R186,"&gt;0"),"")</f>
        <v/>
      </c>
      <c r="W186" s="21" t="n">
        <f aca="false">IF(R186=0,COUNTIF($R$2:R186,0),"")</f>
        <v>121</v>
      </c>
    </row>
    <row r="187" customFormat="false" ht="15" hidden="false" customHeight="false" outlineLevel="0" collapsed="false">
      <c r="A187" s="21" t="n">
        <v>186</v>
      </c>
      <c r="B187" s="22" t="s">
        <v>1541</v>
      </c>
      <c r="C187" s="23" t="s">
        <v>1542</v>
      </c>
      <c r="D187" s="23" t="s">
        <v>1543</v>
      </c>
      <c r="E187" s="23" t="s">
        <v>1544</v>
      </c>
      <c r="F187" s="22" t="s">
        <v>1545</v>
      </c>
      <c r="G187" s="22" t="s">
        <v>1546</v>
      </c>
      <c r="H187" s="22" t="s">
        <v>1547</v>
      </c>
      <c r="I187" s="23" t="s">
        <v>1548</v>
      </c>
      <c r="J187" s="24" t="str">
        <f aca="false">IFERROR(VLOOKUP(VALUE(LEFT(C187,2)),Справочники!$A$2:$B$16,2,FALSE()),"не определён")</f>
        <v>Краснодарский край</v>
      </c>
      <c r="K187" s="24" t="str">
        <f aca="false">IF(TRIM(C187)="","ИНН не указан",IF(LEN(C187)&lt;&gt;10,"ИНН: должно быть 10 цифр",IF(NOT(ISNUMBER(IFERROR(VALUE(C187),"x"))),"ИНН: есть нецифровые символы",IF(MOD(MOD(SUMPRODUCT(--MID(C187,{1,2,3,4,5,6,7,8,9},1),{2,4,10,3,5,9,4,6,8}),11),10)=VALUE(RIGHT(C187,1)),"","ИНН: неверная контрольная цифра"))))</f>
        <v/>
      </c>
      <c r="L187" s="24" t="str">
        <f aca="false">IF(TRIM(D187)="","ОГРН не указан",IF(LEN(D187)&lt;&gt;13,"ОГРН: должно быть 13 цифр",IF(NOT(ISNUMBER(IFERROR(VALUE(D187),"x"))),"ОГРН: есть нецифровые символы",IF(MOD(VALUE(LEFT(D187,12))-11*INT(VALUE(LEFT(D187,12))/11),10)=VALUE(RIGHT(D187,1)),"","ОГРН: неверная контрольная цифра"))))</f>
        <v>ОГРН: должно быть 13 цифр</v>
      </c>
      <c r="M187" s="24" t="str">
        <f aca="false">IF(TRIM(E187)="","КПП не указан",IF(LEN(E187)&lt;&gt;9,"КПП: должно быть 9 знаков",IF(NOT(AND(ISNUMBER(IFERROR(VALUE(LEFT(E187,4)),"x")),ISNUMBER(IFERROR(VALUE(RIGHT(E187,3)),"x")))),"КПП: неверный формат",IF(LEFT(E187,2)&lt;&gt;LEFT(C187,2),"КПП: код региона не совпадает с ИНН",""))))</f>
        <v>КПП: должно быть 9 знаков</v>
      </c>
      <c r="N187" s="24" t="str">
        <f aca="false">IF(TRIM(C187)="","",IF(COUNTIF($C$2:$C$401,C187)&gt;1,"Дубликат ИНН в реестре",""))</f>
        <v/>
      </c>
      <c r="O187" s="24" t="str">
        <f aca="false">IF(TRIM(H187)="","Email не указан",IF(AND(ISNUMBER(FIND("@",H187)),ISNUMBER(FIND(".",H187,IFERROR(FIND("@",H187),1))),ISERROR(FIND(" ",H187)),LEFT(H187,1)&lt;&gt;"@",RIGHT(H187,1)&lt;&gt;".",LEN(H187)-LEN(SUBSTITUTE(H187,"@",""))=1),"","Email: неверный формат"))</f>
        <v/>
      </c>
      <c r="P187" s="24" t="str">
        <f aca="false">IF(TRIM(I187)="","Телефон не указан",IF(AND(LEN(SUBSTITUTE(SUBSTITUTE(SUBSTITUTE(SUBSTITUTE(SUBSTITUTE(I187," ",""),"-",""),"(",""),")",""),"+",""))=11,OR(LEFT(SUBSTITUTE(SUBSTITUTE(SUBSTITUTE(SUBSTITUTE(SUBSTITUTE(I187," ",""),"-",""),"(",""),")",""),"+",""),1)="7",LEFT(SUBSTITUTE(SUBSTITUTE(SUBSTITUTE(SUBSTITUTE(SUBSTITUTE(I187," ",""),"-",""),"(",""),")",""),"+",""),1)="8"),ISNUMBER(IFERROR(VALUE(SUBSTITUTE(SUBSTITUTE(SUBSTITUTE(SUBSTITUTE(SUBSTITUTE(I187," ",""),"-",""),"(",""),")",""),"+","")),"x"))),"","Телефон: неверный формат"))</f>
        <v/>
      </c>
      <c r="Q187" s="24" t="str">
        <f aca="false">TRIM(IF(TRIM(B187)="","Нет наименования. ","")&amp;IF(TRIM(F187)="","Нет адреса. ","")&amp;IF(TRIM(G187)="","Нет контактного лица.",""))</f>
        <v/>
      </c>
      <c r="R187" s="21" t="n">
        <f aca="false">SUMPRODUCT(--(LEN(K187:Q187)&gt;0))</f>
        <v>2</v>
      </c>
      <c r="S187" s="24" t="str">
        <f aca="false">IF(R187=0,"Готово к передаче","Требует исправления")</f>
        <v>Требует исправления</v>
      </c>
      <c r="T187" s="24" t="str">
        <f aca="false">IF(R187=0,"",_xlfn.TEXTJOIN("; ",TRUE(),K187:Q187))</f>
        <v>ОГРН: должно быть 13 цифр; КПП: должно быть 9 знаков</v>
      </c>
      <c r="U187" s="24" t="str">
        <f aca="false">IF(R187=0,"","Здравствуйте! В данных организации «"&amp;B187&amp;"» обнаружены ошибки: "&amp;T187&amp;". Просим проверить и прислать исправленную информацию.")</f>
        <v>Здравствуйте! В данных организации «ООО «Квант Транс»» обнаружены ошибки: ОГРН: должно быть 13 цифр; КПП: должно быть 9 знаков. Просим проверить и прислать исправленную информацию.</v>
      </c>
      <c r="V187" s="21" t="n">
        <f aca="false">IF(R187&gt;0,COUNTIF($R$2:R187,"&gt;0"),"")</f>
        <v>65</v>
      </c>
      <c r="W187" s="21" t="str">
        <f aca="false">IF(R187=0,COUNTIF($R$2:R187,0),"")</f>
        <v/>
      </c>
    </row>
    <row r="188" customFormat="false" ht="15" hidden="false" customHeight="false" outlineLevel="0" collapsed="false">
      <c r="A188" s="21" t="n">
        <v>187</v>
      </c>
      <c r="B188" s="22" t="s">
        <v>1549</v>
      </c>
      <c r="C188" s="23" t="s">
        <v>1550</v>
      </c>
      <c r="D188" s="23" t="s">
        <v>1551</v>
      </c>
      <c r="E188" s="23" t="s">
        <v>1552</v>
      </c>
      <c r="F188" s="22" t="s">
        <v>1553</v>
      </c>
      <c r="G188" s="22" t="s">
        <v>1554</v>
      </c>
      <c r="H188" s="22" t="s">
        <v>1555</v>
      </c>
      <c r="I188" s="23" t="s">
        <v>1556</v>
      </c>
      <c r="J188" s="24" t="str">
        <f aca="false">IFERROR(VLOOKUP(VALUE(LEFT(C188,2)),Справочники!$A$2:$B$16,2,FALSE()),"не определён")</f>
        <v>Свердловская область</v>
      </c>
      <c r="K188" s="24" t="str">
        <f aca="false">IF(TRIM(C188)="","ИНН не указан",IF(LEN(C188)&lt;&gt;10,"ИНН: должно быть 10 цифр",IF(NOT(ISNUMBER(IFERROR(VALUE(C188),"x"))),"ИНН: есть нецифровые символы",IF(MOD(MOD(SUMPRODUCT(--MID(C188,{1,2,3,4,5,6,7,8,9},1),{2,4,10,3,5,9,4,6,8}),11),10)=VALUE(RIGHT(C188,1)),"","ИНН: неверная контрольная цифра"))))</f>
        <v/>
      </c>
      <c r="L188" s="24" t="str">
        <f aca="false">IF(TRIM(D188)="","ОГРН не указан",IF(LEN(D188)&lt;&gt;13,"ОГРН: должно быть 13 цифр",IF(NOT(ISNUMBER(IFERROR(VALUE(D188),"x"))),"ОГРН: есть нецифровые символы",IF(MOD(VALUE(LEFT(D188,12))-11*INT(VALUE(LEFT(D188,12))/11),10)=VALUE(RIGHT(D188,1)),"","ОГРН: неверная контрольная цифра"))))</f>
        <v/>
      </c>
      <c r="M188" s="24" t="str">
        <f aca="false">IF(TRIM(E188)="","КПП не указан",IF(LEN(E188)&lt;&gt;9,"КПП: должно быть 9 знаков",IF(NOT(AND(ISNUMBER(IFERROR(VALUE(LEFT(E188,4)),"x")),ISNUMBER(IFERROR(VALUE(RIGHT(E188,3)),"x")))),"КПП: неверный формат",IF(LEFT(E188,2)&lt;&gt;LEFT(C188,2),"КПП: код региона не совпадает с ИНН",""))))</f>
        <v/>
      </c>
      <c r="N188" s="24" t="str">
        <f aca="false">IF(TRIM(C188)="","",IF(COUNTIF($C$2:$C$401,C188)&gt;1,"Дубликат ИНН в реестре",""))</f>
        <v/>
      </c>
      <c r="O188" s="24" t="str">
        <f aca="false">IF(TRIM(H188)="","Email не указан",IF(AND(ISNUMBER(FIND("@",H188)),ISNUMBER(FIND(".",H188,IFERROR(FIND("@",H188),1))),ISERROR(FIND(" ",H188)),LEFT(H188,1)&lt;&gt;"@",RIGHT(H188,1)&lt;&gt;".",LEN(H188)-LEN(SUBSTITUTE(H188,"@",""))=1),"","Email: неверный формат"))</f>
        <v/>
      </c>
      <c r="P188" s="24" t="str">
        <f aca="false">IF(TRIM(I188)="","Телефон не указан",IF(AND(LEN(SUBSTITUTE(SUBSTITUTE(SUBSTITUTE(SUBSTITUTE(SUBSTITUTE(I188," ",""),"-",""),"(",""),")",""),"+",""))=11,OR(LEFT(SUBSTITUTE(SUBSTITUTE(SUBSTITUTE(SUBSTITUTE(SUBSTITUTE(I188," ",""),"-",""),"(",""),")",""),"+",""),1)="7",LEFT(SUBSTITUTE(SUBSTITUTE(SUBSTITUTE(SUBSTITUTE(SUBSTITUTE(I188," ",""),"-",""),"(",""),")",""),"+",""),1)="8"),ISNUMBER(IFERROR(VALUE(SUBSTITUTE(SUBSTITUTE(SUBSTITUTE(SUBSTITUTE(SUBSTITUTE(I188," ",""),"-",""),"(",""),")",""),"+","")),"x"))),"","Телефон: неверный формат"))</f>
        <v/>
      </c>
      <c r="Q188" s="24" t="str">
        <f aca="false">TRIM(IF(TRIM(B188)="","Нет наименования. ","")&amp;IF(TRIM(F188)="","Нет адреса. ","")&amp;IF(TRIM(G188)="","Нет контактного лица.",""))</f>
        <v/>
      </c>
      <c r="R188" s="21" t="n">
        <f aca="false">SUMPRODUCT(--(LEN(K188:Q188)&gt;0))</f>
        <v>0</v>
      </c>
      <c r="S188" s="24" t="str">
        <f aca="false">IF(R188=0,"Готово к передаче","Требует исправления")</f>
        <v>Готово к передаче</v>
      </c>
      <c r="T188" s="24" t="str">
        <f aca="false">IF(R188=0,"",_xlfn.TEXTJOIN("; ",TRUE(),K188:Q188))</f>
        <v/>
      </c>
      <c r="U188" s="24" t="str">
        <f aca="false">IF(R188=0,"","Здравствуйте! В данных организации «"&amp;B188&amp;"» обнаружены ошибки: "&amp;T188&amp;". Просим проверить и прислать исправленную информацию.")</f>
        <v/>
      </c>
      <c r="V188" s="21" t="str">
        <f aca="false">IF(R188&gt;0,COUNTIF($R$2:R188,"&gt;0"),"")</f>
        <v/>
      </c>
      <c r="W188" s="21" t="n">
        <f aca="false">IF(R188=0,COUNTIF($R$2:R188,0),"")</f>
        <v>122</v>
      </c>
    </row>
    <row r="189" customFormat="false" ht="15" hidden="false" customHeight="false" outlineLevel="0" collapsed="false">
      <c r="A189" s="21" t="n">
        <v>188</v>
      </c>
      <c r="B189" s="22" t="s">
        <v>1557</v>
      </c>
      <c r="C189" s="23" t="s">
        <v>1558</v>
      </c>
      <c r="D189" s="23" t="s">
        <v>1559</v>
      </c>
      <c r="E189" s="23" t="s">
        <v>119</v>
      </c>
      <c r="F189" s="22" t="s">
        <v>1560</v>
      </c>
      <c r="G189" s="22" t="s">
        <v>1561</v>
      </c>
      <c r="H189" s="22" t="s">
        <v>1562</v>
      </c>
      <c r="I189" s="23" t="s">
        <v>1563</v>
      </c>
      <c r="J189" s="24" t="str">
        <f aca="false">IFERROR(VLOOKUP(VALUE(LEFT(C189,2)),Справочники!$A$2:$B$16,2,FALSE()),"не определён")</f>
        <v>г. Москва</v>
      </c>
      <c r="K189" s="24" t="str">
        <f aca="false">IF(TRIM(C189)="","ИНН не указан",IF(LEN(C189)&lt;&gt;10,"ИНН: должно быть 10 цифр",IF(NOT(ISNUMBER(IFERROR(VALUE(C189),"x"))),"ИНН: есть нецифровые символы",IF(MOD(MOD(SUMPRODUCT(--MID(C189,{1,2,3,4,5,6,7,8,9},1),{2,4,10,3,5,9,4,6,8}),11),10)=VALUE(RIGHT(C189,1)),"","ИНН: неверная контрольная цифра"))))</f>
        <v/>
      </c>
      <c r="L189" s="24" t="str">
        <f aca="false">IF(TRIM(D189)="","ОГРН не указан",IF(LEN(D189)&lt;&gt;13,"ОГРН: должно быть 13 цифр",IF(NOT(ISNUMBER(IFERROR(VALUE(D189),"x"))),"ОГРН: есть нецифровые символы",IF(MOD(VALUE(LEFT(D189,12))-11*INT(VALUE(LEFT(D189,12))/11),10)=VALUE(RIGHT(D189,1)),"","ОГРН: неверная контрольная цифра"))))</f>
        <v/>
      </c>
      <c r="M189" s="24" t="str">
        <f aca="false">IF(TRIM(E189)="","КПП не указан",IF(LEN(E189)&lt;&gt;9,"КПП: должно быть 9 знаков",IF(NOT(AND(ISNUMBER(IFERROR(VALUE(LEFT(E189,4)),"x")),ISNUMBER(IFERROR(VALUE(RIGHT(E189,3)),"x")))),"КПП: неверный формат",IF(LEFT(E189,2)&lt;&gt;LEFT(C189,2),"КПП: код региона не совпадает с ИНН",""))))</f>
        <v/>
      </c>
      <c r="N189" s="24" t="str">
        <f aca="false">IF(TRIM(C189)="","",IF(COUNTIF($C$2:$C$401,C189)&gt;1,"Дубликат ИНН в реестре",""))</f>
        <v/>
      </c>
      <c r="O189" s="24" t="str">
        <f aca="false">IF(TRIM(H189)="","Email не указан",IF(AND(ISNUMBER(FIND("@",H189)),ISNUMBER(FIND(".",H189,IFERROR(FIND("@",H189),1))),ISERROR(FIND(" ",H189)),LEFT(H189,1)&lt;&gt;"@",RIGHT(H189,1)&lt;&gt;".",LEN(H189)-LEN(SUBSTITUTE(H189,"@",""))=1),"","Email: неверный формат"))</f>
        <v/>
      </c>
      <c r="P189" s="24" t="str">
        <f aca="false">IF(TRIM(I189)="","Телефон не указан",IF(AND(LEN(SUBSTITUTE(SUBSTITUTE(SUBSTITUTE(SUBSTITUTE(SUBSTITUTE(I189," ",""),"-",""),"(",""),")",""),"+",""))=11,OR(LEFT(SUBSTITUTE(SUBSTITUTE(SUBSTITUTE(SUBSTITUTE(SUBSTITUTE(I189," ",""),"-",""),"(",""),")",""),"+",""),1)="7",LEFT(SUBSTITUTE(SUBSTITUTE(SUBSTITUTE(SUBSTITUTE(SUBSTITUTE(I189," ",""),"-",""),"(",""),")",""),"+",""),1)="8"),ISNUMBER(IFERROR(VALUE(SUBSTITUTE(SUBSTITUTE(SUBSTITUTE(SUBSTITUTE(SUBSTITUTE(I189," ",""),"-",""),"(",""),")",""),"+","")),"x"))),"","Телефон: неверный формат"))</f>
        <v/>
      </c>
      <c r="Q189" s="24" t="str">
        <f aca="false">TRIM(IF(TRIM(B189)="","Нет наименования. ","")&amp;IF(TRIM(F189)="","Нет адреса. ","")&amp;IF(TRIM(G189)="","Нет контактного лица.",""))</f>
        <v/>
      </c>
      <c r="R189" s="21" t="n">
        <f aca="false">SUMPRODUCT(--(LEN(K189:Q189)&gt;0))</f>
        <v>0</v>
      </c>
      <c r="S189" s="24" t="str">
        <f aca="false">IF(R189=0,"Готово к передаче","Требует исправления")</f>
        <v>Готово к передаче</v>
      </c>
      <c r="T189" s="24" t="str">
        <f aca="false">IF(R189=0,"",_xlfn.TEXTJOIN("; ",TRUE(),K189:Q189))</f>
        <v/>
      </c>
      <c r="U189" s="24" t="str">
        <f aca="false">IF(R189=0,"","Здравствуйте! В данных организации «"&amp;B189&amp;"» обнаружены ошибки: "&amp;T189&amp;". Просим проверить и прислать исправленную информацию.")</f>
        <v/>
      </c>
      <c r="V189" s="21" t="str">
        <f aca="false">IF(R189&gt;0,COUNTIF($R$2:R189,"&gt;0"),"")</f>
        <v/>
      </c>
      <c r="W189" s="21" t="n">
        <f aca="false">IF(R189=0,COUNTIF($R$2:R189,0),"")</f>
        <v>123</v>
      </c>
    </row>
    <row r="190" customFormat="false" ht="15" hidden="false" customHeight="false" outlineLevel="0" collapsed="false">
      <c r="A190" s="21" t="n">
        <v>189</v>
      </c>
      <c r="B190" s="22" t="s">
        <v>1564</v>
      </c>
      <c r="C190" s="23" t="s">
        <v>1565</v>
      </c>
      <c r="D190" s="23" t="s">
        <v>1566</v>
      </c>
      <c r="E190" s="23" t="s">
        <v>1567</v>
      </c>
      <c r="F190" s="22" t="s">
        <v>1568</v>
      </c>
      <c r="G190" s="22" t="s">
        <v>1569</v>
      </c>
      <c r="H190" s="22" t="s">
        <v>1570</v>
      </c>
      <c r="I190" s="23" t="s">
        <v>1571</v>
      </c>
      <c r="J190" s="24" t="str">
        <f aca="false">IFERROR(VLOOKUP(VALUE(LEFT(C190,2)),Справочники!$A$2:$B$16,2,FALSE()),"не определён")</f>
        <v>Республика Башкортостан</v>
      </c>
      <c r="K190" s="24" t="str">
        <f aca="false">IF(TRIM(C190)="","ИНН не указан",IF(LEN(C190)&lt;&gt;10,"ИНН: должно быть 10 цифр",IF(NOT(ISNUMBER(IFERROR(VALUE(C190),"x"))),"ИНН: есть нецифровые символы",IF(MOD(MOD(SUMPRODUCT(--MID(C190,{1,2,3,4,5,6,7,8,9},1),{2,4,10,3,5,9,4,6,8}),11),10)=VALUE(RIGHT(C190,1)),"","ИНН: неверная контрольная цифра"))))</f>
        <v/>
      </c>
      <c r="L190" s="24" t="str">
        <f aca="false">IF(TRIM(D190)="","ОГРН не указан",IF(LEN(D190)&lt;&gt;13,"ОГРН: должно быть 13 цифр",IF(NOT(ISNUMBER(IFERROR(VALUE(D190),"x"))),"ОГРН: есть нецифровые символы",IF(MOD(VALUE(LEFT(D190,12))-11*INT(VALUE(LEFT(D190,12))/11),10)=VALUE(RIGHT(D190,1)),"","ОГРН: неверная контрольная цифра"))))</f>
        <v/>
      </c>
      <c r="M190" s="24" t="str">
        <f aca="false">IF(TRIM(E190)="","КПП не указан",IF(LEN(E190)&lt;&gt;9,"КПП: должно быть 9 знаков",IF(NOT(AND(ISNUMBER(IFERROR(VALUE(LEFT(E190,4)),"x")),ISNUMBER(IFERROR(VALUE(RIGHT(E190,3)),"x")))),"КПП: неверный формат",IF(LEFT(E190,2)&lt;&gt;LEFT(C190,2),"КПП: код региона не совпадает с ИНН",""))))</f>
        <v/>
      </c>
      <c r="N190" s="24" t="str">
        <f aca="false">IF(TRIM(C190)="","",IF(COUNTIF($C$2:$C$401,C190)&gt;1,"Дубликат ИНН в реестре",""))</f>
        <v/>
      </c>
      <c r="O190" s="24" t="str">
        <f aca="false">IF(TRIM(H190)="","Email не указан",IF(AND(ISNUMBER(FIND("@",H190)),ISNUMBER(FIND(".",H190,IFERROR(FIND("@",H190),1))),ISERROR(FIND(" ",H190)),LEFT(H190,1)&lt;&gt;"@",RIGHT(H190,1)&lt;&gt;".",LEN(H190)-LEN(SUBSTITUTE(H190,"@",""))=1),"","Email: неверный формат"))</f>
        <v/>
      </c>
      <c r="P190" s="24" t="str">
        <f aca="false">IF(TRIM(I190)="","Телефон не указан",IF(AND(LEN(SUBSTITUTE(SUBSTITUTE(SUBSTITUTE(SUBSTITUTE(SUBSTITUTE(I190," ",""),"-",""),"(",""),")",""),"+",""))=11,OR(LEFT(SUBSTITUTE(SUBSTITUTE(SUBSTITUTE(SUBSTITUTE(SUBSTITUTE(I190," ",""),"-",""),"(",""),")",""),"+",""),1)="7",LEFT(SUBSTITUTE(SUBSTITUTE(SUBSTITUTE(SUBSTITUTE(SUBSTITUTE(I190," ",""),"-",""),"(",""),")",""),"+",""),1)="8"),ISNUMBER(IFERROR(VALUE(SUBSTITUTE(SUBSTITUTE(SUBSTITUTE(SUBSTITUTE(SUBSTITUTE(I190," ",""),"-",""),"(",""),")",""),"+","")),"x"))),"","Телефон: неверный формат"))</f>
        <v/>
      </c>
      <c r="Q190" s="24" t="str">
        <f aca="false">TRIM(IF(TRIM(B190)="","Нет наименования. ","")&amp;IF(TRIM(F190)="","Нет адреса. ","")&amp;IF(TRIM(G190)="","Нет контактного лица.",""))</f>
        <v/>
      </c>
      <c r="R190" s="21" t="n">
        <f aca="false">SUMPRODUCT(--(LEN(K190:Q190)&gt;0))</f>
        <v>0</v>
      </c>
      <c r="S190" s="24" t="str">
        <f aca="false">IF(R190=0,"Готово к передаче","Требует исправления")</f>
        <v>Готово к передаче</v>
      </c>
      <c r="T190" s="24" t="str">
        <f aca="false">IF(R190=0,"",_xlfn.TEXTJOIN("; ",TRUE(),K190:Q190))</f>
        <v/>
      </c>
      <c r="U190" s="24" t="str">
        <f aca="false">IF(R190=0,"","Здравствуйте! В данных организации «"&amp;B190&amp;"» обнаружены ошибки: "&amp;T190&amp;". Просим проверить и прислать исправленную информацию.")</f>
        <v/>
      </c>
      <c r="V190" s="21" t="str">
        <f aca="false">IF(R190&gt;0,COUNTIF($R$2:R190,"&gt;0"),"")</f>
        <v/>
      </c>
      <c r="W190" s="21" t="n">
        <f aca="false">IF(R190=0,COUNTIF($R$2:R190,0),"")</f>
        <v>124</v>
      </c>
    </row>
    <row r="191" customFormat="false" ht="15" hidden="false" customHeight="false" outlineLevel="0" collapsed="false">
      <c r="A191" s="21" t="n">
        <v>190</v>
      </c>
      <c r="B191" s="22" t="s">
        <v>1572</v>
      </c>
      <c r="C191" s="23" t="s">
        <v>1573</v>
      </c>
      <c r="D191" s="23" t="s">
        <v>1574</v>
      </c>
      <c r="E191" s="23"/>
      <c r="F191" s="22" t="s">
        <v>1575</v>
      </c>
      <c r="G191" s="22" t="s">
        <v>1576</v>
      </c>
      <c r="H191" s="22" t="s">
        <v>1577</v>
      </c>
      <c r="I191" s="23" t="s">
        <v>1578</v>
      </c>
      <c r="J191" s="24" t="str">
        <f aca="false">IFERROR(VLOOKUP(VALUE(LEFT(C191,2)),Справочники!$A$2:$B$16,2,FALSE()),"не определён")</f>
        <v>г. Севастополь</v>
      </c>
      <c r="K191" s="24" t="str">
        <f aca="false">IF(TRIM(C191)="","ИНН не указан",IF(LEN(C191)&lt;&gt;10,"ИНН: должно быть 10 цифр",IF(NOT(ISNUMBER(IFERROR(VALUE(C191),"x"))),"ИНН: есть нецифровые символы",IF(MOD(MOD(SUMPRODUCT(--MID(C191,{1,2,3,4,5,6,7,8,9},1),{2,4,10,3,5,9,4,6,8}),11),10)=VALUE(RIGHT(C191,1)),"","ИНН: неверная контрольная цифра"))))</f>
        <v/>
      </c>
      <c r="L191" s="24" t="str">
        <f aca="false">IF(TRIM(D191)="","ОГРН не указан",IF(LEN(D191)&lt;&gt;13,"ОГРН: должно быть 13 цифр",IF(NOT(ISNUMBER(IFERROR(VALUE(D191),"x"))),"ОГРН: есть нецифровые символы",IF(MOD(VALUE(LEFT(D191,12))-11*INT(VALUE(LEFT(D191,12))/11),10)=VALUE(RIGHT(D191,1)),"","ОГРН: неверная контрольная цифра"))))</f>
        <v/>
      </c>
      <c r="M191" s="24" t="str">
        <f aca="false">IF(TRIM(E191)="","КПП не указан",IF(LEN(E191)&lt;&gt;9,"КПП: должно быть 9 знаков",IF(NOT(AND(ISNUMBER(IFERROR(VALUE(LEFT(E191,4)),"x")),ISNUMBER(IFERROR(VALUE(RIGHT(E191,3)),"x")))),"КПП: неверный формат",IF(LEFT(E191,2)&lt;&gt;LEFT(C191,2),"КПП: код региона не совпадает с ИНН",""))))</f>
        <v>КПП не указан</v>
      </c>
      <c r="N191" s="24" t="str">
        <f aca="false">IF(TRIM(C191)="","",IF(COUNTIF($C$2:$C$401,C191)&gt;1,"Дубликат ИНН в реестре",""))</f>
        <v/>
      </c>
      <c r="O191" s="24" t="str">
        <f aca="false">IF(TRIM(H191)="","Email не указан",IF(AND(ISNUMBER(FIND("@",H191)),ISNUMBER(FIND(".",H191,IFERROR(FIND("@",H191),1))),ISERROR(FIND(" ",H191)),LEFT(H191,1)&lt;&gt;"@",RIGHT(H191,1)&lt;&gt;".",LEN(H191)-LEN(SUBSTITUTE(H191,"@",""))=1),"","Email: неверный формат"))</f>
        <v/>
      </c>
      <c r="P191" s="24" t="str">
        <f aca="false">IF(TRIM(I191)="","Телефон не указан",IF(AND(LEN(SUBSTITUTE(SUBSTITUTE(SUBSTITUTE(SUBSTITUTE(SUBSTITUTE(I191," ",""),"-",""),"(",""),")",""),"+",""))=11,OR(LEFT(SUBSTITUTE(SUBSTITUTE(SUBSTITUTE(SUBSTITUTE(SUBSTITUTE(I191," ",""),"-",""),"(",""),")",""),"+",""),1)="7",LEFT(SUBSTITUTE(SUBSTITUTE(SUBSTITUTE(SUBSTITUTE(SUBSTITUTE(I191," ",""),"-",""),"(",""),")",""),"+",""),1)="8"),ISNUMBER(IFERROR(VALUE(SUBSTITUTE(SUBSTITUTE(SUBSTITUTE(SUBSTITUTE(SUBSTITUTE(I191," ",""),"-",""),"(",""),")",""),"+","")),"x"))),"","Телефон: неверный формат"))</f>
        <v/>
      </c>
      <c r="Q191" s="24" t="str">
        <f aca="false">TRIM(IF(TRIM(B191)="","Нет наименования. ","")&amp;IF(TRIM(F191)="","Нет адреса. ","")&amp;IF(TRIM(G191)="","Нет контактного лица.",""))</f>
        <v/>
      </c>
      <c r="R191" s="21" t="n">
        <f aca="false">SUMPRODUCT(--(LEN(K191:Q191)&gt;0))</f>
        <v>1</v>
      </c>
      <c r="S191" s="24" t="str">
        <f aca="false">IF(R191=0,"Готово к передаче","Требует исправления")</f>
        <v>Требует исправления</v>
      </c>
      <c r="T191" s="24" t="str">
        <f aca="false">IF(R191=0,"",_xlfn.TEXTJOIN("; ",TRUE(),K191:Q191))</f>
        <v>КПП не указан</v>
      </c>
      <c r="U191" s="24" t="str">
        <f aca="false">IF(R191=0,"","Здравствуйте! В данных организации «"&amp;B191&amp;"» обнаружены ошибки: "&amp;T191&amp;". Просим проверить и прислать исправленную информацию.")</f>
        <v>Здравствуйте! В данных организации «ООО «Дельта Принт»» обнаружены ошибки: КПП не указан. Просим проверить и прислать исправленную информацию.</v>
      </c>
      <c r="V191" s="21" t="n">
        <f aca="false">IF(R191&gt;0,COUNTIF($R$2:R191,"&gt;0"),"")</f>
        <v>66</v>
      </c>
      <c r="W191" s="21" t="str">
        <f aca="false">IF(R191=0,COUNTIF($R$2:R191,0),"")</f>
        <v/>
      </c>
    </row>
    <row r="192" customFormat="false" ht="15" hidden="false" customHeight="false" outlineLevel="0" collapsed="false">
      <c r="A192" s="21" t="n">
        <v>191</v>
      </c>
      <c r="B192" s="22" t="s">
        <v>1579</v>
      </c>
      <c r="C192" s="23" t="s">
        <v>1580</v>
      </c>
      <c r="D192" s="23" t="s">
        <v>1581</v>
      </c>
      <c r="E192" s="23" t="s">
        <v>1582</v>
      </c>
      <c r="F192" s="22" t="s">
        <v>1583</v>
      </c>
      <c r="G192" s="22" t="s">
        <v>1584</v>
      </c>
      <c r="H192" s="22" t="s">
        <v>1585</v>
      </c>
      <c r="I192" s="23" t="s">
        <v>1586</v>
      </c>
      <c r="J192" s="24" t="str">
        <f aca="false">IFERROR(VLOOKUP(VALUE(LEFT(C192,2)),Справочники!$A$2:$B$16,2,FALSE()),"не определён")</f>
        <v>г. Москва</v>
      </c>
      <c r="K192" s="24" t="str">
        <f aca="false">IF(TRIM(C192)="","ИНН не указан",IF(LEN(C192)&lt;&gt;10,"ИНН: должно быть 10 цифр",IF(NOT(ISNUMBER(IFERROR(VALUE(C192),"x"))),"ИНН: есть нецифровые символы",IF(MOD(MOD(SUMPRODUCT(--MID(C192,{1,2,3,4,5,6,7,8,9},1),{2,4,10,3,5,9,4,6,8}),11),10)=VALUE(RIGHT(C192,1)),"","ИНН: неверная контрольная цифра"))))</f>
        <v/>
      </c>
      <c r="L192" s="24" t="str">
        <f aca="false">IF(TRIM(D192)="","ОГРН не указан",IF(LEN(D192)&lt;&gt;13,"ОГРН: должно быть 13 цифр",IF(NOT(ISNUMBER(IFERROR(VALUE(D192),"x"))),"ОГРН: есть нецифровые символы",IF(MOD(VALUE(LEFT(D192,12))-11*INT(VALUE(LEFT(D192,12))/11),10)=VALUE(RIGHT(D192,1)),"","ОГРН: неверная контрольная цифра"))))</f>
        <v/>
      </c>
      <c r="M192" s="24" t="str">
        <f aca="false">IF(TRIM(E192)="","КПП не указан",IF(LEN(E192)&lt;&gt;9,"КПП: должно быть 9 знаков",IF(NOT(AND(ISNUMBER(IFERROR(VALUE(LEFT(E192,4)),"x")),ISNUMBER(IFERROR(VALUE(RIGHT(E192,3)),"x")))),"КПП: неверный формат",IF(LEFT(E192,2)&lt;&gt;LEFT(C192,2),"КПП: код региона не совпадает с ИНН",""))))</f>
        <v/>
      </c>
      <c r="N192" s="24" t="str">
        <f aca="false">IF(TRIM(C192)="","",IF(COUNTIF($C$2:$C$401,C192)&gt;1,"Дубликат ИНН в реестре",""))</f>
        <v/>
      </c>
      <c r="O192" s="24" t="str">
        <f aca="false">IF(TRIM(H192)="","Email не указан",IF(AND(ISNUMBER(FIND("@",H192)),ISNUMBER(FIND(".",H192,IFERROR(FIND("@",H192),1))),ISERROR(FIND(" ",H192)),LEFT(H192,1)&lt;&gt;"@",RIGHT(H192,1)&lt;&gt;".",LEN(H192)-LEN(SUBSTITUTE(H192,"@",""))=1),"","Email: неверный формат"))</f>
        <v/>
      </c>
      <c r="P192" s="24" t="str">
        <f aca="false">IF(TRIM(I192)="","Телефон не указан",IF(AND(LEN(SUBSTITUTE(SUBSTITUTE(SUBSTITUTE(SUBSTITUTE(SUBSTITUTE(I192," ",""),"-",""),"(",""),")",""),"+",""))=11,OR(LEFT(SUBSTITUTE(SUBSTITUTE(SUBSTITUTE(SUBSTITUTE(SUBSTITUTE(I192," ",""),"-",""),"(",""),")",""),"+",""),1)="7",LEFT(SUBSTITUTE(SUBSTITUTE(SUBSTITUTE(SUBSTITUTE(SUBSTITUTE(I192," ",""),"-",""),"(",""),")",""),"+",""),1)="8"),ISNUMBER(IFERROR(VALUE(SUBSTITUTE(SUBSTITUTE(SUBSTITUTE(SUBSTITUTE(SUBSTITUTE(I192," ",""),"-",""),"(",""),")",""),"+","")),"x"))),"","Телефон: неверный формат"))</f>
        <v/>
      </c>
      <c r="Q192" s="24" t="str">
        <f aca="false">TRIM(IF(TRIM(B192)="","Нет наименования. ","")&amp;IF(TRIM(F192)="","Нет адреса. ","")&amp;IF(TRIM(G192)="","Нет контактного лица.",""))</f>
        <v/>
      </c>
      <c r="R192" s="21" t="n">
        <f aca="false">SUMPRODUCT(--(LEN(K192:Q192)&gt;0))</f>
        <v>0</v>
      </c>
      <c r="S192" s="24" t="str">
        <f aca="false">IF(R192=0,"Готово к передаче","Требует исправления")</f>
        <v>Готово к передаче</v>
      </c>
      <c r="T192" s="24" t="str">
        <f aca="false">IF(R192=0,"",_xlfn.TEXTJOIN("; ",TRUE(),K192:Q192))</f>
        <v/>
      </c>
      <c r="U192" s="24" t="str">
        <f aca="false">IF(R192=0,"","Здравствуйте! В данных организации «"&amp;B192&amp;"» обнаружены ошибки: "&amp;T192&amp;". Просим проверить и прислать исправленную информацию.")</f>
        <v/>
      </c>
      <c r="V192" s="21" t="str">
        <f aca="false">IF(R192&gt;0,COUNTIF($R$2:R192,"&gt;0"),"")</f>
        <v/>
      </c>
      <c r="W192" s="21" t="n">
        <f aca="false">IF(R192=0,COUNTIF($R$2:R192,0),"")</f>
        <v>125</v>
      </c>
    </row>
    <row r="193" customFormat="false" ht="15" hidden="false" customHeight="false" outlineLevel="0" collapsed="false">
      <c r="A193" s="21" t="n">
        <v>192</v>
      </c>
      <c r="B193" s="22" t="s">
        <v>1587</v>
      </c>
      <c r="C193" s="23" t="s">
        <v>1588</v>
      </c>
      <c r="D193" s="23" t="s">
        <v>1589</v>
      </c>
      <c r="E193" s="23" t="s">
        <v>1590</v>
      </c>
      <c r="F193" s="22" t="s">
        <v>1591</v>
      </c>
      <c r="G193" s="22" t="s">
        <v>1592</v>
      </c>
      <c r="H193" s="22" t="s">
        <v>1593</v>
      </c>
      <c r="I193" s="23" t="s">
        <v>1594</v>
      </c>
      <c r="J193" s="24" t="str">
        <f aca="false">IFERROR(VLOOKUP(VALUE(LEFT(C193,2)),Справочники!$A$2:$B$16,2,FALSE()),"не определён")</f>
        <v>Краснодарский край</v>
      </c>
      <c r="K193" s="24" t="str">
        <f aca="false">IF(TRIM(C193)="","ИНН не указан",IF(LEN(C193)&lt;&gt;10,"ИНН: должно быть 10 цифр",IF(NOT(ISNUMBER(IFERROR(VALUE(C193),"x"))),"ИНН: есть нецифровые символы",IF(MOD(MOD(SUMPRODUCT(--MID(C193,{1,2,3,4,5,6,7,8,9},1),{2,4,10,3,5,9,4,6,8}),11),10)=VALUE(RIGHT(C193,1)),"","ИНН: неверная контрольная цифра"))))</f>
        <v/>
      </c>
      <c r="L193" s="24" t="str">
        <f aca="false">IF(TRIM(D193)="","ОГРН не указан",IF(LEN(D193)&lt;&gt;13,"ОГРН: должно быть 13 цифр",IF(NOT(ISNUMBER(IFERROR(VALUE(D193),"x"))),"ОГРН: есть нецифровые символы",IF(MOD(VALUE(LEFT(D193,12))-11*INT(VALUE(LEFT(D193,12))/11),10)=VALUE(RIGHT(D193,1)),"","ОГРН: неверная контрольная цифра"))))</f>
        <v/>
      </c>
      <c r="M193" s="24" t="str">
        <f aca="false">IF(TRIM(E193)="","КПП не указан",IF(LEN(E193)&lt;&gt;9,"КПП: должно быть 9 знаков",IF(NOT(AND(ISNUMBER(IFERROR(VALUE(LEFT(E193,4)),"x")),ISNUMBER(IFERROR(VALUE(RIGHT(E193,3)),"x")))),"КПП: неверный формат",IF(LEFT(E193,2)&lt;&gt;LEFT(C193,2),"КПП: код региона не совпадает с ИНН",""))))</f>
        <v/>
      </c>
      <c r="N193" s="24" t="str">
        <f aca="false">IF(TRIM(C193)="","",IF(COUNTIF($C$2:$C$401,C193)&gt;1,"Дубликат ИНН в реестре",""))</f>
        <v>Дубликат ИНН в реестре</v>
      </c>
      <c r="O193" s="24" t="str">
        <f aca="false">IF(TRIM(H193)="","Email не указан",IF(AND(ISNUMBER(FIND("@",H193)),ISNUMBER(FIND(".",H193,IFERROR(FIND("@",H193),1))),ISERROR(FIND(" ",H193)),LEFT(H193,1)&lt;&gt;"@",RIGHT(H193,1)&lt;&gt;".",LEN(H193)-LEN(SUBSTITUTE(H193,"@",""))=1),"","Email: неверный формат"))</f>
        <v/>
      </c>
      <c r="P193" s="24" t="str">
        <f aca="false">IF(TRIM(I193)="","Телефон не указан",IF(AND(LEN(SUBSTITUTE(SUBSTITUTE(SUBSTITUTE(SUBSTITUTE(SUBSTITUTE(I193," ",""),"-",""),"(",""),")",""),"+",""))=11,OR(LEFT(SUBSTITUTE(SUBSTITUTE(SUBSTITUTE(SUBSTITUTE(SUBSTITUTE(I193," ",""),"-",""),"(",""),")",""),"+",""),1)="7",LEFT(SUBSTITUTE(SUBSTITUTE(SUBSTITUTE(SUBSTITUTE(SUBSTITUTE(I193," ",""),"-",""),"(",""),")",""),"+",""),1)="8"),ISNUMBER(IFERROR(VALUE(SUBSTITUTE(SUBSTITUTE(SUBSTITUTE(SUBSTITUTE(SUBSTITUTE(I193," ",""),"-",""),"(",""),")",""),"+","")),"x"))),"","Телефон: неверный формат"))</f>
        <v/>
      </c>
      <c r="Q193" s="24" t="str">
        <f aca="false">TRIM(IF(TRIM(B193)="","Нет наименования. ","")&amp;IF(TRIM(F193)="","Нет адреса. ","")&amp;IF(TRIM(G193)="","Нет контактного лица.",""))</f>
        <v/>
      </c>
      <c r="R193" s="21" t="n">
        <f aca="false">SUMPRODUCT(--(LEN(K193:Q193)&gt;0))</f>
        <v>1</v>
      </c>
      <c r="S193" s="24" t="str">
        <f aca="false">IF(R193=0,"Готово к передаче","Требует исправления")</f>
        <v>Требует исправления</v>
      </c>
      <c r="T193" s="24" t="str">
        <f aca="false">IF(R193=0,"",_xlfn.TEXTJOIN("; ",TRUE(),K193:Q193))</f>
        <v>Дубликат ИНН в реестре</v>
      </c>
      <c r="U193" s="24" t="str">
        <f aca="false">IF(R193=0,"","Здравствуйте! В данных организации «"&amp;B193&amp;"» обнаружены ошибки: "&amp;T193&amp;". Просим проверить и прислать исправленную информацию.")</f>
        <v>Здравствуйте! В данных организации «ООО «Заря Сервис»» обнаружены ошибки: Дубликат ИНН в реестре. Просим проверить и прислать исправленную информацию.</v>
      </c>
      <c r="V193" s="21" t="n">
        <f aca="false">IF(R193&gt;0,COUNTIF($R$2:R193,"&gt;0"),"")</f>
        <v>67</v>
      </c>
      <c r="W193" s="21" t="str">
        <f aca="false">IF(R193=0,COUNTIF($R$2:R193,0),"")</f>
        <v/>
      </c>
    </row>
    <row r="194" customFormat="false" ht="15" hidden="false" customHeight="false" outlineLevel="0" collapsed="false">
      <c r="A194" s="21" t="n">
        <v>193</v>
      </c>
      <c r="B194" s="22" t="s">
        <v>1595</v>
      </c>
      <c r="C194" s="23" t="s">
        <v>1596</v>
      </c>
      <c r="D194" s="23" t="s">
        <v>1597</v>
      </c>
      <c r="E194" s="23" t="s">
        <v>1598</v>
      </c>
      <c r="F194" s="22" t="s">
        <v>1599</v>
      </c>
      <c r="G194" s="22" t="s">
        <v>1600</v>
      </c>
      <c r="H194" s="22" t="s">
        <v>1601</v>
      </c>
      <c r="I194" s="23" t="s">
        <v>1602</v>
      </c>
      <c r="J194" s="24" t="str">
        <f aca="false">IFERROR(VLOOKUP(VALUE(LEFT(C194,2)),Справочники!$A$2:$B$16,2,FALSE()),"не определён")</f>
        <v>Республика Крым</v>
      </c>
      <c r="K194" s="24" t="str">
        <f aca="false">IF(TRIM(C194)="","ИНН не указан",IF(LEN(C194)&lt;&gt;10,"ИНН: должно быть 10 цифр",IF(NOT(ISNUMBER(IFERROR(VALUE(C194),"x"))),"ИНН: есть нецифровые символы",IF(MOD(MOD(SUMPRODUCT(--MID(C194,{1,2,3,4,5,6,7,8,9},1),{2,4,10,3,5,9,4,6,8}),11),10)=VALUE(RIGHT(C194,1)),"","ИНН: неверная контрольная цифра"))))</f>
        <v/>
      </c>
      <c r="L194" s="24" t="str">
        <f aca="false">IF(TRIM(D194)="","ОГРН не указан",IF(LEN(D194)&lt;&gt;13,"ОГРН: должно быть 13 цифр",IF(NOT(ISNUMBER(IFERROR(VALUE(D194),"x"))),"ОГРН: есть нецифровые символы",IF(MOD(VALUE(LEFT(D194,12))-11*INT(VALUE(LEFT(D194,12))/11),10)=VALUE(RIGHT(D194,1)),"","ОГРН: неверная контрольная цифра"))))</f>
        <v/>
      </c>
      <c r="M194" s="24" t="str">
        <f aca="false">IF(TRIM(E194)="","КПП не указан",IF(LEN(E194)&lt;&gt;9,"КПП: должно быть 9 знаков",IF(NOT(AND(ISNUMBER(IFERROR(VALUE(LEFT(E194,4)),"x")),ISNUMBER(IFERROR(VALUE(RIGHT(E194,3)),"x")))),"КПП: неверный формат",IF(LEFT(E194,2)&lt;&gt;LEFT(C194,2),"КПП: код региона не совпадает с ИНН",""))))</f>
        <v/>
      </c>
      <c r="N194" s="24" t="str">
        <f aca="false">IF(TRIM(C194)="","",IF(COUNTIF($C$2:$C$401,C194)&gt;1,"Дубликат ИНН в реестре",""))</f>
        <v/>
      </c>
      <c r="O194" s="24" t="str">
        <f aca="false">IF(TRIM(H194)="","Email не указан",IF(AND(ISNUMBER(FIND("@",H194)),ISNUMBER(FIND(".",H194,IFERROR(FIND("@",H194),1))),ISERROR(FIND(" ",H194)),LEFT(H194,1)&lt;&gt;"@",RIGHT(H194,1)&lt;&gt;".",LEN(H194)-LEN(SUBSTITUTE(H194,"@",""))=1),"","Email: неверный формат"))</f>
        <v/>
      </c>
      <c r="P194" s="24" t="str">
        <f aca="false">IF(TRIM(I194)="","Телефон не указан",IF(AND(LEN(SUBSTITUTE(SUBSTITUTE(SUBSTITUTE(SUBSTITUTE(SUBSTITUTE(I194," ",""),"-",""),"(",""),")",""),"+",""))=11,OR(LEFT(SUBSTITUTE(SUBSTITUTE(SUBSTITUTE(SUBSTITUTE(SUBSTITUTE(I194," ",""),"-",""),"(",""),")",""),"+",""),1)="7",LEFT(SUBSTITUTE(SUBSTITUTE(SUBSTITUTE(SUBSTITUTE(SUBSTITUTE(I194," ",""),"-",""),"(",""),")",""),"+",""),1)="8"),ISNUMBER(IFERROR(VALUE(SUBSTITUTE(SUBSTITUTE(SUBSTITUTE(SUBSTITUTE(SUBSTITUTE(I194," ",""),"-",""),"(",""),")",""),"+","")),"x"))),"","Телефон: неверный формат"))</f>
        <v/>
      </c>
      <c r="Q194" s="24" t="str">
        <f aca="false">TRIM(IF(TRIM(B194)="","Нет наименования. ","")&amp;IF(TRIM(F194)="","Нет адреса. ","")&amp;IF(TRIM(G194)="","Нет контактного лица.",""))</f>
        <v/>
      </c>
      <c r="R194" s="21" t="n">
        <f aca="false">SUMPRODUCT(--(LEN(K194:Q194)&gt;0))</f>
        <v>0</v>
      </c>
      <c r="S194" s="24" t="str">
        <f aca="false">IF(R194=0,"Готово к передаче","Требует исправления")</f>
        <v>Готово к передаче</v>
      </c>
      <c r="T194" s="24" t="str">
        <f aca="false">IF(R194=0,"",_xlfn.TEXTJOIN("; ",TRUE(),K194:Q194))</f>
        <v/>
      </c>
      <c r="U194" s="24" t="str">
        <f aca="false">IF(R194=0,"","Здравствуйте! В данных организации «"&amp;B194&amp;"» обнаружены ошибки: "&amp;T194&amp;". Просим проверить и прислать исправленную информацию.")</f>
        <v/>
      </c>
      <c r="V194" s="21" t="str">
        <f aca="false">IF(R194&gt;0,COUNTIF($R$2:R194,"&gt;0"),"")</f>
        <v/>
      </c>
      <c r="W194" s="21" t="n">
        <f aca="false">IF(R194=0,COUNTIF($R$2:R194,0),"")</f>
        <v>126</v>
      </c>
    </row>
    <row r="195" customFormat="false" ht="15" hidden="false" customHeight="false" outlineLevel="0" collapsed="false">
      <c r="A195" s="21" t="n">
        <v>194</v>
      </c>
      <c r="B195" s="22" t="s">
        <v>1603</v>
      </c>
      <c r="C195" s="23" t="s">
        <v>1604</v>
      </c>
      <c r="D195" s="23" t="s">
        <v>1605</v>
      </c>
      <c r="E195" s="23" t="s">
        <v>1606</v>
      </c>
      <c r="F195" s="22" t="s">
        <v>1607</v>
      </c>
      <c r="G195" s="22" t="s">
        <v>1608</v>
      </c>
      <c r="H195" s="22" t="s">
        <v>1609</v>
      </c>
      <c r="I195" s="23" t="s">
        <v>1610</v>
      </c>
      <c r="J195" s="24" t="str">
        <f aca="false">IFERROR(VLOOKUP(VALUE(LEFT(C195,2)),Справочники!$A$2:$B$16,2,FALSE()),"не определён")</f>
        <v>Республика Башкортостан</v>
      </c>
      <c r="K195" s="24" t="str">
        <f aca="false">IF(TRIM(C195)="","ИНН не указан",IF(LEN(C195)&lt;&gt;10,"ИНН: должно быть 10 цифр",IF(NOT(ISNUMBER(IFERROR(VALUE(C195),"x"))),"ИНН: есть нецифровые символы",IF(MOD(MOD(SUMPRODUCT(--MID(C195,{1,2,3,4,5,6,7,8,9},1),{2,4,10,3,5,9,4,6,8}),11),10)=VALUE(RIGHT(C195,1)),"","ИНН: неверная контрольная цифра"))))</f>
        <v/>
      </c>
      <c r="L195" s="24" t="str">
        <f aca="false">IF(TRIM(D195)="","ОГРН не указан",IF(LEN(D195)&lt;&gt;13,"ОГРН: должно быть 13 цифр",IF(NOT(ISNUMBER(IFERROR(VALUE(D195),"x"))),"ОГРН: есть нецифровые символы",IF(MOD(VALUE(LEFT(D195,12))-11*INT(VALUE(LEFT(D195,12))/11),10)=VALUE(RIGHT(D195,1)),"","ОГРН: неверная контрольная цифра"))))</f>
        <v/>
      </c>
      <c r="M195" s="24" t="str">
        <f aca="false">IF(TRIM(E195)="","КПП не указан",IF(LEN(E195)&lt;&gt;9,"КПП: должно быть 9 знаков",IF(NOT(AND(ISNUMBER(IFERROR(VALUE(LEFT(E195,4)),"x")),ISNUMBER(IFERROR(VALUE(RIGHT(E195,3)),"x")))),"КПП: неверный формат",IF(LEFT(E195,2)&lt;&gt;LEFT(C195,2),"КПП: код региона не совпадает с ИНН",""))))</f>
        <v/>
      </c>
      <c r="N195" s="24" t="str">
        <f aca="false">IF(TRIM(C195)="","",IF(COUNTIF($C$2:$C$401,C195)&gt;1,"Дубликат ИНН в реестре",""))</f>
        <v/>
      </c>
      <c r="O195" s="24" t="str">
        <f aca="false">IF(TRIM(H195)="","Email не указан",IF(AND(ISNUMBER(FIND("@",H195)),ISNUMBER(FIND(".",H195,IFERROR(FIND("@",H195),1))),ISERROR(FIND(" ",H195)),LEFT(H195,1)&lt;&gt;"@",RIGHT(H195,1)&lt;&gt;".",LEN(H195)-LEN(SUBSTITUTE(H195,"@",""))=1),"","Email: неверный формат"))</f>
        <v/>
      </c>
      <c r="P195" s="24" t="str">
        <f aca="false">IF(TRIM(I195)="","Телефон не указан",IF(AND(LEN(SUBSTITUTE(SUBSTITUTE(SUBSTITUTE(SUBSTITUTE(SUBSTITUTE(I195," ",""),"-",""),"(",""),")",""),"+",""))=11,OR(LEFT(SUBSTITUTE(SUBSTITUTE(SUBSTITUTE(SUBSTITUTE(SUBSTITUTE(I195," ",""),"-",""),"(",""),")",""),"+",""),1)="7",LEFT(SUBSTITUTE(SUBSTITUTE(SUBSTITUTE(SUBSTITUTE(SUBSTITUTE(I195," ",""),"-",""),"(",""),")",""),"+",""),1)="8"),ISNUMBER(IFERROR(VALUE(SUBSTITUTE(SUBSTITUTE(SUBSTITUTE(SUBSTITUTE(SUBSTITUTE(I195," ",""),"-",""),"(",""),")",""),"+","")),"x"))),"","Телефон: неверный формат"))</f>
        <v/>
      </c>
      <c r="Q195" s="24" t="str">
        <f aca="false">TRIM(IF(TRIM(B195)="","Нет наименования. ","")&amp;IF(TRIM(F195)="","Нет адреса. ","")&amp;IF(TRIM(G195)="","Нет контактного лица.",""))</f>
        <v/>
      </c>
      <c r="R195" s="21" t="n">
        <f aca="false">SUMPRODUCT(--(LEN(K195:Q195)&gt;0))</f>
        <v>0</v>
      </c>
      <c r="S195" s="24" t="str">
        <f aca="false">IF(R195=0,"Готово к передаче","Требует исправления")</f>
        <v>Готово к передаче</v>
      </c>
      <c r="T195" s="24" t="str">
        <f aca="false">IF(R195=0,"",_xlfn.TEXTJOIN("; ",TRUE(),K195:Q195))</f>
        <v/>
      </c>
      <c r="U195" s="24" t="str">
        <f aca="false">IF(R195=0,"","Здравствуйте! В данных организации «"&amp;B195&amp;"» обнаружены ошибки: "&amp;T195&amp;". Просим проверить и прислать исправленную информацию.")</f>
        <v/>
      </c>
      <c r="V195" s="21" t="str">
        <f aca="false">IF(R195&gt;0,COUNTIF($R$2:R195,"&gt;0"),"")</f>
        <v/>
      </c>
      <c r="W195" s="21" t="n">
        <f aca="false">IF(R195=0,COUNTIF($R$2:R195,0),"")</f>
        <v>127</v>
      </c>
    </row>
    <row r="196" customFormat="false" ht="15" hidden="false" customHeight="false" outlineLevel="0" collapsed="false">
      <c r="A196" s="21" t="n">
        <v>195</v>
      </c>
      <c r="B196" s="22" t="s">
        <v>1611</v>
      </c>
      <c r="C196" s="23" t="s">
        <v>1612</v>
      </c>
      <c r="D196" s="23" t="s">
        <v>1613</v>
      </c>
      <c r="E196" s="23" t="s">
        <v>1614</v>
      </c>
      <c r="F196" s="22" t="s">
        <v>1615</v>
      </c>
      <c r="G196" s="22" t="s">
        <v>1616</v>
      </c>
      <c r="H196" s="22" t="s">
        <v>1617</v>
      </c>
      <c r="I196" s="23" t="s">
        <v>1618</v>
      </c>
      <c r="J196" s="24" t="str">
        <f aca="false">IFERROR(VLOOKUP(VALUE(LEFT(C196,2)),Справочники!$A$2:$B$16,2,FALSE()),"не определён")</f>
        <v>Челябинская область</v>
      </c>
      <c r="K196" s="24" t="str">
        <f aca="false">IF(TRIM(C196)="","ИНН не указан",IF(LEN(C196)&lt;&gt;10,"ИНН: должно быть 10 цифр",IF(NOT(ISNUMBER(IFERROR(VALUE(C196),"x"))),"ИНН: есть нецифровые символы",IF(MOD(MOD(SUMPRODUCT(--MID(C196,{1,2,3,4,5,6,7,8,9},1),{2,4,10,3,5,9,4,6,8}),11),10)=VALUE(RIGHT(C196,1)),"","ИНН: неверная контрольная цифра"))))</f>
        <v/>
      </c>
      <c r="L196" s="24" t="str">
        <f aca="false">IF(TRIM(D196)="","ОГРН не указан",IF(LEN(D196)&lt;&gt;13,"ОГРН: должно быть 13 цифр",IF(NOT(ISNUMBER(IFERROR(VALUE(D196),"x"))),"ОГРН: есть нецифровые символы",IF(MOD(VALUE(LEFT(D196,12))-11*INT(VALUE(LEFT(D196,12))/11),10)=VALUE(RIGHT(D196,1)),"","ОГРН: неверная контрольная цифра"))))</f>
        <v/>
      </c>
      <c r="M196" s="24" t="str">
        <f aca="false">IF(TRIM(E196)="","КПП не указан",IF(LEN(E196)&lt;&gt;9,"КПП: должно быть 9 знаков",IF(NOT(AND(ISNUMBER(IFERROR(VALUE(LEFT(E196,4)),"x")),ISNUMBER(IFERROR(VALUE(RIGHT(E196,3)),"x")))),"КПП: неверный формат",IF(LEFT(E196,2)&lt;&gt;LEFT(C196,2),"КПП: код региона не совпадает с ИНН",""))))</f>
        <v/>
      </c>
      <c r="N196" s="24" t="str">
        <f aca="false">IF(TRIM(C196)="","",IF(COUNTIF($C$2:$C$401,C196)&gt;1,"Дубликат ИНН в реестре",""))</f>
        <v/>
      </c>
      <c r="O196" s="24" t="str">
        <f aca="false">IF(TRIM(H196)="","Email не указан",IF(AND(ISNUMBER(FIND("@",H196)),ISNUMBER(FIND(".",H196,IFERROR(FIND("@",H196),1))),ISERROR(FIND(" ",H196)),LEFT(H196,1)&lt;&gt;"@",RIGHT(H196,1)&lt;&gt;".",LEN(H196)-LEN(SUBSTITUTE(H196,"@",""))=1),"","Email: неверный формат"))</f>
        <v/>
      </c>
      <c r="P196" s="24" t="str">
        <f aca="false">IF(TRIM(I196)="","Телефон не указан",IF(AND(LEN(SUBSTITUTE(SUBSTITUTE(SUBSTITUTE(SUBSTITUTE(SUBSTITUTE(I196," ",""),"-",""),"(",""),")",""),"+",""))=11,OR(LEFT(SUBSTITUTE(SUBSTITUTE(SUBSTITUTE(SUBSTITUTE(SUBSTITUTE(I196," ",""),"-",""),"(",""),")",""),"+",""),1)="7",LEFT(SUBSTITUTE(SUBSTITUTE(SUBSTITUTE(SUBSTITUTE(SUBSTITUTE(I196," ",""),"-",""),"(",""),")",""),"+",""),1)="8"),ISNUMBER(IFERROR(VALUE(SUBSTITUTE(SUBSTITUTE(SUBSTITUTE(SUBSTITUTE(SUBSTITUTE(I196," ",""),"-",""),"(",""),")",""),"+","")),"x"))),"","Телефон: неверный формат"))</f>
        <v/>
      </c>
      <c r="Q196" s="24" t="str">
        <f aca="false">TRIM(IF(TRIM(B196)="","Нет наименования. ","")&amp;IF(TRIM(F196)="","Нет адреса. ","")&amp;IF(TRIM(G196)="","Нет контактного лица.",""))</f>
        <v/>
      </c>
      <c r="R196" s="21" t="n">
        <f aca="false">SUMPRODUCT(--(LEN(K196:Q196)&gt;0))</f>
        <v>0</v>
      </c>
      <c r="S196" s="24" t="str">
        <f aca="false">IF(R196=0,"Готово к передаче","Требует исправления")</f>
        <v>Готово к передаче</v>
      </c>
      <c r="T196" s="24" t="str">
        <f aca="false">IF(R196=0,"",_xlfn.TEXTJOIN("; ",TRUE(),K196:Q196))</f>
        <v/>
      </c>
      <c r="U196" s="24" t="str">
        <f aca="false">IF(R196=0,"","Здравствуйте! В данных организации «"&amp;B196&amp;"» обнаружены ошибки: "&amp;T196&amp;". Просим проверить и прислать исправленную информацию.")</f>
        <v/>
      </c>
      <c r="V196" s="21" t="str">
        <f aca="false">IF(R196&gt;0,COUNTIF($R$2:R196,"&gt;0"),"")</f>
        <v/>
      </c>
      <c r="W196" s="21" t="n">
        <f aca="false">IF(R196=0,COUNTIF($R$2:R196,0),"")</f>
        <v>128</v>
      </c>
    </row>
    <row r="197" customFormat="false" ht="15" hidden="false" customHeight="false" outlineLevel="0" collapsed="false">
      <c r="A197" s="21" t="n">
        <v>196</v>
      </c>
      <c r="B197" s="22" t="s">
        <v>1619</v>
      </c>
      <c r="C197" s="23" t="s">
        <v>1620</v>
      </c>
      <c r="D197" s="23" t="s">
        <v>1621</v>
      </c>
      <c r="E197" s="23" t="s">
        <v>1622</v>
      </c>
      <c r="F197" s="22" t="s">
        <v>1623</v>
      </c>
      <c r="G197" s="22" t="s">
        <v>1624</v>
      </c>
      <c r="H197" s="22" t="s">
        <v>1625</v>
      </c>
      <c r="I197" s="23" t="s">
        <v>1626</v>
      </c>
      <c r="J197" s="24" t="str">
        <f aca="false">IFERROR(VLOOKUP(VALUE(LEFT(C197,2)),Справочники!$A$2:$B$16,2,FALSE()),"не определён")</f>
        <v>г. Москва</v>
      </c>
      <c r="K197" s="24" t="str">
        <f aca="false">IF(TRIM(C197)="","ИНН не указан",IF(LEN(C197)&lt;&gt;10,"ИНН: должно быть 10 цифр",IF(NOT(ISNUMBER(IFERROR(VALUE(C197),"x"))),"ИНН: есть нецифровые символы",IF(MOD(MOD(SUMPRODUCT(--MID(C197,{1,2,3,4,5,6,7,8,9},1),{2,4,10,3,5,9,4,6,8}),11),10)=VALUE(RIGHT(C197,1)),"","ИНН: неверная контрольная цифра"))))</f>
        <v/>
      </c>
      <c r="L197" s="24" t="str">
        <f aca="false">IF(TRIM(D197)="","ОГРН не указан",IF(LEN(D197)&lt;&gt;13,"ОГРН: должно быть 13 цифр",IF(NOT(ISNUMBER(IFERROR(VALUE(D197),"x"))),"ОГРН: есть нецифровые символы",IF(MOD(VALUE(LEFT(D197,12))-11*INT(VALUE(LEFT(D197,12))/11),10)=VALUE(RIGHT(D197,1)),"","ОГРН: неверная контрольная цифра"))))</f>
        <v/>
      </c>
      <c r="M197" s="24" t="str">
        <f aca="false">IF(TRIM(E197)="","КПП не указан",IF(LEN(E197)&lt;&gt;9,"КПП: должно быть 9 знаков",IF(NOT(AND(ISNUMBER(IFERROR(VALUE(LEFT(E197,4)),"x")),ISNUMBER(IFERROR(VALUE(RIGHT(E197,3)),"x")))),"КПП: неверный формат",IF(LEFT(E197,2)&lt;&gt;LEFT(C197,2),"КПП: код региона не совпадает с ИНН",""))))</f>
        <v/>
      </c>
      <c r="N197" s="24" t="str">
        <f aca="false">IF(TRIM(C197)="","",IF(COUNTIF($C$2:$C$401,C197)&gt;1,"Дубликат ИНН в реестре",""))</f>
        <v/>
      </c>
      <c r="O197" s="24" t="str">
        <f aca="false">IF(TRIM(H197)="","Email не указан",IF(AND(ISNUMBER(FIND("@",H197)),ISNUMBER(FIND(".",H197,IFERROR(FIND("@",H197),1))),ISERROR(FIND(" ",H197)),LEFT(H197,1)&lt;&gt;"@",RIGHT(H197,1)&lt;&gt;".",LEN(H197)-LEN(SUBSTITUTE(H197,"@",""))=1),"","Email: неверный формат"))</f>
        <v/>
      </c>
      <c r="P197" s="24" t="str">
        <f aca="false">IF(TRIM(I197)="","Телефон не указан",IF(AND(LEN(SUBSTITUTE(SUBSTITUTE(SUBSTITUTE(SUBSTITUTE(SUBSTITUTE(I197," ",""),"-",""),"(",""),")",""),"+",""))=11,OR(LEFT(SUBSTITUTE(SUBSTITUTE(SUBSTITUTE(SUBSTITUTE(SUBSTITUTE(I197," ",""),"-",""),"(",""),")",""),"+",""),1)="7",LEFT(SUBSTITUTE(SUBSTITUTE(SUBSTITUTE(SUBSTITUTE(SUBSTITUTE(I197," ",""),"-",""),"(",""),")",""),"+",""),1)="8"),ISNUMBER(IFERROR(VALUE(SUBSTITUTE(SUBSTITUTE(SUBSTITUTE(SUBSTITUTE(SUBSTITUTE(I197," ",""),"-",""),"(",""),")",""),"+","")),"x"))),"","Телефон: неверный формат"))</f>
        <v/>
      </c>
      <c r="Q197" s="24" t="str">
        <f aca="false">TRIM(IF(TRIM(B197)="","Нет наименования. ","")&amp;IF(TRIM(F197)="","Нет адреса. ","")&amp;IF(TRIM(G197)="","Нет контактного лица.",""))</f>
        <v/>
      </c>
      <c r="R197" s="21" t="n">
        <f aca="false">SUMPRODUCT(--(LEN(K197:Q197)&gt;0))</f>
        <v>0</v>
      </c>
      <c r="S197" s="24" t="str">
        <f aca="false">IF(R197=0,"Готово к передаче","Требует исправления")</f>
        <v>Готово к передаче</v>
      </c>
      <c r="T197" s="24" t="str">
        <f aca="false">IF(R197=0,"",_xlfn.TEXTJOIN("; ",TRUE(),K197:Q197))</f>
        <v/>
      </c>
      <c r="U197" s="24" t="str">
        <f aca="false">IF(R197=0,"","Здравствуйте! В данных организации «"&amp;B197&amp;"» обнаружены ошибки: "&amp;T197&amp;". Просим проверить и прислать исправленную информацию.")</f>
        <v/>
      </c>
      <c r="V197" s="21" t="str">
        <f aca="false">IF(R197&gt;0,COUNTIF($R$2:R197,"&gt;0"),"")</f>
        <v/>
      </c>
      <c r="W197" s="21" t="n">
        <f aca="false">IF(R197=0,COUNTIF($R$2:R197,0),"")</f>
        <v>129</v>
      </c>
    </row>
    <row r="198" customFormat="false" ht="15" hidden="false" customHeight="false" outlineLevel="0" collapsed="false">
      <c r="A198" s="21" t="n">
        <v>197</v>
      </c>
      <c r="B198" s="22" t="s">
        <v>1627</v>
      </c>
      <c r="C198" s="23" t="s">
        <v>1628</v>
      </c>
      <c r="D198" s="23" t="s">
        <v>1629</v>
      </c>
      <c r="E198" s="23" t="s">
        <v>1630</v>
      </c>
      <c r="F198" s="22" t="s">
        <v>1631</v>
      </c>
      <c r="G198" s="22" t="s">
        <v>1632</v>
      </c>
      <c r="H198" s="22" t="s">
        <v>1633</v>
      </c>
      <c r="I198" s="23" t="s">
        <v>1634</v>
      </c>
      <c r="J198" s="24" t="str">
        <f aca="false">IFERROR(VLOOKUP(VALUE(LEFT(C198,2)),Справочники!$A$2:$B$16,2,FALSE()),"не определён")</f>
        <v>г. Севастополь</v>
      </c>
      <c r="K198" s="24" t="str">
        <f aca="false">IF(TRIM(C198)="","ИНН не указан",IF(LEN(C198)&lt;&gt;10,"ИНН: должно быть 10 цифр",IF(NOT(ISNUMBER(IFERROR(VALUE(C198),"x"))),"ИНН: есть нецифровые символы",IF(MOD(MOD(SUMPRODUCT(--MID(C198,{1,2,3,4,5,6,7,8,9},1),{2,4,10,3,5,9,4,6,8}),11),10)=VALUE(RIGHT(C198,1)),"","ИНН: неверная контрольная цифра"))))</f>
        <v/>
      </c>
      <c r="L198" s="24" t="str">
        <f aca="false">IF(TRIM(D198)="","ОГРН не указан",IF(LEN(D198)&lt;&gt;13,"ОГРН: должно быть 13 цифр",IF(NOT(ISNUMBER(IFERROR(VALUE(D198),"x"))),"ОГРН: есть нецифровые символы",IF(MOD(VALUE(LEFT(D198,12))-11*INT(VALUE(LEFT(D198,12))/11),10)=VALUE(RIGHT(D198,1)),"","ОГРН: неверная контрольная цифра"))))</f>
        <v/>
      </c>
      <c r="M198" s="24" t="str">
        <f aca="false">IF(TRIM(E198)="","КПП не указан",IF(LEN(E198)&lt;&gt;9,"КПП: должно быть 9 знаков",IF(NOT(AND(ISNUMBER(IFERROR(VALUE(LEFT(E198,4)),"x")),ISNUMBER(IFERROR(VALUE(RIGHT(E198,3)),"x")))),"КПП: неверный формат",IF(LEFT(E198,2)&lt;&gt;LEFT(C198,2),"КПП: код региона не совпадает с ИНН",""))))</f>
        <v/>
      </c>
      <c r="N198" s="24" t="str">
        <f aca="false">IF(TRIM(C198)="","",IF(COUNTIF($C$2:$C$401,C198)&gt;1,"Дубликат ИНН в реестре",""))</f>
        <v/>
      </c>
      <c r="O198" s="24" t="str">
        <f aca="false">IF(TRIM(H198)="","Email не указан",IF(AND(ISNUMBER(FIND("@",H198)),ISNUMBER(FIND(".",H198,IFERROR(FIND("@",H198),1))),ISERROR(FIND(" ",H198)),LEFT(H198,1)&lt;&gt;"@",RIGHT(H198,1)&lt;&gt;".",LEN(H198)-LEN(SUBSTITUTE(H198,"@",""))=1),"","Email: неверный формат"))</f>
        <v/>
      </c>
      <c r="P198" s="24" t="str">
        <f aca="false">IF(TRIM(I198)="","Телефон не указан",IF(AND(LEN(SUBSTITUTE(SUBSTITUTE(SUBSTITUTE(SUBSTITUTE(SUBSTITUTE(I198," ",""),"-",""),"(",""),")",""),"+",""))=11,OR(LEFT(SUBSTITUTE(SUBSTITUTE(SUBSTITUTE(SUBSTITUTE(SUBSTITUTE(I198," ",""),"-",""),"(",""),")",""),"+",""),1)="7",LEFT(SUBSTITUTE(SUBSTITUTE(SUBSTITUTE(SUBSTITUTE(SUBSTITUTE(I198," ",""),"-",""),"(",""),")",""),"+",""),1)="8"),ISNUMBER(IFERROR(VALUE(SUBSTITUTE(SUBSTITUTE(SUBSTITUTE(SUBSTITUTE(SUBSTITUTE(I198," ",""),"-",""),"(",""),")",""),"+","")),"x"))),"","Телефон: неверный формат"))</f>
        <v/>
      </c>
      <c r="Q198" s="24" t="str">
        <f aca="false">TRIM(IF(TRIM(B198)="","Нет наименования. ","")&amp;IF(TRIM(F198)="","Нет адреса. ","")&amp;IF(TRIM(G198)="","Нет контактного лица.",""))</f>
        <v/>
      </c>
      <c r="R198" s="21" t="n">
        <f aca="false">SUMPRODUCT(--(LEN(K198:Q198)&gt;0))</f>
        <v>0</v>
      </c>
      <c r="S198" s="24" t="str">
        <f aca="false">IF(R198=0,"Готово к передаче","Требует исправления")</f>
        <v>Готово к передаче</v>
      </c>
      <c r="T198" s="24" t="str">
        <f aca="false">IF(R198=0,"",_xlfn.TEXTJOIN("; ",TRUE(),K198:Q198))</f>
        <v/>
      </c>
      <c r="U198" s="24" t="str">
        <f aca="false">IF(R198=0,"","Здравствуйте! В данных организации «"&amp;B198&amp;"» обнаружены ошибки: "&amp;T198&amp;". Просим проверить и прислать исправленную информацию.")</f>
        <v/>
      </c>
      <c r="V198" s="21" t="str">
        <f aca="false">IF(R198&gt;0,COUNTIF($R$2:R198,"&gt;0"),"")</f>
        <v/>
      </c>
      <c r="W198" s="21" t="n">
        <f aca="false">IF(R198=0,COUNTIF($R$2:R198,0),"")</f>
        <v>130</v>
      </c>
    </row>
    <row r="199" customFormat="false" ht="15" hidden="false" customHeight="false" outlineLevel="0" collapsed="false">
      <c r="A199" s="21" t="n">
        <v>198</v>
      </c>
      <c r="B199" s="22" t="s">
        <v>1635</v>
      </c>
      <c r="C199" s="23" t="s">
        <v>1636</v>
      </c>
      <c r="D199" s="23" t="s">
        <v>1637</v>
      </c>
      <c r="E199" s="23" t="s">
        <v>1638</v>
      </c>
      <c r="F199" s="22" t="s">
        <v>1639</v>
      </c>
      <c r="G199" s="22" t="s">
        <v>1640</v>
      </c>
      <c r="H199" s="22" t="s">
        <v>1641</v>
      </c>
      <c r="I199" s="23" t="s">
        <v>1642</v>
      </c>
      <c r="J199" s="24" t="str">
        <f aca="false">IFERROR(VLOOKUP(VALUE(LEFT(C199,2)),Справочники!$A$2:$B$16,2,FALSE()),"не определён")</f>
        <v>Самарская область</v>
      </c>
      <c r="K199" s="24" t="str">
        <f aca="false">IF(TRIM(C199)="","ИНН не указан",IF(LEN(C199)&lt;&gt;10,"ИНН: должно быть 10 цифр",IF(NOT(ISNUMBER(IFERROR(VALUE(C199),"x"))),"ИНН: есть нецифровые символы",IF(MOD(MOD(SUMPRODUCT(--MID(C199,{1,2,3,4,5,6,7,8,9},1),{2,4,10,3,5,9,4,6,8}),11),10)=VALUE(RIGHT(C199,1)),"","ИНН: неверная контрольная цифра"))))</f>
        <v/>
      </c>
      <c r="L199" s="24" t="str">
        <f aca="false">IF(TRIM(D199)="","ОГРН не указан",IF(LEN(D199)&lt;&gt;13,"ОГРН: должно быть 13 цифр",IF(NOT(ISNUMBER(IFERROR(VALUE(D199),"x"))),"ОГРН: есть нецифровые символы",IF(MOD(VALUE(LEFT(D199,12))-11*INT(VALUE(LEFT(D199,12))/11),10)=VALUE(RIGHT(D199,1)),"","ОГРН: неверная контрольная цифра"))))</f>
        <v/>
      </c>
      <c r="M199" s="24" t="str">
        <f aca="false">IF(TRIM(E199)="","КПП не указан",IF(LEN(E199)&lt;&gt;9,"КПП: должно быть 9 знаков",IF(NOT(AND(ISNUMBER(IFERROR(VALUE(LEFT(E199,4)),"x")),ISNUMBER(IFERROR(VALUE(RIGHT(E199,3)),"x")))),"КПП: неверный формат",IF(LEFT(E199,2)&lt;&gt;LEFT(C199,2),"КПП: код региона не совпадает с ИНН",""))))</f>
        <v/>
      </c>
      <c r="N199" s="24" t="str">
        <f aca="false">IF(TRIM(C199)="","",IF(COUNTIF($C$2:$C$401,C199)&gt;1,"Дубликат ИНН в реестре",""))</f>
        <v/>
      </c>
      <c r="O199" s="24" t="str">
        <f aca="false">IF(TRIM(H199)="","Email не указан",IF(AND(ISNUMBER(FIND("@",H199)),ISNUMBER(FIND(".",H199,IFERROR(FIND("@",H199),1))),ISERROR(FIND(" ",H199)),LEFT(H199,1)&lt;&gt;"@",RIGHT(H199,1)&lt;&gt;".",LEN(H199)-LEN(SUBSTITUTE(H199,"@",""))=1),"","Email: неверный формат"))</f>
        <v/>
      </c>
      <c r="P199" s="24" t="str">
        <f aca="false">IF(TRIM(I199)="","Телефон не указан",IF(AND(LEN(SUBSTITUTE(SUBSTITUTE(SUBSTITUTE(SUBSTITUTE(SUBSTITUTE(I199," ",""),"-",""),"(",""),")",""),"+",""))=11,OR(LEFT(SUBSTITUTE(SUBSTITUTE(SUBSTITUTE(SUBSTITUTE(SUBSTITUTE(I199," ",""),"-",""),"(",""),")",""),"+",""),1)="7",LEFT(SUBSTITUTE(SUBSTITUTE(SUBSTITUTE(SUBSTITUTE(SUBSTITUTE(I199," ",""),"-",""),"(",""),")",""),"+",""),1)="8"),ISNUMBER(IFERROR(VALUE(SUBSTITUTE(SUBSTITUTE(SUBSTITUTE(SUBSTITUTE(SUBSTITUTE(I199," ",""),"-",""),"(",""),")",""),"+","")),"x"))),"","Телефон: неверный формат"))</f>
        <v/>
      </c>
      <c r="Q199" s="24" t="str">
        <f aca="false">TRIM(IF(TRIM(B199)="","Нет наименования. ","")&amp;IF(TRIM(F199)="","Нет адреса. ","")&amp;IF(TRIM(G199)="","Нет контактного лица.",""))</f>
        <v/>
      </c>
      <c r="R199" s="21" t="n">
        <f aca="false">SUMPRODUCT(--(LEN(K199:Q199)&gt;0))</f>
        <v>0</v>
      </c>
      <c r="S199" s="24" t="str">
        <f aca="false">IF(R199=0,"Готово к передаче","Требует исправления")</f>
        <v>Готово к передаче</v>
      </c>
      <c r="T199" s="24" t="str">
        <f aca="false">IF(R199=0,"",_xlfn.TEXTJOIN("; ",TRUE(),K199:Q199))</f>
        <v/>
      </c>
      <c r="U199" s="24" t="str">
        <f aca="false">IF(R199=0,"","Здравствуйте! В данных организации «"&amp;B199&amp;"» обнаружены ошибки: "&amp;T199&amp;". Просим проверить и прислать исправленную информацию.")</f>
        <v/>
      </c>
      <c r="V199" s="21" t="str">
        <f aca="false">IF(R199&gt;0,COUNTIF($R$2:R199,"&gt;0"),"")</f>
        <v/>
      </c>
      <c r="W199" s="21" t="n">
        <f aca="false">IF(R199=0,COUNTIF($R$2:R199,0),"")</f>
        <v>131</v>
      </c>
    </row>
    <row r="200" customFormat="false" ht="15" hidden="false" customHeight="false" outlineLevel="0" collapsed="false">
      <c r="A200" s="21" t="n">
        <v>199</v>
      </c>
      <c r="B200" s="22" t="s">
        <v>1643</v>
      </c>
      <c r="C200" s="23"/>
      <c r="D200" s="23" t="s">
        <v>1644</v>
      </c>
      <c r="E200" s="23" t="s">
        <v>1645</v>
      </c>
      <c r="F200" s="22" t="s">
        <v>1646</v>
      </c>
      <c r="G200" s="22" t="s">
        <v>603</v>
      </c>
      <c r="H200" s="22" t="s">
        <v>1647</v>
      </c>
      <c r="I200" s="23" t="s">
        <v>1648</v>
      </c>
      <c r="J200" s="24" t="str">
        <f aca="false">IFERROR(VLOOKUP(VALUE(LEFT(C200,2)),Справочники!$A$2:$B$16,2,FALSE()),"не определён")</f>
        <v>не определён</v>
      </c>
      <c r="K200" s="24" t="str">
        <f aca="false">IF(TRIM(C200)="","ИНН не указан",IF(LEN(C200)&lt;&gt;10,"ИНН: должно быть 10 цифр",IF(NOT(ISNUMBER(IFERROR(VALUE(C200),"x"))),"ИНН: есть нецифровые символы",IF(MOD(MOD(SUMPRODUCT(--MID(C200,{1,2,3,4,5,6,7,8,9},1),{2,4,10,3,5,9,4,6,8}),11),10)=VALUE(RIGHT(C200,1)),"","ИНН: неверная контрольная цифра"))))</f>
        <v>ИНН не указан</v>
      </c>
      <c r="L200" s="24" t="str">
        <f aca="false">IF(TRIM(D200)="","ОГРН не указан",IF(LEN(D200)&lt;&gt;13,"ОГРН: должно быть 13 цифр",IF(NOT(ISNUMBER(IFERROR(VALUE(D200),"x"))),"ОГРН: есть нецифровые символы",IF(MOD(VALUE(LEFT(D200,12))-11*INT(VALUE(LEFT(D200,12))/11),10)=VALUE(RIGHT(D200,1)),"","ОГРН: неверная контрольная цифра"))))</f>
        <v/>
      </c>
      <c r="M200" s="24" t="str">
        <f aca="false">IF(TRIM(E200)="","КПП не указан",IF(LEN(E200)&lt;&gt;9,"КПП: должно быть 9 знаков",IF(NOT(AND(ISNUMBER(IFERROR(VALUE(LEFT(E200,4)),"x")),ISNUMBER(IFERROR(VALUE(RIGHT(E200,3)),"x")))),"КПП: неверный формат",IF(LEFT(E200,2)&lt;&gt;LEFT(C200,2),"КПП: код региона не совпадает с ИНН",""))))</f>
        <v>КПП: код региона не совпадает с ИНН</v>
      </c>
      <c r="N200" s="24" t="str">
        <f aca="false">IF(TRIM(C200)="","",IF(COUNTIF($C$2:$C$401,C200)&gt;1,"Дубликат ИНН в реестре",""))</f>
        <v/>
      </c>
      <c r="O200" s="24" t="str">
        <f aca="false">IF(TRIM(H200)="","Email не указан",IF(AND(ISNUMBER(FIND("@",H200)),ISNUMBER(FIND(".",H200,IFERROR(FIND("@",H200),1))),ISERROR(FIND(" ",H200)),LEFT(H200,1)&lt;&gt;"@",RIGHT(H200,1)&lt;&gt;".",LEN(H200)-LEN(SUBSTITUTE(H200,"@",""))=1),"","Email: неверный формат"))</f>
        <v/>
      </c>
      <c r="P200" s="24" t="str">
        <f aca="false">IF(TRIM(I200)="","Телефон не указан",IF(AND(LEN(SUBSTITUTE(SUBSTITUTE(SUBSTITUTE(SUBSTITUTE(SUBSTITUTE(I200," ",""),"-",""),"(",""),")",""),"+",""))=11,OR(LEFT(SUBSTITUTE(SUBSTITUTE(SUBSTITUTE(SUBSTITUTE(SUBSTITUTE(I200," ",""),"-",""),"(",""),")",""),"+",""),1)="7",LEFT(SUBSTITUTE(SUBSTITUTE(SUBSTITUTE(SUBSTITUTE(SUBSTITUTE(I200," ",""),"-",""),"(",""),")",""),"+",""),1)="8"),ISNUMBER(IFERROR(VALUE(SUBSTITUTE(SUBSTITUTE(SUBSTITUTE(SUBSTITUTE(SUBSTITUTE(I200," ",""),"-",""),"(",""),")",""),"+","")),"x"))),"","Телефон: неверный формат"))</f>
        <v/>
      </c>
      <c r="Q200" s="24" t="str">
        <f aca="false">TRIM(IF(TRIM(B200)="","Нет наименования. ","")&amp;IF(TRIM(F200)="","Нет адреса. ","")&amp;IF(TRIM(G200)="","Нет контактного лица.",""))</f>
        <v/>
      </c>
      <c r="R200" s="21" t="n">
        <f aca="false">SUMPRODUCT(--(LEN(K200:Q200)&gt;0))</f>
        <v>2</v>
      </c>
      <c r="S200" s="24" t="str">
        <f aca="false">IF(R200=0,"Готово к передаче","Требует исправления")</f>
        <v>Требует исправления</v>
      </c>
      <c r="T200" s="24" t="str">
        <f aca="false">IF(R200=0,"",_xlfn.TEXTJOIN("; ",TRUE(),K200:Q200))</f>
        <v>ИНН не указан; КПП: код региона не совпадает с ИНН</v>
      </c>
      <c r="U200" s="24" t="str">
        <f aca="false">IF(R200=0,"","Здравствуйте! В данных организации «"&amp;B200&amp;"» обнаружены ошибки: "&amp;T200&amp;". Просим проверить и прислать исправленную информацию.")</f>
        <v>Здравствуйте! В данных организации «ООО «Заря Проект»» обнаружены ошибки: ИНН не указан; КПП: код региона не совпадает с ИНН. Просим проверить и прислать исправленную информацию.</v>
      </c>
      <c r="V200" s="21" t="n">
        <f aca="false">IF(R200&gt;0,COUNTIF($R$2:R200,"&gt;0"),"")</f>
        <v>68</v>
      </c>
      <c r="W200" s="21" t="str">
        <f aca="false">IF(R200=0,COUNTIF($R$2:R200,0),"")</f>
        <v/>
      </c>
    </row>
    <row r="201" customFormat="false" ht="15" hidden="false" customHeight="false" outlineLevel="0" collapsed="false">
      <c r="A201" s="21" t="n">
        <v>200</v>
      </c>
      <c r="B201" s="22" t="s">
        <v>1649</v>
      </c>
      <c r="C201" s="23" t="s">
        <v>1650</v>
      </c>
      <c r="D201" s="23" t="s">
        <v>1651</v>
      </c>
      <c r="E201" s="23" t="s">
        <v>1652</v>
      </c>
      <c r="F201" s="22" t="s">
        <v>1653</v>
      </c>
      <c r="G201" s="22" t="s">
        <v>1654</v>
      </c>
      <c r="H201" s="22" t="s">
        <v>1655</v>
      </c>
      <c r="I201" s="23" t="s">
        <v>1656</v>
      </c>
      <c r="J201" s="24" t="str">
        <f aca="false">IFERROR(VLOOKUP(VALUE(LEFT(C201,2)),Справочники!$A$2:$B$16,2,FALSE()),"не определён")</f>
        <v>Республика Татарстан</v>
      </c>
      <c r="K201" s="24" t="str">
        <f aca="false">IF(TRIM(C201)="","ИНН не указан",IF(LEN(C201)&lt;&gt;10,"ИНН: должно быть 10 цифр",IF(NOT(ISNUMBER(IFERROR(VALUE(C201),"x"))),"ИНН: есть нецифровые символы",IF(MOD(MOD(SUMPRODUCT(--MID(C201,{1,2,3,4,5,6,7,8,9},1),{2,4,10,3,5,9,4,6,8}),11),10)=VALUE(RIGHT(C201,1)),"","ИНН: неверная контрольная цифра"))))</f>
        <v/>
      </c>
      <c r="L201" s="24" t="str">
        <f aca="false">IF(TRIM(D201)="","ОГРН не указан",IF(LEN(D201)&lt;&gt;13,"ОГРН: должно быть 13 цифр",IF(NOT(ISNUMBER(IFERROR(VALUE(D201),"x"))),"ОГРН: есть нецифровые символы",IF(MOD(VALUE(LEFT(D201,12))-11*INT(VALUE(LEFT(D201,12))/11),10)=VALUE(RIGHT(D201,1)),"","ОГРН: неверная контрольная цифра"))))</f>
        <v/>
      </c>
      <c r="M201" s="24" t="str">
        <f aca="false">IF(TRIM(E201)="","КПП не указан",IF(LEN(E201)&lt;&gt;9,"КПП: должно быть 9 знаков",IF(NOT(AND(ISNUMBER(IFERROR(VALUE(LEFT(E201,4)),"x")),ISNUMBER(IFERROR(VALUE(RIGHT(E201,3)),"x")))),"КПП: неверный формат",IF(LEFT(E201,2)&lt;&gt;LEFT(C201,2),"КПП: код региона не совпадает с ИНН",""))))</f>
        <v/>
      </c>
      <c r="N201" s="24" t="str">
        <f aca="false">IF(TRIM(C201)="","",IF(COUNTIF($C$2:$C$401,C201)&gt;1,"Дубликат ИНН в реестре",""))</f>
        <v/>
      </c>
      <c r="O201" s="24" t="str">
        <f aca="false">IF(TRIM(H201)="","Email не указан",IF(AND(ISNUMBER(FIND("@",H201)),ISNUMBER(FIND(".",H201,IFERROR(FIND("@",H201),1))),ISERROR(FIND(" ",H201)),LEFT(H201,1)&lt;&gt;"@",RIGHT(H201,1)&lt;&gt;".",LEN(H201)-LEN(SUBSTITUTE(H201,"@",""))=1),"","Email: неверный формат"))</f>
        <v/>
      </c>
      <c r="P201" s="24" t="str">
        <f aca="false">IF(TRIM(I201)="","Телефон не указан",IF(AND(LEN(SUBSTITUTE(SUBSTITUTE(SUBSTITUTE(SUBSTITUTE(SUBSTITUTE(I201," ",""),"-",""),"(",""),")",""),"+",""))=11,OR(LEFT(SUBSTITUTE(SUBSTITUTE(SUBSTITUTE(SUBSTITUTE(SUBSTITUTE(I201," ",""),"-",""),"(",""),")",""),"+",""),1)="7",LEFT(SUBSTITUTE(SUBSTITUTE(SUBSTITUTE(SUBSTITUTE(SUBSTITUTE(I201," ",""),"-",""),"(",""),")",""),"+",""),1)="8"),ISNUMBER(IFERROR(VALUE(SUBSTITUTE(SUBSTITUTE(SUBSTITUTE(SUBSTITUTE(SUBSTITUTE(I201," ",""),"-",""),"(",""),")",""),"+","")),"x"))),"","Телефон: неверный формат"))</f>
        <v/>
      </c>
      <c r="Q201" s="24" t="str">
        <f aca="false">TRIM(IF(TRIM(B201)="","Нет наименования. ","")&amp;IF(TRIM(F201)="","Нет адреса. ","")&amp;IF(TRIM(G201)="","Нет контактного лица.",""))</f>
        <v/>
      </c>
      <c r="R201" s="21" t="n">
        <f aca="false">SUMPRODUCT(--(LEN(K201:Q201)&gt;0))</f>
        <v>0</v>
      </c>
      <c r="S201" s="24" t="str">
        <f aca="false">IF(R201=0,"Готово к передаче","Требует исправления")</f>
        <v>Готово к передаче</v>
      </c>
      <c r="T201" s="24" t="str">
        <f aca="false">IF(R201=0,"",_xlfn.TEXTJOIN("; ",TRUE(),K201:Q201))</f>
        <v/>
      </c>
      <c r="U201" s="24" t="str">
        <f aca="false">IF(R201=0,"","Здравствуйте! В данных организации «"&amp;B201&amp;"» обнаружены ошибки: "&amp;T201&amp;". Просим проверить и прислать исправленную информацию.")</f>
        <v/>
      </c>
      <c r="V201" s="21" t="str">
        <f aca="false">IF(R201&gt;0,COUNTIF($R$2:R201,"&gt;0"),"")</f>
        <v/>
      </c>
      <c r="W201" s="21" t="n">
        <f aca="false">IF(R201=0,COUNTIF($R$2:R201,0),"")</f>
        <v>132</v>
      </c>
    </row>
    <row r="202" customFormat="false" ht="15" hidden="false" customHeight="false" outlineLevel="0" collapsed="false">
      <c r="A202" s="21" t="n">
        <v>201</v>
      </c>
      <c r="B202" s="22" t="s">
        <v>1657</v>
      </c>
      <c r="C202" s="23" t="s">
        <v>1658</v>
      </c>
      <c r="D202" s="23" t="s">
        <v>1659</v>
      </c>
      <c r="E202" s="23" t="s">
        <v>1660</v>
      </c>
      <c r="F202" s="22" t="s">
        <v>1661</v>
      </c>
      <c r="G202" s="22" t="s">
        <v>1662</v>
      </c>
      <c r="H202" s="22" t="s">
        <v>1663</v>
      </c>
      <c r="I202" s="23" t="s">
        <v>1664</v>
      </c>
      <c r="J202" s="24" t="str">
        <f aca="false">IFERROR(VLOOKUP(VALUE(LEFT(C202,2)),Справочники!$A$2:$B$16,2,FALSE()),"не определён")</f>
        <v>Челябинская область</v>
      </c>
      <c r="K202" s="24" t="str">
        <f aca="false">IF(TRIM(C202)="","ИНН не указан",IF(LEN(C202)&lt;&gt;10,"ИНН: должно быть 10 цифр",IF(NOT(ISNUMBER(IFERROR(VALUE(C202),"x"))),"ИНН: есть нецифровые символы",IF(MOD(MOD(SUMPRODUCT(--MID(C202,{1,2,3,4,5,6,7,8,9},1),{2,4,10,3,5,9,4,6,8}),11),10)=VALUE(RIGHT(C202,1)),"","ИНН: неверная контрольная цифра"))))</f>
        <v/>
      </c>
      <c r="L202" s="24" t="str">
        <f aca="false">IF(TRIM(D202)="","ОГРН не указан",IF(LEN(D202)&lt;&gt;13,"ОГРН: должно быть 13 цифр",IF(NOT(ISNUMBER(IFERROR(VALUE(D202),"x"))),"ОГРН: есть нецифровые символы",IF(MOD(VALUE(LEFT(D202,12))-11*INT(VALUE(LEFT(D202,12))/11),10)=VALUE(RIGHT(D202,1)),"","ОГРН: неверная контрольная цифра"))))</f>
        <v/>
      </c>
      <c r="M202" s="24" t="str">
        <f aca="false">IF(TRIM(E202)="","КПП не указан",IF(LEN(E202)&lt;&gt;9,"КПП: должно быть 9 знаков",IF(NOT(AND(ISNUMBER(IFERROR(VALUE(LEFT(E202,4)),"x")),ISNUMBER(IFERROR(VALUE(RIGHT(E202,3)),"x")))),"КПП: неверный формат",IF(LEFT(E202,2)&lt;&gt;LEFT(C202,2),"КПП: код региона не совпадает с ИНН",""))))</f>
        <v/>
      </c>
      <c r="N202" s="24" t="str">
        <f aca="false">IF(TRIM(C202)="","",IF(COUNTIF($C$2:$C$401,C202)&gt;1,"Дубликат ИНН в реестре",""))</f>
        <v/>
      </c>
      <c r="O202" s="24" t="str">
        <f aca="false">IF(TRIM(H202)="","Email не указан",IF(AND(ISNUMBER(FIND("@",H202)),ISNUMBER(FIND(".",H202,IFERROR(FIND("@",H202),1))),ISERROR(FIND(" ",H202)),LEFT(H202,1)&lt;&gt;"@",RIGHT(H202,1)&lt;&gt;".",LEN(H202)-LEN(SUBSTITUTE(H202,"@",""))=1),"","Email: неверный формат"))</f>
        <v/>
      </c>
      <c r="P202" s="24" t="str">
        <f aca="false">IF(TRIM(I202)="","Телефон не указан",IF(AND(LEN(SUBSTITUTE(SUBSTITUTE(SUBSTITUTE(SUBSTITUTE(SUBSTITUTE(I202," ",""),"-",""),"(",""),")",""),"+",""))=11,OR(LEFT(SUBSTITUTE(SUBSTITUTE(SUBSTITUTE(SUBSTITUTE(SUBSTITUTE(I202," ",""),"-",""),"(",""),")",""),"+",""),1)="7",LEFT(SUBSTITUTE(SUBSTITUTE(SUBSTITUTE(SUBSTITUTE(SUBSTITUTE(I202," ",""),"-",""),"(",""),")",""),"+",""),1)="8"),ISNUMBER(IFERROR(VALUE(SUBSTITUTE(SUBSTITUTE(SUBSTITUTE(SUBSTITUTE(SUBSTITUTE(I202," ",""),"-",""),"(",""),")",""),"+","")),"x"))),"","Телефон: неверный формат"))</f>
        <v/>
      </c>
      <c r="Q202" s="24" t="str">
        <f aca="false">TRIM(IF(TRIM(B202)="","Нет наименования. ","")&amp;IF(TRIM(F202)="","Нет адреса. ","")&amp;IF(TRIM(G202)="","Нет контактного лица.",""))</f>
        <v/>
      </c>
      <c r="R202" s="21" t="n">
        <f aca="false">SUMPRODUCT(--(LEN(K202:Q202)&gt;0))</f>
        <v>0</v>
      </c>
      <c r="S202" s="24" t="str">
        <f aca="false">IF(R202=0,"Готово к передаче","Требует исправления")</f>
        <v>Готово к передаче</v>
      </c>
      <c r="T202" s="24" t="str">
        <f aca="false">IF(R202=0,"",_xlfn.TEXTJOIN("; ",TRUE(),K202:Q202))</f>
        <v/>
      </c>
      <c r="U202" s="24" t="str">
        <f aca="false">IF(R202=0,"","Здравствуйте! В данных организации «"&amp;B202&amp;"» обнаружены ошибки: "&amp;T202&amp;". Просим проверить и прислать исправленную информацию.")</f>
        <v/>
      </c>
      <c r="V202" s="21" t="str">
        <f aca="false">IF(R202&gt;0,COUNTIF($R$2:R202,"&gt;0"),"")</f>
        <v/>
      </c>
      <c r="W202" s="21" t="n">
        <f aca="false">IF(R202=0,COUNTIF($R$2:R202,0),"")</f>
        <v>133</v>
      </c>
    </row>
    <row r="203" customFormat="false" ht="15" hidden="false" customHeight="false" outlineLevel="0" collapsed="false">
      <c r="A203" s="21" t="n">
        <v>202</v>
      </c>
      <c r="B203" s="22" t="s">
        <v>1665</v>
      </c>
      <c r="C203" s="23" t="s">
        <v>1666</v>
      </c>
      <c r="D203" s="23" t="s">
        <v>1667</v>
      </c>
      <c r="E203" s="23" t="s">
        <v>1668</v>
      </c>
      <c r="F203" s="22" t="s">
        <v>1669</v>
      </c>
      <c r="G203" s="22" t="s">
        <v>1670</v>
      </c>
      <c r="H203" s="22" t="s">
        <v>1671</v>
      </c>
      <c r="I203" s="23" t="s">
        <v>1672</v>
      </c>
      <c r="J203" s="24" t="str">
        <f aca="false">IFERROR(VLOOKUP(VALUE(LEFT(C203,2)),Справочники!$A$2:$B$16,2,FALSE()),"не определён")</f>
        <v>Ростовская область</v>
      </c>
      <c r="K203" s="24" t="str">
        <f aca="false">IF(TRIM(C203)="","ИНН не указан",IF(LEN(C203)&lt;&gt;10,"ИНН: должно быть 10 цифр",IF(NOT(ISNUMBER(IFERROR(VALUE(C203),"x"))),"ИНН: есть нецифровые символы",IF(MOD(MOD(SUMPRODUCT(--MID(C203,{1,2,3,4,5,6,7,8,9},1),{2,4,10,3,5,9,4,6,8}),11),10)=VALUE(RIGHT(C203,1)),"","ИНН: неверная контрольная цифра"))))</f>
        <v/>
      </c>
      <c r="L203" s="24" t="str">
        <f aca="false">IF(TRIM(D203)="","ОГРН не указан",IF(LEN(D203)&lt;&gt;13,"ОГРН: должно быть 13 цифр",IF(NOT(ISNUMBER(IFERROR(VALUE(D203),"x"))),"ОГРН: есть нецифровые символы",IF(MOD(VALUE(LEFT(D203,12))-11*INT(VALUE(LEFT(D203,12))/11),10)=VALUE(RIGHT(D203,1)),"","ОГРН: неверная контрольная цифра"))))</f>
        <v/>
      </c>
      <c r="M203" s="24" t="str">
        <f aca="false">IF(TRIM(E203)="","КПП не указан",IF(LEN(E203)&lt;&gt;9,"КПП: должно быть 9 знаков",IF(NOT(AND(ISNUMBER(IFERROR(VALUE(LEFT(E203,4)),"x")),ISNUMBER(IFERROR(VALUE(RIGHT(E203,3)),"x")))),"КПП: неверный формат",IF(LEFT(E203,2)&lt;&gt;LEFT(C203,2),"КПП: код региона не совпадает с ИНН",""))))</f>
        <v/>
      </c>
      <c r="N203" s="24" t="str">
        <f aca="false">IF(TRIM(C203)="","",IF(COUNTIF($C$2:$C$401,C203)&gt;1,"Дубликат ИНН в реестре",""))</f>
        <v/>
      </c>
      <c r="O203" s="24" t="str">
        <f aca="false">IF(TRIM(H203)="","Email не указан",IF(AND(ISNUMBER(FIND("@",H203)),ISNUMBER(FIND(".",H203,IFERROR(FIND("@",H203),1))),ISERROR(FIND(" ",H203)),LEFT(H203,1)&lt;&gt;"@",RIGHT(H203,1)&lt;&gt;".",LEN(H203)-LEN(SUBSTITUTE(H203,"@",""))=1),"","Email: неверный формат"))</f>
        <v/>
      </c>
      <c r="P203" s="24" t="str">
        <f aca="false">IF(TRIM(I203)="","Телефон не указан",IF(AND(LEN(SUBSTITUTE(SUBSTITUTE(SUBSTITUTE(SUBSTITUTE(SUBSTITUTE(I203," ",""),"-",""),"(",""),")",""),"+",""))=11,OR(LEFT(SUBSTITUTE(SUBSTITUTE(SUBSTITUTE(SUBSTITUTE(SUBSTITUTE(I203," ",""),"-",""),"(",""),")",""),"+",""),1)="7",LEFT(SUBSTITUTE(SUBSTITUTE(SUBSTITUTE(SUBSTITUTE(SUBSTITUTE(I203," ",""),"-",""),"(",""),")",""),"+",""),1)="8"),ISNUMBER(IFERROR(VALUE(SUBSTITUTE(SUBSTITUTE(SUBSTITUTE(SUBSTITUTE(SUBSTITUTE(I203," ",""),"-",""),"(",""),")",""),"+","")),"x"))),"","Телефон: неверный формат"))</f>
        <v/>
      </c>
      <c r="Q203" s="24" t="str">
        <f aca="false">TRIM(IF(TRIM(B203)="","Нет наименования. ","")&amp;IF(TRIM(F203)="","Нет адреса. ","")&amp;IF(TRIM(G203)="","Нет контактного лица.",""))</f>
        <v/>
      </c>
      <c r="R203" s="21" t="n">
        <f aca="false">SUMPRODUCT(--(LEN(K203:Q203)&gt;0))</f>
        <v>0</v>
      </c>
      <c r="S203" s="24" t="str">
        <f aca="false">IF(R203=0,"Готово к передаче","Требует исправления")</f>
        <v>Готово к передаче</v>
      </c>
      <c r="T203" s="24" t="str">
        <f aca="false">IF(R203=0,"",_xlfn.TEXTJOIN("; ",TRUE(),K203:Q203))</f>
        <v/>
      </c>
      <c r="U203" s="24" t="str">
        <f aca="false">IF(R203=0,"","Здравствуйте! В данных организации «"&amp;B203&amp;"» обнаружены ошибки: "&amp;T203&amp;". Просим проверить и прислать исправленную информацию.")</f>
        <v/>
      </c>
      <c r="V203" s="21" t="str">
        <f aca="false">IF(R203&gt;0,COUNTIF($R$2:R203,"&gt;0"),"")</f>
        <v/>
      </c>
      <c r="W203" s="21" t="n">
        <f aca="false">IF(R203=0,COUNTIF($R$2:R203,0),"")</f>
        <v>134</v>
      </c>
    </row>
    <row r="204" customFormat="false" ht="15" hidden="false" customHeight="false" outlineLevel="0" collapsed="false">
      <c r="A204" s="21" t="n">
        <v>203</v>
      </c>
      <c r="B204" s="22" t="s">
        <v>1673</v>
      </c>
      <c r="C204" s="23" t="s">
        <v>670</v>
      </c>
      <c r="D204" s="23" t="s">
        <v>1674</v>
      </c>
      <c r="E204" s="23" t="s">
        <v>1675</v>
      </c>
      <c r="F204" s="22" t="s">
        <v>1676</v>
      </c>
      <c r="G204" s="22" t="s">
        <v>1677</v>
      </c>
      <c r="H204" s="22" t="s">
        <v>1678</v>
      </c>
      <c r="I204" s="23" t="s">
        <v>1679</v>
      </c>
      <c r="J204" s="24" t="str">
        <f aca="false">IFERROR(VLOOKUP(VALUE(LEFT(C204,2)),Справочники!$A$2:$B$16,2,FALSE()),"не определён")</f>
        <v>г. Севастополь</v>
      </c>
      <c r="K204" s="24" t="str">
        <f aca="false">IF(TRIM(C204)="","ИНН не указан",IF(LEN(C204)&lt;&gt;10,"ИНН: должно быть 10 цифр",IF(NOT(ISNUMBER(IFERROR(VALUE(C204),"x"))),"ИНН: есть нецифровые символы",IF(MOD(MOD(SUMPRODUCT(--MID(C204,{1,2,3,4,5,6,7,8,9},1),{2,4,10,3,5,9,4,6,8}),11),10)=VALUE(RIGHT(C204,1)),"","ИНН: неверная контрольная цифра"))))</f>
        <v/>
      </c>
      <c r="L204" s="24" t="str">
        <f aca="false">IF(TRIM(D204)="","ОГРН не указан",IF(LEN(D204)&lt;&gt;13,"ОГРН: должно быть 13 цифр",IF(NOT(ISNUMBER(IFERROR(VALUE(D204),"x"))),"ОГРН: есть нецифровые символы",IF(MOD(VALUE(LEFT(D204,12))-11*INT(VALUE(LEFT(D204,12))/11),10)=VALUE(RIGHT(D204,1)),"","ОГРН: неверная контрольная цифра"))))</f>
        <v/>
      </c>
      <c r="M204" s="24" t="str">
        <f aca="false">IF(TRIM(E204)="","КПП не указан",IF(LEN(E204)&lt;&gt;9,"КПП: должно быть 9 знаков",IF(NOT(AND(ISNUMBER(IFERROR(VALUE(LEFT(E204,4)),"x")),ISNUMBER(IFERROR(VALUE(RIGHT(E204,3)),"x")))),"КПП: неверный формат",IF(LEFT(E204,2)&lt;&gt;LEFT(C204,2),"КПП: код региона не совпадает с ИНН",""))))</f>
        <v/>
      </c>
      <c r="N204" s="24" t="str">
        <f aca="false">IF(TRIM(C204)="","",IF(COUNTIF($C$2:$C$401,C204)&gt;1,"Дубликат ИНН в реестре",""))</f>
        <v>Дубликат ИНН в реестре</v>
      </c>
      <c r="O204" s="24" t="str">
        <f aca="false">IF(TRIM(H204)="","Email не указан",IF(AND(ISNUMBER(FIND("@",H204)),ISNUMBER(FIND(".",H204,IFERROR(FIND("@",H204),1))),ISERROR(FIND(" ",H204)),LEFT(H204,1)&lt;&gt;"@",RIGHT(H204,1)&lt;&gt;".",LEN(H204)-LEN(SUBSTITUTE(H204,"@",""))=1),"","Email: неверный формат"))</f>
        <v/>
      </c>
      <c r="P204" s="24" t="str">
        <f aca="false">IF(TRIM(I204)="","Телефон не указан",IF(AND(LEN(SUBSTITUTE(SUBSTITUTE(SUBSTITUTE(SUBSTITUTE(SUBSTITUTE(I204," ",""),"-",""),"(",""),")",""),"+",""))=11,OR(LEFT(SUBSTITUTE(SUBSTITUTE(SUBSTITUTE(SUBSTITUTE(SUBSTITUTE(I204," ",""),"-",""),"(",""),")",""),"+",""),1)="7",LEFT(SUBSTITUTE(SUBSTITUTE(SUBSTITUTE(SUBSTITUTE(SUBSTITUTE(I204," ",""),"-",""),"(",""),")",""),"+",""),1)="8"),ISNUMBER(IFERROR(VALUE(SUBSTITUTE(SUBSTITUTE(SUBSTITUTE(SUBSTITUTE(SUBSTITUTE(I204," ",""),"-",""),"(",""),")",""),"+","")),"x"))),"","Телефон: неверный формат"))</f>
        <v/>
      </c>
      <c r="Q204" s="24" t="str">
        <f aca="false">TRIM(IF(TRIM(B204)="","Нет наименования. ","")&amp;IF(TRIM(F204)="","Нет адреса. ","")&amp;IF(TRIM(G204)="","Нет контактного лица.",""))</f>
        <v/>
      </c>
      <c r="R204" s="21" t="n">
        <f aca="false">SUMPRODUCT(--(LEN(K204:Q204)&gt;0))</f>
        <v>1</v>
      </c>
      <c r="S204" s="24" t="str">
        <f aca="false">IF(R204=0,"Готово к передаче","Требует исправления")</f>
        <v>Требует исправления</v>
      </c>
      <c r="T204" s="24" t="str">
        <f aca="false">IF(R204=0,"",_xlfn.TEXTJOIN("; ",TRUE(),K204:Q204))</f>
        <v>Дубликат ИНН в реестре</v>
      </c>
      <c r="U204" s="24" t="str">
        <f aca="false">IF(R204=0,"","Здравствуйте! В данных организации «"&amp;B204&amp;"» обнаружены ошибки: "&amp;T204&amp;". Просим проверить и прислать исправленную информацию.")</f>
        <v>Здравствуйте! В данных организации «ООО «Вектор Транс»» обнаружены ошибки: Дубликат ИНН в реестре. Просим проверить и прислать исправленную информацию.</v>
      </c>
      <c r="V204" s="21" t="n">
        <f aca="false">IF(R204&gt;0,COUNTIF($R$2:R204,"&gt;0"),"")</f>
        <v>69</v>
      </c>
      <c r="W204" s="21" t="str">
        <f aca="false">IF(R204=0,COUNTIF($R$2:R204,0),"")</f>
        <v/>
      </c>
    </row>
    <row r="205" customFormat="false" ht="15" hidden="false" customHeight="false" outlineLevel="0" collapsed="false">
      <c r="A205" s="21" t="n">
        <v>204</v>
      </c>
      <c r="B205" s="22" t="s">
        <v>1680</v>
      </c>
      <c r="C205" s="23" t="s">
        <v>1681</v>
      </c>
      <c r="D205" s="23" t="s">
        <v>1682</v>
      </c>
      <c r="E205" s="23" t="s">
        <v>1683</v>
      </c>
      <c r="F205" s="22" t="s">
        <v>1684</v>
      </c>
      <c r="G205" s="22" t="s">
        <v>1685</v>
      </c>
      <c r="H205" s="22" t="s">
        <v>1686</v>
      </c>
      <c r="I205" s="23" t="s">
        <v>1687</v>
      </c>
      <c r="J205" s="24" t="str">
        <f aca="false">IFERROR(VLOOKUP(VALUE(LEFT(C205,2)),Справочники!$A$2:$B$16,2,FALSE()),"не определён")</f>
        <v>Ростовская область</v>
      </c>
      <c r="K205" s="24" t="str">
        <f aca="false">IF(TRIM(C205)="","ИНН не указан",IF(LEN(C205)&lt;&gt;10,"ИНН: должно быть 10 цифр",IF(NOT(ISNUMBER(IFERROR(VALUE(C205),"x"))),"ИНН: есть нецифровые символы",IF(MOD(MOD(SUMPRODUCT(--MID(C205,{1,2,3,4,5,6,7,8,9},1),{2,4,10,3,5,9,4,6,8}),11),10)=VALUE(RIGHT(C205,1)),"","ИНН: неверная контрольная цифра"))))</f>
        <v/>
      </c>
      <c r="L205" s="24" t="str">
        <f aca="false">IF(TRIM(D205)="","ОГРН не указан",IF(LEN(D205)&lt;&gt;13,"ОГРН: должно быть 13 цифр",IF(NOT(ISNUMBER(IFERROR(VALUE(D205),"x"))),"ОГРН: есть нецифровые символы",IF(MOD(VALUE(LEFT(D205,12))-11*INT(VALUE(LEFT(D205,12))/11),10)=VALUE(RIGHT(D205,1)),"","ОГРН: неверная контрольная цифра"))))</f>
        <v/>
      </c>
      <c r="M205" s="24" t="str">
        <f aca="false">IF(TRIM(E205)="","КПП не указан",IF(LEN(E205)&lt;&gt;9,"КПП: должно быть 9 знаков",IF(NOT(AND(ISNUMBER(IFERROR(VALUE(LEFT(E205,4)),"x")),ISNUMBER(IFERROR(VALUE(RIGHT(E205,3)),"x")))),"КПП: неверный формат",IF(LEFT(E205,2)&lt;&gt;LEFT(C205,2),"КПП: код региона не совпадает с ИНН",""))))</f>
        <v/>
      </c>
      <c r="N205" s="24" t="str">
        <f aca="false">IF(TRIM(C205)="","",IF(COUNTIF($C$2:$C$401,C205)&gt;1,"Дубликат ИНН в реестре",""))</f>
        <v/>
      </c>
      <c r="O205" s="24" t="str">
        <f aca="false">IF(TRIM(H205)="","Email не указан",IF(AND(ISNUMBER(FIND("@",H205)),ISNUMBER(FIND(".",H205,IFERROR(FIND("@",H205),1))),ISERROR(FIND(" ",H205)),LEFT(H205,1)&lt;&gt;"@",RIGHT(H205,1)&lt;&gt;".",LEN(H205)-LEN(SUBSTITUTE(H205,"@",""))=1),"","Email: неверный формат"))</f>
        <v/>
      </c>
      <c r="P205" s="24" t="str">
        <f aca="false">IF(TRIM(I205)="","Телефон не указан",IF(AND(LEN(SUBSTITUTE(SUBSTITUTE(SUBSTITUTE(SUBSTITUTE(SUBSTITUTE(I205," ",""),"-",""),"(",""),")",""),"+",""))=11,OR(LEFT(SUBSTITUTE(SUBSTITUTE(SUBSTITUTE(SUBSTITUTE(SUBSTITUTE(I205," ",""),"-",""),"(",""),")",""),"+",""),1)="7",LEFT(SUBSTITUTE(SUBSTITUTE(SUBSTITUTE(SUBSTITUTE(SUBSTITUTE(I205," ",""),"-",""),"(",""),")",""),"+",""),1)="8"),ISNUMBER(IFERROR(VALUE(SUBSTITUTE(SUBSTITUTE(SUBSTITUTE(SUBSTITUTE(SUBSTITUTE(I205," ",""),"-",""),"(",""),")",""),"+","")),"x"))),"","Телефон: неверный формат"))</f>
        <v/>
      </c>
      <c r="Q205" s="24" t="str">
        <f aca="false">TRIM(IF(TRIM(B205)="","Нет наименования. ","")&amp;IF(TRIM(F205)="","Нет адреса. ","")&amp;IF(TRIM(G205)="","Нет контактного лица.",""))</f>
        <v/>
      </c>
      <c r="R205" s="21" t="n">
        <f aca="false">SUMPRODUCT(--(LEN(K205:Q205)&gt;0))</f>
        <v>0</v>
      </c>
      <c r="S205" s="24" t="str">
        <f aca="false">IF(R205=0,"Готово к передаче","Требует исправления")</f>
        <v>Готово к передаче</v>
      </c>
      <c r="T205" s="24" t="str">
        <f aca="false">IF(R205=0,"",_xlfn.TEXTJOIN("; ",TRUE(),K205:Q205))</f>
        <v/>
      </c>
      <c r="U205" s="24" t="str">
        <f aca="false">IF(R205=0,"","Здравствуйте! В данных организации «"&amp;B205&amp;"» обнаружены ошибки: "&amp;T205&amp;". Просим проверить и прислать исправленную информацию.")</f>
        <v/>
      </c>
      <c r="V205" s="21" t="str">
        <f aca="false">IF(R205&gt;0,COUNTIF($R$2:R205,"&gt;0"),"")</f>
        <v/>
      </c>
      <c r="W205" s="21" t="n">
        <f aca="false">IF(R205=0,COUNTIF($R$2:R205,0),"")</f>
        <v>135</v>
      </c>
    </row>
    <row r="206" customFormat="false" ht="15" hidden="false" customHeight="false" outlineLevel="0" collapsed="false">
      <c r="A206" s="21" t="n">
        <v>205</v>
      </c>
      <c r="B206" s="22" t="s">
        <v>1688</v>
      </c>
      <c r="C206" s="23" t="s">
        <v>1689</v>
      </c>
      <c r="D206" s="23" t="s">
        <v>1690</v>
      </c>
      <c r="E206" s="23" t="s">
        <v>1691</v>
      </c>
      <c r="F206" s="22" t="s">
        <v>1692</v>
      </c>
      <c r="G206" s="22" t="s">
        <v>1693</v>
      </c>
      <c r="H206" s="22" t="s">
        <v>1694</v>
      </c>
      <c r="I206" s="23" t="s">
        <v>1695</v>
      </c>
      <c r="J206" s="24" t="str">
        <f aca="false">IFERROR(VLOOKUP(VALUE(LEFT(C206,2)),Справочники!$A$2:$B$16,2,FALSE()),"не определён")</f>
        <v>Республика Крым</v>
      </c>
      <c r="K206" s="24" t="str">
        <f aca="false">IF(TRIM(C206)="","ИНН не указан",IF(LEN(C206)&lt;&gt;10,"ИНН: должно быть 10 цифр",IF(NOT(ISNUMBER(IFERROR(VALUE(C206),"x"))),"ИНН: есть нецифровые символы",IF(MOD(MOD(SUMPRODUCT(--MID(C206,{1,2,3,4,5,6,7,8,9},1),{2,4,10,3,5,9,4,6,8}),11),10)=VALUE(RIGHT(C206,1)),"","ИНН: неверная контрольная цифра"))))</f>
        <v/>
      </c>
      <c r="L206" s="24" t="str">
        <f aca="false">IF(TRIM(D206)="","ОГРН не указан",IF(LEN(D206)&lt;&gt;13,"ОГРН: должно быть 13 цифр",IF(NOT(ISNUMBER(IFERROR(VALUE(D206),"x"))),"ОГРН: есть нецифровые символы",IF(MOD(VALUE(LEFT(D206,12))-11*INT(VALUE(LEFT(D206,12))/11),10)=VALUE(RIGHT(D206,1)),"","ОГРН: неверная контрольная цифра"))))</f>
        <v/>
      </c>
      <c r="M206" s="24" t="str">
        <f aca="false">IF(TRIM(E206)="","КПП не указан",IF(LEN(E206)&lt;&gt;9,"КПП: должно быть 9 знаков",IF(NOT(AND(ISNUMBER(IFERROR(VALUE(LEFT(E206,4)),"x")),ISNUMBER(IFERROR(VALUE(RIGHT(E206,3)),"x")))),"КПП: неверный формат",IF(LEFT(E206,2)&lt;&gt;LEFT(C206,2),"КПП: код региона не совпадает с ИНН",""))))</f>
        <v/>
      </c>
      <c r="N206" s="24" t="str">
        <f aca="false">IF(TRIM(C206)="","",IF(COUNTIF($C$2:$C$401,C206)&gt;1,"Дубликат ИНН в реестре",""))</f>
        <v/>
      </c>
      <c r="O206" s="24" t="str">
        <f aca="false">IF(TRIM(H206)="","Email не указан",IF(AND(ISNUMBER(FIND("@",H206)),ISNUMBER(FIND(".",H206,IFERROR(FIND("@",H206),1))),ISERROR(FIND(" ",H206)),LEFT(H206,1)&lt;&gt;"@",RIGHT(H206,1)&lt;&gt;".",LEN(H206)-LEN(SUBSTITUTE(H206,"@",""))=1),"","Email: неверный формат"))</f>
        <v/>
      </c>
      <c r="P206" s="24" t="str">
        <f aca="false">IF(TRIM(I206)="","Телефон не указан",IF(AND(LEN(SUBSTITUTE(SUBSTITUTE(SUBSTITUTE(SUBSTITUTE(SUBSTITUTE(I206," ",""),"-",""),"(",""),")",""),"+",""))=11,OR(LEFT(SUBSTITUTE(SUBSTITUTE(SUBSTITUTE(SUBSTITUTE(SUBSTITUTE(I206," ",""),"-",""),"(",""),")",""),"+",""),1)="7",LEFT(SUBSTITUTE(SUBSTITUTE(SUBSTITUTE(SUBSTITUTE(SUBSTITUTE(I206," ",""),"-",""),"(",""),")",""),"+",""),1)="8"),ISNUMBER(IFERROR(VALUE(SUBSTITUTE(SUBSTITUTE(SUBSTITUTE(SUBSTITUTE(SUBSTITUTE(I206," ",""),"-",""),"(",""),")",""),"+","")),"x"))),"","Телефон: неверный формат"))</f>
        <v/>
      </c>
      <c r="Q206" s="24" t="str">
        <f aca="false">TRIM(IF(TRIM(B206)="","Нет наименования. ","")&amp;IF(TRIM(F206)="","Нет адреса. ","")&amp;IF(TRIM(G206)="","Нет контактного лица.",""))</f>
        <v/>
      </c>
      <c r="R206" s="21" t="n">
        <f aca="false">SUMPRODUCT(--(LEN(K206:Q206)&gt;0))</f>
        <v>0</v>
      </c>
      <c r="S206" s="24" t="str">
        <f aca="false">IF(R206=0,"Готово к передаче","Требует исправления")</f>
        <v>Готово к передаче</v>
      </c>
      <c r="T206" s="24" t="str">
        <f aca="false">IF(R206=0,"",_xlfn.TEXTJOIN("; ",TRUE(),K206:Q206))</f>
        <v/>
      </c>
      <c r="U206" s="24" t="str">
        <f aca="false">IF(R206=0,"","Здравствуйте! В данных организации «"&amp;B206&amp;"» обнаружены ошибки: "&amp;T206&amp;". Просим проверить и прислать исправленную информацию.")</f>
        <v/>
      </c>
      <c r="V206" s="21" t="str">
        <f aca="false">IF(R206&gt;0,COUNTIF($R$2:R206,"&gt;0"),"")</f>
        <v/>
      </c>
      <c r="W206" s="21" t="n">
        <f aca="false">IF(R206=0,COUNTIF($R$2:R206,0),"")</f>
        <v>136</v>
      </c>
    </row>
    <row r="207" customFormat="false" ht="15" hidden="false" customHeight="false" outlineLevel="0" collapsed="false">
      <c r="A207" s="21" t="n">
        <v>206</v>
      </c>
      <c r="B207" s="22" t="s">
        <v>1696</v>
      </c>
      <c r="C207" s="23" t="s">
        <v>1697</v>
      </c>
      <c r="D207" s="23" t="s">
        <v>1698</v>
      </c>
      <c r="E207" s="23" t="s">
        <v>1699</v>
      </c>
      <c r="F207" s="22" t="s">
        <v>1700</v>
      </c>
      <c r="G207" s="22" t="s">
        <v>1701</v>
      </c>
      <c r="H207" s="22" t="s">
        <v>1702</v>
      </c>
      <c r="I207" s="23" t="s">
        <v>1703</v>
      </c>
      <c r="J207" s="24" t="str">
        <f aca="false">IFERROR(VLOOKUP(VALUE(LEFT(C207,2)),Справочники!$A$2:$B$16,2,FALSE()),"не определён")</f>
        <v>Свердловская область</v>
      </c>
      <c r="K207" s="24" t="str">
        <f aca="false">IF(TRIM(C207)="","ИНН не указан",IF(LEN(C207)&lt;&gt;10,"ИНН: должно быть 10 цифр",IF(NOT(ISNUMBER(IFERROR(VALUE(C207),"x"))),"ИНН: есть нецифровые символы",IF(MOD(MOD(SUMPRODUCT(--MID(C207,{1,2,3,4,5,6,7,8,9},1),{2,4,10,3,5,9,4,6,8}),11),10)=VALUE(RIGHT(C207,1)),"","ИНН: неверная контрольная цифра"))))</f>
        <v/>
      </c>
      <c r="L207" s="24" t="str">
        <f aca="false">IF(TRIM(D207)="","ОГРН не указан",IF(LEN(D207)&lt;&gt;13,"ОГРН: должно быть 13 цифр",IF(NOT(ISNUMBER(IFERROR(VALUE(D207),"x"))),"ОГРН: есть нецифровые символы",IF(MOD(VALUE(LEFT(D207,12))-11*INT(VALUE(LEFT(D207,12))/11),10)=VALUE(RIGHT(D207,1)),"","ОГРН: неверная контрольная цифра"))))</f>
        <v/>
      </c>
      <c r="M207" s="24" t="str">
        <f aca="false">IF(TRIM(E207)="","КПП не указан",IF(LEN(E207)&lt;&gt;9,"КПП: должно быть 9 знаков",IF(NOT(AND(ISNUMBER(IFERROR(VALUE(LEFT(E207,4)),"x")),ISNUMBER(IFERROR(VALUE(RIGHT(E207,3)),"x")))),"КПП: неверный формат",IF(LEFT(E207,2)&lt;&gt;LEFT(C207,2),"КПП: код региона не совпадает с ИНН",""))))</f>
        <v/>
      </c>
      <c r="N207" s="24" t="str">
        <f aca="false">IF(TRIM(C207)="","",IF(COUNTIF($C$2:$C$401,C207)&gt;1,"Дубликат ИНН в реестре",""))</f>
        <v>Дубликат ИНН в реестре</v>
      </c>
      <c r="O207" s="24" t="str">
        <f aca="false">IF(TRIM(H207)="","Email не указан",IF(AND(ISNUMBER(FIND("@",H207)),ISNUMBER(FIND(".",H207,IFERROR(FIND("@",H207),1))),ISERROR(FIND(" ",H207)),LEFT(H207,1)&lt;&gt;"@",RIGHT(H207,1)&lt;&gt;".",LEN(H207)-LEN(SUBSTITUTE(H207,"@",""))=1),"","Email: неверный формат"))</f>
        <v/>
      </c>
      <c r="P207" s="24" t="str">
        <f aca="false">IF(TRIM(I207)="","Телефон не указан",IF(AND(LEN(SUBSTITUTE(SUBSTITUTE(SUBSTITUTE(SUBSTITUTE(SUBSTITUTE(I207," ",""),"-",""),"(",""),")",""),"+",""))=11,OR(LEFT(SUBSTITUTE(SUBSTITUTE(SUBSTITUTE(SUBSTITUTE(SUBSTITUTE(I207," ",""),"-",""),"(",""),")",""),"+",""),1)="7",LEFT(SUBSTITUTE(SUBSTITUTE(SUBSTITUTE(SUBSTITUTE(SUBSTITUTE(I207," ",""),"-",""),"(",""),")",""),"+",""),1)="8"),ISNUMBER(IFERROR(VALUE(SUBSTITUTE(SUBSTITUTE(SUBSTITUTE(SUBSTITUTE(SUBSTITUTE(I207," ",""),"-",""),"(",""),")",""),"+","")),"x"))),"","Телефон: неверный формат"))</f>
        <v/>
      </c>
      <c r="Q207" s="24" t="str">
        <f aca="false">TRIM(IF(TRIM(B207)="","Нет наименования. ","")&amp;IF(TRIM(F207)="","Нет адреса. ","")&amp;IF(TRIM(G207)="","Нет контактного лица.",""))</f>
        <v/>
      </c>
      <c r="R207" s="21" t="n">
        <f aca="false">SUMPRODUCT(--(LEN(K207:Q207)&gt;0))</f>
        <v>1</v>
      </c>
      <c r="S207" s="24" t="str">
        <f aca="false">IF(R207=0,"Готово к передаче","Требует исправления")</f>
        <v>Требует исправления</v>
      </c>
      <c r="T207" s="24" t="str">
        <f aca="false">IF(R207=0,"",_xlfn.TEXTJOIN("; ",TRUE(),K207:Q207))</f>
        <v>Дубликат ИНН в реестре</v>
      </c>
      <c r="U207" s="24" t="str">
        <f aca="false">IF(R207=0,"","Здравствуйте! В данных организации «"&amp;B207&amp;"» обнаружены ошибки: "&amp;T207&amp;". Просим проверить и прислать исправленную информацию.")</f>
        <v>Здравствуйте! В данных организации «АО «Тандем Пласт»» обнаружены ошибки: Дубликат ИНН в реестре. Просим проверить и прислать исправленную информацию.</v>
      </c>
      <c r="V207" s="21" t="n">
        <f aca="false">IF(R207&gt;0,COUNTIF($R$2:R207,"&gt;0"),"")</f>
        <v>70</v>
      </c>
      <c r="W207" s="21" t="str">
        <f aca="false">IF(R207=0,COUNTIF($R$2:R207,0),"")</f>
        <v/>
      </c>
    </row>
    <row r="208" customFormat="false" ht="15" hidden="false" customHeight="false" outlineLevel="0" collapsed="false">
      <c r="A208" s="21" t="n">
        <v>207</v>
      </c>
      <c r="B208" s="22" t="s">
        <v>1704</v>
      </c>
      <c r="C208" s="23" t="s">
        <v>1705</v>
      </c>
      <c r="D208" s="23" t="s">
        <v>1706</v>
      </c>
      <c r="E208" s="23" t="s">
        <v>1707</v>
      </c>
      <c r="F208" s="22" t="s">
        <v>1708</v>
      </c>
      <c r="G208" s="22" t="s">
        <v>1709</v>
      </c>
      <c r="H208" s="22" t="s">
        <v>1710</v>
      </c>
      <c r="I208" s="23" t="s">
        <v>1711</v>
      </c>
      <c r="J208" s="24" t="str">
        <f aca="false">IFERROR(VLOOKUP(VALUE(LEFT(C208,2)),Справочники!$A$2:$B$16,2,FALSE()),"не определён")</f>
        <v>г. Москва</v>
      </c>
      <c r="K208" s="24" t="str">
        <f aca="false">IF(TRIM(C208)="","ИНН не указан",IF(LEN(C208)&lt;&gt;10,"ИНН: должно быть 10 цифр",IF(NOT(ISNUMBER(IFERROR(VALUE(C208),"x"))),"ИНН: есть нецифровые символы",IF(MOD(MOD(SUMPRODUCT(--MID(C208,{1,2,3,4,5,6,7,8,9},1),{2,4,10,3,5,9,4,6,8}),11),10)=VALUE(RIGHT(C208,1)),"","ИНН: неверная контрольная цифра"))))</f>
        <v/>
      </c>
      <c r="L208" s="24" t="str">
        <f aca="false">IF(TRIM(D208)="","ОГРН не указан",IF(LEN(D208)&lt;&gt;13,"ОГРН: должно быть 13 цифр",IF(NOT(ISNUMBER(IFERROR(VALUE(D208),"x"))),"ОГРН: есть нецифровые символы",IF(MOD(VALUE(LEFT(D208,12))-11*INT(VALUE(LEFT(D208,12))/11),10)=VALUE(RIGHT(D208,1)),"","ОГРН: неверная контрольная цифра"))))</f>
        <v/>
      </c>
      <c r="M208" s="24" t="str">
        <f aca="false">IF(TRIM(E208)="","КПП не указан",IF(LEN(E208)&lt;&gt;9,"КПП: должно быть 9 знаков",IF(NOT(AND(ISNUMBER(IFERROR(VALUE(LEFT(E208,4)),"x")),ISNUMBER(IFERROR(VALUE(RIGHT(E208,3)),"x")))),"КПП: неверный формат",IF(LEFT(E208,2)&lt;&gt;LEFT(C208,2),"КПП: код региона не совпадает с ИНН",""))))</f>
        <v>КПП: должно быть 9 знаков</v>
      </c>
      <c r="N208" s="24" t="str">
        <f aca="false">IF(TRIM(C208)="","",IF(COUNTIF($C$2:$C$401,C208)&gt;1,"Дубликат ИНН в реестре",""))</f>
        <v/>
      </c>
      <c r="O208" s="24" t="str">
        <f aca="false">IF(TRIM(H208)="","Email не указан",IF(AND(ISNUMBER(FIND("@",H208)),ISNUMBER(FIND(".",H208,IFERROR(FIND("@",H208),1))),ISERROR(FIND(" ",H208)),LEFT(H208,1)&lt;&gt;"@",RIGHT(H208,1)&lt;&gt;".",LEN(H208)-LEN(SUBSTITUTE(H208,"@",""))=1),"","Email: неверный формат"))</f>
        <v/>
      </c>
      <c r="P208" s="24" t="str">
        <f aca="false">IF(TRIM(I208)="","Телефон не указан",IF(AND(LEN(SUBSTITUTE(SUBSTITUTE(SUBSTITUTE(SUBSTITUTE(SUBSTITUTE(I208," ",""),"-",""),"(",""),")",""),"+",""))=11,OR(LEFT(SUBSTITUTE(SUBSTITUTE(SUBSTITUTE(SUBSTITUTE(SUBSTITUTE(I208," ",""),"-",""),"(",""),")",""),"+",""),1)="7",LEFT(SUBSTITUTE(SUBSTITUTE(SUBSTITUTE(SUBSTITUTE(SUBSTITUTE(I208," ",""),"-",""),"(",""),")",""),"+",""),1)="8"),ISNUMBER(IFERROR(VALUE(SUBSTITUTE(SUBSTITUTE(SUBSTITUTE(SUBSTITUTE(SUBSTITUTE(I208," ",""),"-",""),"(",""),")",""),"+","")),"x"))),"","Телефон: неверный формат"))</f>
        <v/>
      </c>
      <c r="Q208" s="24" t="str">
        <f aca="false">TRIM(IF(TRIM(B208)="","Нет наименования. ","")&amp;IF(TRIM(F208)="","Нет адреса. ","")&amp;IF(TRIM(G208)="","Нет контактного лица.",""))</f>
        <v/>
      </c>
      <c r="R208" s="21" t="n">
        <f aca="false">SUMPRODUCT(--(LEN(K208:Q208)&gt;0))</f>
        <v>1</v>
      </c>
      <c r="S208" s="24" t="str">
        <f aca="false">IF(R208=0,"Готово к передаче","Требует исправления")</f>
        <v>Требует исправления</v>
      </c>
      <c r="T208" s="24" t="str">
        <f aca="false">IF(R208=0,"",_xlfn.TEXTJOIN("; ",TRUE(),K208:Q208))</f>
        <v>КПП: должно быть 9 знаков</v>
      </c>
      <c r="U208" s="24" t="str">
        <f aca="false">IF(R208=0,"","Здравствуйте! В данных организации «"&amp;B208&amp;"» обнаружены ошибки: "&amp;T208&amp;". Просим проверить и прислать исправленную информацию.")</f>
        <v>Здравствуйте! В данных организации «АО «Орбита Монтаж»» обнаружены ошибки: КПП: должно быть 9 знаков. Просим проверить и прислать исправленную информацию.</v>
      </c>
      <c r="V208" s="21" t="n">
        <f aca="false">IF(R208&gt;0,COUNTIF($R$2:R208,"&gt;0"),"")</f>
        <v>71</v>
      </c>
      <c r="W208" s="21" t="str">
        <f aca="false">IF(R208=0,COUNTIF($R$2:R208,0),"")</f>
        <v/>
      </c>
    </row>
    <row r="209" customFormat="false" ht="15" hidden="false" customHeight="false" outlineLevel="0" collapsed="false">
      <c r="A209" s="21" t="n">
        <v>208</v>
      </c>
      <c r="B209" s="22" t="s">
        <v>1712</v>
      </c>
      <c r="C209" s="23" t="s">
        <v>1713</v>
      </c>
      <c r="D209" s="23" t="s">
        <v>1714</v>
      </c>
      <c r="E209" s="23" t="s">
        <v>1715</v>
      </c>
      <c r="F209" s="22" t="s">
        <v>1716</v>
      </c>
      <c r="G209" s="22" t="s">
        <v>1717</v>
      </c>
      <c r="H209" s="22" t="s">
        <v>1718</v>
      </c>
      <c r="I209" s="23" t="s">
        <v>1719</v>
      </c>
      <c r="J209" s="24" t="str">
        <f aca="false">IFERROR(VLOOKUP(VALUE(LEFT(C209,2)),Справочники!$A$2:$B$16,2,FALSE()),"не определён")</f>
        <v>г. Санкт-Петербург</v>
      </c>
      <c r="K209" s="24" t="str">
        <f aca="false">IF(TRIM(C209)="","ИНН не указан",IF(LEN(C209)&lt;&gt;10,"ИНН: должно быть 10 цифр",IF(NOT(ISNUMBER(IFERROR(VALUE(C209),"x"))),"ИНН: есть нецифровые символы",IF(MOD(MOD(SUMPRODUCT(--MID(C209,{1,2,3,4,5,6,7,8,9},1),{2,4,10,3,5,9,4,6,8}),11),10)=VALUE(RIGHT(C209,1)),"","ИНН: неверная контрольная цифра"))))</f>
        <v/>
      </c>
      <c r="L209" s="24" t="str">
        <f aca="false">IF(TRIM(D209)="","ОГРН не указан",IF(LEN(D209)&lt;&gt;13,"ОГРН: должно быть 13 цифр",IF(NOT(ISNUMBER(IFERROR(VALUE(D209),"x"))),"ОГРН: есть нецифровые символы",IF(MOD(VALUE(LEFT(D209,12))-11*INT(VALUE(LEFT(D209,12))/11),10)=VALUE(RIGHT(D209,1)),"","ОГРН: неверная контрольная цифра"))))</f>
        <v/>
      </c>
      <c r="M209" s="24" t="str">
        <f aca="false">IF(TRIM(E209)="","КПП не указан",IF(LEN(E209)&lt;&gt;9,"КПП: должно быть 9 знаков",IF(NOT(AND(ISNUMBER(IFERROR(VALUE(LEFT(E209,4)),"x")),ISNUMBER(IFERROR(VALUE(RIGHT(E209,3)),"x")))),"КПП: неверный формат",IF(LEFT(E209,2)&lt;&gt;LEFT(C209,2),"КПП: код региона не совпадает с ИНН",""))))</f>
        <v/>
      </c>
      <c r="N209" s="24" t="str">
        <f aca="false">IF(TRIM(C209)="","",IF(COUNTIF($C$2:$C$401,C209)&gt;1,"Дубликат ИНН в реестре",""))</f>
        <v/>
      </c>
      <c r="O209" s="24" t="str">
        <f aca="false">IF(TRIM(H209)="","Email не указан",IF(AND(ISNUMBER(FIND("@",H209)),ISNUMBER(FIND(".",H209,IFERROR(FIND("@",H209),1))),ISERROR(FIND(" ",H209)),LEFT(H209,1)&lt;&gt;"@",RIGHT(H209,1)&lt;&gt;".",LEN(H209)-LEN(SUBSTITUTE(H209,"@",""))=1),"","Email: неверный формат"))</f>
        <v/>
      </c>
      <c r="P209" s="24" t="str">
        <f aca="false">IF(TRIM(I209)="","Телефон не указан",IF(AND(LEN(SUBSTITUTE(SUBSTITUTE(SUBSTITUTE(SUBSTITUTE(SUBSTITUTE(I209," ",""),"-",""),"(",""),")",""),"+",""))=11,OR(LEFT(SUBSTITUTE(SUBSTITUTE(SUBSTITUTE(SUBSTITUTE(SUBSTITUTE(I209," ",""),"-",""),"(",""),")",""),"+",""),1)="7",LEFT(SUBSTITUTE(SUBSTITUTE(SUBSTITUTE(SUBSTITUTE(SUBSTITUTE(I209," ",""),"-",""),"(",""),")",""),"+",""),1)="8"),ISNUMBER(IFERROR(VALUE(SUBSTITUTE(SUBSTITUTE(SUBSTITUTE(SUBSTITUTE(SUBSTITUTE(I209," ",""),"-",""),"(",""),")",""),"+","")),"x"))),"","Телефон: неверный формат"))</f>
        <v/>
      </c>
      <c r="Q209" s="24" t="str">
        <f aca="false">TRIM(IF(TRIM(B209)="","Нет наименования. ","")&amp;IF(TRIM(F209)="","Нет адреса. ","")&amp;IF(TRIM(G209)="","Нет контактного лица.",""))</f>
        <v/>
      </c>
      <c r="R209" s="21" t="n">
        <f aca="false">SUMPRODUCT(--(LEN(K209:Q209)&gt;0))</f>
        <v>0</v>
      </c>
      <c r="S209" s="24" t="str">
        <f aca="false">IF(R209=0,"Готово к передаче","Требует исправления")</f>
        <v>Готово к передаче</v>
      </c>
      <c r="T209" s="24" t="str">
        <f aca="false">IF(R209=0,"",_xlfn.TEXTJOIN("; ",TRUE(),K209:Q209))</f>
        <v/>
      </c>
      <c r="U209" s="24" t="str">
        <f aca="false">IF(R209=0,"","Здравствуйте! В данных организации «"&amp;B209&amp;"» обнаружены ошибки: "&amp;T209&amp;". Просим проверить и прислать исправленную информацию.")</f>
        <v/>
      </c>
      <c r="V209" s="21" t="str">
        <f aca="false">IF(R209&gt;0,COUNTIF($R$2:R209,"&gt;0"),"")</f>
        <v/>
      </c>
      <c r="W209" s="21" t="n">
        <f aca="false">IF(R209=0,COUNTIF($R$2:R209,0),"")</f>
        <v>137</v>
      </c>
    </row>
    <row r="210" customFormat="false" ht="15" hidden="false" customHeight="false" outlineLevel="0" collapsed="false">
      <c r="A210" s="21" t="n">
        <v>209</v>
      </c>
      <c r="B210" s="22" t="s">
        <v>1720</v>
      </c>
      <c r="C210" s="23" t="s">
        <v>1721</v>
      </c>
      <c r="D210" s="23" t="s">
        <v>1722</v>
      </c>
      <c r="E210" s="23" t="s">
        <v>1723</v>
      </c>
      <c r="F210" s="22" t="s">
        <v>1724</v>
      </c>
      <c r="G210" s="22" t="s">
        <v>1725</v>
      </c>
      <c r="H210" s="22" t="s">
        <v>1726</v>
      </c>
      <c r="I210" s="23" t="s">
        <v>1727</v>
      </c>
      <c r="J210" s="24" t="str">
        <f aca="false">IFERROR(VLOOKUP(VALUE(LEFT(C210,2)),Справочники!$A$2:$B$16,2,FALSE()),"не определён")</f>
        <v>Московская область</v>
      </c>
      <c r="K210" s="24" t="str">
        <f aca="false">IF(TRIM(C210)="","ИНН не указан",IF(LEN(C210)&lt;&gt;10,"ИНН: должно быть 10 цифр",IF(NOT(ISNUMBER(IFERROR(VALUE(C210),"x"))),"ИНН: есть нецифровые символы",IF(MOD(MOD(SUMPRODUCT(--MID(C210,{1,2,3,4,5,6,7,8,9},1),{2,4,10,3,5,9,4,6,8}),11),10)=VALUE(RIGHT(C210,1)),"","ИНН: неверная контрольная цифра"))))</f>
        <v/>
      </c>
      <c r="L210" s="24" t="str">
        <f aca="false">IF(TRIM(D210)="","ОГРН не указан",IF(LEN(D210)&lt;&gt;13,"ОГРН: должно быть 13 цифр",IF(NOT(ISNUMBER(IFERROR(VALUE(D210),"x"))),"ОГРН: есть нецифровые символы",IF(MOD(VALUE(LEFT(D210,12))-11*INT(VALUE(LEFT(D210,12))/11),10)=VALUE(RIGHT(D210,1)),"","ОГРН: неверная контрольная цифра"))))</f>
        <v/>
      </c>
      <c r="M210" s="24" t="str">
        <f aca="false">IF(TRIM(E210)="","КПП не указан",IF(LEN(E210)&lt;&gt;9,"КПП: должно быть 9 знаков",IF(NOT(AND(ISNUMBER(IFERROR(VALUE(LEFT(E210,4)),"x")),ISNUMBER(IFERROR(VALUE(RIGHT(E210,3)),"x")))),"КПП: неверный формат",IF(LEFT(E210,2)&lt;&gt;LEFT(C210,2),"КПП: код региона не совпадает с ИНН",""))))</f>
        <v/>
      </c>
      <c r="N210" s="24" t="str">
        <f aca="false">IF(TRIM(C210)="","",IF(COUNTIF($C$2:$C$401,C210)&gt;1,"Дубликат ИНН в реестре",""))</f>
        <v/>
      </c>
      <c r="O210" s="24" t="str">
        <f aca="false">IF(TRIM(H210)="","Email не указан",IF(AND(ISNUMBER(FIND("@",H210)),ISNUMBER(FIND(".",H210,IFERROR(FIND("@",H210),1))),ISERROR(FIND(" ",H210)),LEFT(H210,1)&lt;&gt;"@",RIGHT(H210,1)&lt;&gt;".",LEN(H210)-LEN(SUBSTITUTE(H210,"@",""))=1),"","Email: неверный формат"))</f>
        <v/>
      </c>
      <c r="P210" s="24" t="str">
        <f aca="false">IF(TRIM(I210)="","Телефон не указан",IF(AND(LEN(SUBSTITUTE(SUBSTITUTE(SUBSTITUTE(SUBSTITUTE(SUBSTITUTE(I210," ",""),"-",""),"(",""),")",""),"+",""))=11,OR(LEFT(SUBSTITUTE(SUBSTITUTE(SUBSTITUTE(SUBSTITUTE(SUBSTITUTE(I210," ",""),"-",""),"(",""),")",""),"+",""),1)="7",LEFT(SUBSTITUTE(SUBSTITUTE(SUBSTITUTE(SUBSTITUTE(SUBSTITUTE(I210," ",""),"-",""),"(",""),")",""),"+",""),1)="8"),ISNUMBER(IFERROR(VALUE(SUBSTITUTE(SUBSTITUTE(SUBSTITUTE(SUBSTITUTE(SUBSTITUTE(I210," ",""),"-",""),"(",""),")",""),"+","")),"x"))),"","Телефон: неверный формат"))</f>
        <v/>
      </c>
      <c r="Q210" s="24" t="str">
        <f aca="false">TRIM(IF(TRIM(B210)="","Нет наименования. ","")&amp;IF(TRIM(F210)="","Нет адреса. ","")&amp;IF(TRIM(G210)="","Нет контактного лица.",""))</f>
        <v/>
      </c>
      <c r="R210" s="21" t="n">
        <f aca="false">SUMPRODUCT(--(LEN(K210:Q210)&gt;0))</f>
        <v>0</v>
      </c>
      <c r="S210" s="24" t="str">
        <f aca="false">IF(R210=0,"Готово к передаче","Требует исправления")</f>
        <v>Готово к передаче</v>
      </c>
      <c r="T210" s="24" t="str">
        <f aca="false">IF(R210=0,"",_xlfn.TEXTJOIN("; ",TRUE(),K210:Q210))</f>
        <v/>
      </c>
      <c r="U210" s="24" t="str">
        <f aca="false">IF(R210=0,"","Здравствуйте! В данных организации «"&amp;B210&amp;"» обнаружены ошибки: "&amp;T210&amp;". Просим проверить и прислать исправленную информацию.")</f>
        <v/>
      </c>
      <c r="V210" s="21" t="str">
        <f aca="false">IF(R210&gt;0,COUNTIF($R$2:R210,"&gt;0"),"")</f>
        <v/>
      </c>
      <c r="W210" s="21" t="n">
        <f aca="false">IF(R210=0,COUNTIF($R$2:R210,0),"")</f>
        <v>138</v>
      </c>
    </row>
    <row r="211" customFormat="false" ht="15" hidden="false" customHeight="false" outlineLevel="0" collapsed="false">
      <c r="A211" s="21" t="n">
        <v>210</v>
      </c>
      <c r="B211" s="22" t="s">
        <v>1728</v>
      </c>
      <c r="C211" s="23" t="s">
        <v>1729</v>
      </c>
      <c r="D211" s="23" t="s">
        <v>1730</v>
      </c>
      <c r="E211" s="23" t="s">
        <v>1731</v>
      </c>
      <c r="F211" s="22" t="s">
        <v>1732</v>
      </c>
      <c r="G211" s="22" t="s">
        <v>1733</v>
      </c>
      <c r="H211" s="22" t="s">
        <v>1734</v>
      </c>
      <c r="I211" s="23" t="s">
        <v>1735</v>
      </c>
      <c r="J211" s="24" t="str">
        <f aca="false">IFERROR(VLOOKUP(VALUE(LEFT(C211,2)),Справочники!$A$2:$B$16,2,FALSE()),"не определён")</f>
        <v>г. Москва</v>
      </c>
      <c r="K211" s="24" t="str">
        <f aca="false">IF(TRIM(C211)="","ИНН не указан",IF(LEN(C211)&lt;&gt;10,"ИНН: должно быть 10 цифр",IF(NOT(ISNUMBER(IFERROR(VALUE(C211),"x"))),"ИНН: есть нецифровые символы",IF(MOD(MOD(SUMPRODUCT(--MID(C211,{1,2,3,4,5,6,7,8,9},1),{2,4,10,3,5,9,4,6,8}),11),10)=VALUE(RIGHT(C211,1)),"","ИНН: неверная контрольная цифра"))))</f>
        <v/>
      </c>
      <c r="L211" s="24" t="str">
        <f aca="false">IF(TRIM(D211)="","ОГРН не указан",IF(LEN(D211)&lt;&gt;13,"ОГРН: должно быть 13 цифр",IF(NOT(ISNUMBER(IFERROR(VALUE(D211),"x"))),"ОГРН: есть нецифровые символы",IF(MOD(VALUE(LEFT(D211,12))-11*INT(VALUE(LEFT(D211,12))/11),10)=VALUE(RIGHT(D211,1)),"","ОГРН: неверная контрольная цифра"))))</f>
        <v/>
      </c>
      <c r="M211" s="24" t="str">
        <f aca="false">IF(TRIM(E211)="","КПП не указан",IF(LEN(E211)&lt;&gt;9,"КПП: должно быть 9 знаков",IF(NOT(AND(ISNUMBER(IFERROR(VALUE(LEFT(E211,4)),"x")),ISNUMBER(IFERROR(VALUE(RIGHT(E211,3)),"x")))),"КПП: неверный формат",IF(LEFT(E211,2)&lt;&gt;LEFT(C211,2),"КПП: код региона не совпадает с ИНН",""))))</f>
        <v/>
      </c>
      <c r="N211" s="24" t="str">
        <f aca="false">IF(TRIM(C211)="","",IF(COUNTIF($C$2:$C$401,C211)&gt;1,"Дубликат ИНН в реестре",""))</f>
        <v/>
      </c>
      <c r="O211" s="24" t="str">
        <f aca="false">IF(TRIM(H211)="","Email не указан",IF(AND(ISNUMBER(FIND("@",H211)),ISNUMBER(FIND(".",H211,IFERROR(FIND("@",H211),1))),ISERROR(FIND(" ",H211)),LEFT(H211,1)&lt;&gt;"@",RIGHT(H211,1)&lt;&gt;".",LEN(H211)-LEN(SUBSTITUTE(H211,"@",""))=1),"","Email: неверный формат"))</f>
        <v/>
      </c>
      <c r="P211" s="24" t="str">
        <f aca="false">IF(TRIM(I211)="","Телефон не указан",IF(AND(LEN(SUBSTITUTE(SUBSTITUTE(SUBSTITUTE(SUBSTITUTE(SUBSTITUTE(I211," ",""),"-",""),"(",""),")",""),"+",""))=11,OR(LEFT(SUBSTITUTE(SUBSTITUTE(SUBSTITUTE(SUBSTITUTE(SUBSTITUTE(I211," ",""),"-",""),"(",""),")",""),"+",""),1)="7",LEFT(SUBSTITUTE(SUBSTITUTE(SUBSTITUTE(SUBSTITUTE(SUBSTITUTE(I211," ",""),"-",""),"(",""),")",""),"+",""),1)="8"),ISNUMBER(IFERROR(VALUE(SUBSTITUTE(SUBSTITUTE(SUBSTITUTE(SUBSTITUTE(SUBSTITUTE(I211," ",""),"-",""),"(",""),")",""),"+","")),"x"))),"","Телефон: неверный формат"))</f>
        <v/>
      </c>
      <c r="Q211" s="24" t="str">
        <f aca="false">TRIM(IF(TRIM(B211)="","Нет наименования. ","")&amp;IF(TRIM(F211)="","Нет адреса. ","")&amp;IF(TRIM(G211)="","Нет контактного лица.",""))</f>
        <v/>
      </c>
      <c r="R211" s="21" t="n">
        <f aca="false">SUMPRODUCT(--(LEN(K211:Q211)&gt;0))</f>
        <v>0</v>
      </c>
      <c r="S211" s="24" t="str">
        <f aca="false">IF(R211=0,"Готово к передаче","Требует исправления")</f>
        <v>Готово к передаче</v>
      </c>
      <c r="T211" s="24" t="str">
        <f aca="false">IF(R211=0,"",_xlfn.TEXTJOIN("; ",TRUE(),K211:Q211))</f>
        <v/>
      </c>
      <c r="U211" s="24" t="str">
        <f aca="false">IF(R211=0,"","Здравствуйте! В данных организации «"&amp;B211&amp;"» обнаружены ошибки: "&amp;T211&amp;". Просим проверить и прислать исправленную информацию.")</f>
        <v/>
      </c>
      <c r="V211" s="21" t="str">
        <f aca="false">IF(R211&gt;0,COUNTIF($R$2:R211,"&gt;0"),"")</f>
        <v/>
      </c>
      <c r="W211" s="21" t="n">
        <f aca="false">IF(R211=0,COUNTIF($R$2:R211,0),"")</f>
        <v>139</v>
      </c>
    </row>
    <row r="212" customFormat="false" ht="15" hidden="false" customHeight="false" outlineLevel="0" collapsed="false">
      <c r="A212" s="21" t="n">
        <v>211</v>
      </c>
      <c r="B212" s="22" t="s">
        <v>1736</v>
      </c>
      <c r="C212" s="23" t="s">
        <v>1737</v>
      </c>
      <c r="D212" s="23" t="s">
        <v>1738</v>
      </c>
      <c r="E212" s="23" t="s">
        <v>1739</v>
      </c>
      <c r="F212" s="22" t="s">
        <v>1740</v>
      </c>
      <c r="G212" s="22" t="s">
        <v>1741</v>
      </c>
      <c r="H212" s="22" t="s">
        <v>1742</v>
      </c>
      <c r="I212" s="23" t="s">
        <v>1743</v>
      </c>
      <c r="J212" s="24" t="str">
        <f aca="false">IFERROR(VLOOKUP(VALUE(LEFT(C212,2)),Справочники!$A$2:$B$16,2,FALSE()),"не определён")</f>
        <v>г. Санкт-Петербург</v>
      </c>
      <c r="K212" s="24" t="str">
        <f aca="false">IF(TRIM(C212)="","ИНН не указан",IF(LEN(C212)&lt;&gt;10,"ИНН: должно быть 10 цифр",IF(NOT(ISNUMBER(IFERROR(VALUE(C212),"x"))),"ИНН: есть нецифровые символы",IF(MOD(MOD(SUMPRODUCT(--MID(C212,{1,2,3,4,5,6,7,8,9},1),{2,4,10,3,5,9,4,6,8}),11),10)=VALUE(RIGHT(C212,1)),"","ИНН: неверная контрольная цифра"))))</f>
        <v/>
      </c>
      <c r="L212" s="24" t="str">
        <f aca="false">IF(TRIM(D212)="","ОГРН не указан",IF(LEN(D212)&lt;&gt;13,"ОГРН: должно быть 13 цифр",IF(NOT(ISNUMBER(IFERROR(VALUE(D212),"x"))),"ОГРН: есть нецифровые символы",IF(MOD(VALUE(LEFT(D212,12))-11*INT(VALUE(LEFT(D212,12))/11),10)=VALUE(RIGHT(D212,1)),"","ОГРН: неверная контрольная цифра"))))</f>
        <v/>
      </c>
      <c r="M212" s="24" t="str">
        <f aca="false">IF(TRIM(E212)="","КПП не указан",IF(LEN(E212)&lt;&gt;9,"КПП: должно быть 9 знаков",IF(NOT(AND(ISNUMBER(IFERROR(VALUE(LEFT(E212,4)),"x")),ISNUMBER(IFERROR(VALUE(RIGHT(E212,3)),"x")))),"КПП: неверный формат",IF(LEFT(E212,2)&lt;&gt;LEFT(C212,2),"КПП: код региона не совпадает с ИНН",""))))</f>
        <v/>
      </c>
      <c r="N212" s="24" t="str">
        <f aca="false">IF(TRIM(C212)="","",IF(COUNTIF($C$2:$C$401,C212)&gt;1,"Дубликат ИНН в реестре",""))</f>
        <v/>
      </c>
      <c r="O212" s="24" t="str">
        <f aca="false">IF(TRIM(H212)="","Email не указан",IF(AND(ISNUMBER(FIND("@",H212)),ISNUMBER(FIND(".",H212,IFERROR(FIND("@",H212),1))),ISERROR(FIND(" ",H212)),LEFT(H212,1)&lt;&gt;"@",RIGHT(H212,1)&lt;&gt;".",LEN(H212)-LEN(SUBSTITUTE(H212,"@",""))=1),"","Email: неверный формат"))</f>
        <v/>
      </c>
      <c r="P212" s="24" t="str">
        <f aca="false">IF(TRIM(I212)="","Телефон не указан",IF(AND(LEN(SUBSTITUTE(SUBSTITUTE(SUBSTITUTE(SUBSTITUTE(SUBSTITUTE(I212," ",""),"-",""),"(",""),")",""),"+",""))=11,OR(LEFT(SUBSTITUTE(SUBSTITUTE(SUBSTITUTE(SUBSTITUTE(SUBSTITUTE(I212," ",""),"-",""),"(",""),")",""),"+",""),1)="7",LEFT(SUBSTITUTE(SUBSTITUTE(SUBSTITUTE(SUBSTITUTE(SUBSTITUTE(I212," ",""),"-",""),"(",""),")",""),"+",""),1)="8"),ISNUMBER(IFERROR(VALUE(SUBSTITUTE(SUBSTITUTE(SUBSTITUTE(SUBSTITUTE(SUBSTITUTE(I212," ",""),"-",""),"(",""),")",""),"+","")),"x"))),"","Телефон: неверный формат"))</f>
        <v/>
      </c>
      <c r="Q212" s="24" t="str">
        <f aca="false">TRIM(IF(TRIM(B212)="","Нет наименования. ","")&amp;IF(TRIM(F212)="","Нет адреса. ","")&amp;IF(TRIM(G212)="","Нет контактного лица.",""))</f>
        <v/>
      </c>
      <c r="R212" s="21" t="n">
        <f aca="false">SUMPRODUCT(--(LEN(K212:Q212)&gt;0))</f>
        <v>0</v>
      </c>
      <c r="S212" s="24" t="str">
        <f aca="false">IF(R212=0,"Готово к передаче","Требует исправления")</f>
        <v>Готово к передаче</v>
      </c>
      <c r="T212" s="24" t="str">
        <f aca="false">IF(R212=0,"",_xlfn.TEXTJOIN("; ",TRUE(),K212:Q212))</f>
        <v/>
      </c>
      <c r="U212" s="24" t="str">
        <f aca="false">IF(R212=0,"","Здравствуйте! В данных организации «"&amp;B212&amp;"» обнаружены ошибки: "&amp;T212&amp;". Просим проверить и прислать исправленную информацию.")</f>
        <v/>
      </c>
      <c r="V212" s="21" t="str">
        <f aca="false">IF(R212&gt;0,COUNTIF($R$2:R212,"&gt;0"),"")</f>
        <v/>
      </c>
      <c r="W212" s="21" t="n">
        <f aca="false">IF(R212=0,COUNTIF($R$2:R212,0),"")</f>
        <v>140</v>
      </c>
    </row>
    <row r="213" customFormat="false" ht="15" hidden="false" customHeight="false" outlineLevel="0" collapsed="false">
      <c r="A213" s="21" t="n">
        <v>212</v>
      </c>
      <c r="B213" s="22" t="s">
        <v>1744</v>
      </c>
      <c r="C213" s="23" t="s">
        <v>1745</v>
      </c>
      <c r="D213" s="23" t="s">
        <v>1746</v>
      </c>
      <c r="E213" s="23" t="s">
        <v>1747</v>
      </c>
      <c r="F213" s="22" t="s">
        <v>1748</v>
      </c>
      <c r="G213" s="22" t="s">
        <v>1749</v>
      </c>
      <c r="H213" s="22" t="s">
        <v>1750</v>
      </c>
      <c r="I213" s="23"/>
      <c r="J213" s="24" t="str">
        <f aca="false">IFERROR(VLOOKUP(VALUE(LEFT(C213,2)),Справочники!$A$2:$B$16,2,FALSE()),"не определён")</f>
        <v>Челябинская область</v>
      </c>
      <c r="K213" s="24" t="str">
        <f aca="false">IF(TRIM(C213)="","ИНН не указан",IF(LEN(C213)&lt;&gt;10,"ИНН: должно быть 10 цифр",IF(NOT(ISNUMBER(IFERROR(VALUE(C213),"x"))),"ИНН: есть нецифровые символы",IF(MOD(MOD(SUMPRODUCT(--MID(C213,{1,2,3,4,5,6,7,8,9},1),{2,4,10,3,5,9,4,6,8}),11),10)=VALUE(RIGHT(C213,1)),"","ИНН: неверная контрольная цифра"))))</f>
        <v/>
      </c>
      <c r="L213" s="24" t="str">
        <f aca="false">IF(TRIM(D213)="","ОГРН не указан",IF(LEN(D213)&lt;&gt;13,"ОГРН: должно быть 13 цифр",IF(NOT(ISNUMBER(IFERROR(VALUE(D213),"x"))),"ОГРН: есть нецифровые символы",IF(MOD(VALUE(LEFT(D213,12))-11*INT(VALUE(LEFT(D213,12))/11),10)=VALUE(RIGHT(D213,1)),"","ОГРН: неверная контрольная цифра"))))</f>
        <v/>
      </c>
      <c r="M213" s="24" t="str">
        <f aca="false">IF(TRIM(E213)="","КПП не указан",IF(LEN(E213)&lt;&gt;9,"КПП: должно быть 9 знаков",IF(NOT(AND(ISNUMBER(IFERROR(VALUE(LEFT(E213,4)),"x")),ISNUMBER(IFERROR(VALUE(RIGHT(E213,3)),"x")))),"КПП: неверный формат",IF(LEFT(E213,2)&lt;&gt;LEFT(C213,2),"КПП: код региона не совпадает с ИНН",""))))</f>
        <v/>
      </c>
      <c r="N213" s="24" t="str">
        <f aca="false">IF(TRIM(C213)="","",IF(COUNTIF($C$2:$C$401,C213)&gt;1,"Дубликат ИНН в реестре",""))</f>
        <v/>
      </c>
      <c r="O213" s="24" t="str">
        <f aca="false">IF(TRIM(H213)="","Email не указан",IF(AND(ISNUMBER(FIND("@",H213)),ISNUMBER(FIND(".",H213,IFERROR(FIND("@",H213),1))),ISERROR(FIND(" ",H213)),LEFT(H213,1)&lt;&gt;"@",RIGHT(H213,1)&lt;&gt;".",LEN(H213)-LEN(SUBSTITUTE(H213,"@",""))=1),"","Email: неверный формат"))</f>
        <v/>
      </c>
      <c r="P213" s="24" t="str">
        <f aca="false">IF(TRIM(I213)="","Телефон не указан",IF(AND(LEN(SUBSTITUTE(SUBSTITUTE(SUBSTITUTE(SUBSTITUTE(SUBSTITUTE(I213," ",""),"-",""),"(",""),")",""),"+",""))=11,OR(LEFT(SUBSTITUTE(SUBSTITUTE(SUBSTITUTE(SUBSTITUTE(SUBSTITUTE(I213," ",""),"-",""),"(",""),")",""),"+",""),1)="7",LEFT(SUBSTITUTE(SUBSTITUTE(SUBSTITUTE(SUBSTITUTE(SUBSTITUTE(I213," ",""),"-",""),"(",""),")",""),"+",""),1)="8"),ISNUMBER(IFERROR(VALUE(SUBSTITUTE(SUBSTITUTE(SUBSTITUTE(SUBSTITUTE(SUBSTITUTE(I213," ",""),"-",""),"(",""),")",""),"+","")),"x"))),"","Телефон: неверный формат"))</f>
        <v>Телефон не указан</v>
      </c>
      <c r="Q213" s="24" t="str">
        <f aca="false">TRIM(IF(TRIM(B213)="","Нет наименования. ","")&amp;IF(TRIM(F213)="","Нет адреса. ","")&amp;IF(TRIM(G213)="","Нет контактного лица.",""))</f>
        <v/>
      </c>
      <c r="R213" s="21" t="n">
        <f aca="false">SUMPRODUCT(--(LEN(K213:Q213)&gt;0))</f>
        <v>1</v>
      </c>
      <c r="S213" s="24" t="str">
        <f aca="false">IF(R213=0,"Готово к передаче","Требует исправления")</f>
        <v>Требует исправления</v>
      </c>
      <c r="T213" s="24" t="str">
        <f aca="false">IF(R213=0,"",_xlfn.TEXTJOIN("; ",TRUE(),K213:Q213))</f>
        <v>Телефон не указан</v>
      </c>
      <c r="U213" s="24" t="str">
        <f aca="false">IF(R213=0,"","Здравствуйте! В данных организации «"&amp;B213&amp;"» обнаружены ошибки: "&amp;T213&amp;". Просим проверить и прислать исправленную информацию.")</f>
        <v>Здравствуйте! В данных организации «ООО «Импульс Технологии»» обнаружены ошибки: Телефон не указан. Просим проверить и прислать исправленную информацию.</v>
      </c>
      <c r="V213" s="21" t="n">
        <f aca="false">IF(R213&gt;0,COUNTIF($R$2:R213,"&gt;0"),"")</f>
        <v>72</v>
      </c>
      <c r="W213" s="21" t="str">
        <f aca="false">IF(R213=0,COUNTIF($R$2:R213,0),"")</f>
        <v/>
      </c>
    </row>
    <row r="214" customFormat="false" ht="15" hidden="false" customHeight="false" outlineLevel="0" collapsed="false">
      <c r="A214" s="21" t="n">
        <v>213</v>
      </c>
      <c r="B214" s="22" t="s">
        <v>1751</v>
      </c>
      <c r="C214" s="23" t="s">
        <v>1752</v>
      </c>
      <c r="D214" s="23" t="s">
        <v>1753</v>
      </c>
      <c r="E214" s="23" t="s">
        <v>1754</v>
      </c>
      <c r="F214" s="22" t="s">
        <v>1755</v>
      </c>
      <c r="G214" s="22" t="s">
        <v>1756</v>
      </c>
      <c r="H214" s="22" t="s">
        <v>1757</v>
      </c>
      <c r="I214" s="23" t="s">
        <v>1758</v>
      </c>
      <c r="J214" s="24" t="str">
        <f aca="false">IFERROR(VLOOKUP(VALUE(LEFT(C214,2)),Справочники!$A$2:$B$16,2,FALSE()),"не определён")</f>
        <v>г. Москва</v>
      </c>
      <c r="K214" s="24" t="str">
        <f aca="false">IF(TRIM(C214)="","ИНН не указан",IF(LEN(C214)&lt;&gt;10,"ИНН: должно быть 10 цифр",IF(NOT(ISNUMBER(IFERROR(VALUE(C214),"x"))),"ИНН: есть нецифровые символы",IF(MOD(MOD(SUMPRODUCT(--MID(C214,{1,2,3,4,5,6,7,8,9},1),{2,4,10,3,5,9,4,6,8}),11),10)=VALUE(RIGHT(C214,1)),"","ИНН: неверная контрольная цифра"))))</f>
        <v/>
      </c>
      <c r="L214" s="24" t="str">
        <f aca="false">IF(TRIM(D214)="","ОГРН не указан",IF(LEN(D214)&lt;&gt;13,"ОГРН: должно быть 13 цифр",IF(NOT(ISNUMBER(IFERROR(VALUE(D214),"x"))),"ОГРН: есть нецифровые символы",IF(MOD(VALUE(LEFT(D214,12))-11*INT(VALUE(LEFT(D214,12))/11),10)=VALUE(RIGHT(D214,1)),"","ОГРН: неверная контрольная цифра"))))</f>
        <v/>
      </c>
      <c r="M214" s="24" t="str">
        <f aca="false">IF(TRIM(E214)="","КПП не указан",IF(LEN(E214)&lt;&gt;9,"КПП: должно быть 9 знаков",IF(NOT(AND(ISNUMBER(IFERROR(VALUE(LEFT(E214,4)),"x")),ISNUMBER(IFERROR(VALUE(RIGHT(E214,3)),"x")))),"КПП: неверный формат",IF(LEFT(E214,2)&lt;&gt;LEFT(C214,2),"КПП: код региона не совпадает с ИНН",""))))</f>
        <v/>
      </c>
      <c r="N214" s="24" t="str">
        <f aca="false">IF(TRIM(C214)="","",IF(COUNTIF($C$2:$C$401,C214)&gt;1,"Дубликат ИНН в реестре",""))</f>
        <v/>
      </c>
      <c r="O214" s="24" t="str">
        <f aca="false">IF(TRIM(H214)="","Email не указан",IF(AND(ISNUMBER(FIND("@",H214)),ISNUMBER(FIND(".",H214,IFERROR(FIND("@",H214),1))),ISERROR(FIND(" ",H214)),LEFT(H214,1)&lt;&gt;"@",RIGHT(H214,1)&lt;&gt;".",LEN(H214)-LEN(SUBSTITUTE(H214,"@",""))=1),"","Email: неверный формат"))</f>
        <v/>
      </c>
      <c r="P214" s="24" t="str">
        <f aca="false">IF(TRIM(I214)="","Телефон не указан",IF(AND(LEN(SUBSTITUTE(SUBSTITUTE(SUBSTITUTE(SUBSTITUTE(SUBSTITUTE(I214," ",""),"-",""),"(",""),")",""),"+",""))=11,OR(LEFT(SUBSTITUTE(SUBSTITUTE(SUBSTITUTE(SUBSTITUTE(SUBSTITUTE(I214," ",""),"-",""),"(",""),")",""),"+",""),1)="7",LEFT(SUBSTITUTE(SUBSTITUTE(SUBSTITUTE(SUBSTITUTE(SUBSTITUTE(I214," ",""),"-",""),"(",""),")",""),"+",""),1)="8"),ISNUMBER(IFERROR(VALUE(SUBSTITUTE(SUBSTITUTE(SUBSTITUTE(SUBSTITUTE(SUBSTITUTE(I214," ",""),"-",""),"(",""),")",""),"+","")),"x"))),"","Телефон: неверный формат"))</f>
        <v/>
      </c>
      <c r="Q214" s="24" t="str">
        <f aca="false">TRIM(IF(TRIM(B214)="","Нет наименования. ","")&amp;IF(TRIM(F214)="","Нет адреса. ","")&amp;IF(TRIM(G214)="","Нет контактного лица.",""))</f>
        <v/>
      </c>
      <c r="R214" s="21" t="n">
        <f aca="false">SUMPRODUCT(--(LEN(K214:Q214)&gt;0))</f>
        <v>0</v>
      </c>
      <c r="S214" s="24" t="str">
        <f aca="false">IF(R214=0,"Готово к передаче","Требует исправления")</f>
        <v>Готово к передаче</v>
      </c>
      <c r="T214" s="24" t="str">
        <f aca="false">IF(R214=0,"",_xlfn.TEXTJOIN("; ",TRUE(),K214:Q214))</f>
        <v/>
      </c>
      <c r="U214" s="24" t="str">
        <f aca="false">IF(R214=0,"","Здравствуйте! В данных организации «"&amp;B214&amp;"» обнаружены ошибки: "&amp;T214&amp;". Просим проверить и прислать исправленную информацию.")</f>
        <v/>
      </c>
      <c r="V214" s="21" t="str">
        <f aca="false">IF(R214&gt;0,COUNTIF($R$2:R214,"&gt;0"),"")</f>
        <v/>
      </c>
      <c r="W214" s="21" t="n">
        <f aca="false">IF(R214=0,COUNTIF($R$2:R214,0),"")</f>
        <v>141</v>
      </c>
    </row>
    <row r="215" customFormat="false" ht="15" hidden="false" customHeight="false" outlineLevel="0" collapsed="false">
      <c r="A215" s="21" t="n">
        <v>214</v>
      </c>
      <c r="B215" s="22" t="s">
        <v>1759</v>
      </c>
      <c r="C215" s="23" t="s">
        <v>1760</v>
      </c>
      <c r="D215" s="23" t="s">
        <v>1761</v>
      </c>
      <c r="E215" s="23" t="s">
        <v>1762</v>
      </c>
      <c r="F215" s="22" t="s">
        <v>1763</v>
      </c>
      <c r="G215" s="22" t="s">
        <v>1764</v>
      </c>
      <c r="H215" s="22" t="s">
        <v>1765</v>
      </c>
      <c r="I215" s="23" t="s">
        <v>1766</v>
      </c>
      <c r="J215" s="24" t="str">
        <f aca="false">IFERROR(VLOOKUP(VALUE(LEFT(C215,2)),Справочники!$A$2:$B$16,2,FALSE()),"не определён")</f>
        <v>Свердловская область</v>
      </c>
      <c r="K215" s="24" t="str">
        <f aca="false">IF(TRIM(C215)="","ИНН не указан",IF(LEN(C215)&lt;&gt;10,"ИНН: должно быть 10 цифр",IF(NOT(ISNUMBER(IFERROR(VALUE(C215),"x"))),"ИНН: есть нецифровые символы",IF(MOD(MOD(SUMPRODUCT(--MID(C215,{1,2,3,4,5,6,7,8,9},1),{2,4,10,3,5,9,4,6,8}),11),10)=VALUE(RIGHT(C215,1)),"","ИНН: неверная контрольная цифра"))))</f>
        <v/>
      </c>
      <c r="L215" s="24" t="str">
        <f aca="false">IF(TRIM(D215)="","ОГРН не указан",IF(LEN(D215)&lt;&gt;13,"ОГРН: должно быть 13 цифр",IF(NOT(ISNUMBER(IFERROR(VALUE(D215),"x"))),"ОГРН: есть нецифровые символы",IF(MOD(VALUE(LEFT(D215,12))-11*INT(VALUE(LEFT(D215,12))/11),10)=VALUE(RIGHT(D215,1)),"","ОГРН: неверная контрольная цифра"))))</f>
        <v/>
      </c>
      <c r="M215" s="24" t="str">
        <f aca="false">IF(TRIM(E215)="","КПП не указан",IF(LEN(E215)&lt;&gt;9,"КПП: должно быть 9 знаков",IF(NOT(AND(ISNUMBER(IFERROR(VALUE(LEFT(E215,4)),"x")),ISNUMBER(IFERROR(VALUE(RIGHT(E215,3)),"x")))),"КПП: неверный формат",IF(LEFT(E215,2)&lt;&gt;LEFT(C215,2),"КПП: код региона не совпадает с ИНН",""))))</f>
        <v/>
      </c>
      <c r="N215" s="24" t="str">
        <f aca="false">IF(TRIM(C215)="","",IF(COUNTIF($C$2:$C$401,C215)&gt;1,"Дубликат ИНН в реестре",""))</f>
        <v/>
      </c>
      <c r="O215" s="24" t="str">
        <f aca="false">IF(TRIM(H215)="","Email не указан",IF(AND(ISNUMBER(FIND("@",H215)),ISNUMBER(FIND(".",H215,IFERROR(FIND("@",H215),1))),ISERROR(FIND(" ",H215)),LEFT(H215,1)&lt;&gt;"@",RIGHT(H215,1)&lt;&gt;".",LEN(H215)-LEN(SUBSTITUTE(H215,"@",""))=1),"","Email: неверный формат"))</f>
        <v/>
      </c>
      <c r="P215" s="24" t="str">
        <f aca="false">IF(TRIM(I215)="","Телефон не указан",IF(AND(LEN(SUBSTITUTE(SUBSTITUTE(SUBSTITUTE(SUBSTITUTE(SUBSTITUTE(I215," ",""),"-",""),"(",""),")",""),"+",""))=11,OR(LEFT(SUBSTITUTE(SUBSTITUTE(SUBSTITUTE(SUBSTITUTE(SUBSTITUTE(I215," ",""),"-",""),"(",""),")",""),"+",""),1)="7",LEFT(SUBSTITUTE(SUBSTITUTE(SUBSTITUTE(SUBSTITUTE(SUBSTITUTE(I215," ",""),"-",""),"(",""),")",""),"+",""),1)="8"),ISNUMBER(IFERROR(VALUE(SUBSTITUTE(SUBSTITUTE(SUBSTITUTE(SUBSTITUTE(SUBSTITUTE(I215," ",""),"-",""),"(",""),")",""),"+","")),"x"))),"","Телефон: неверный формат"))</f>
        <v/>
      </c>
      <c r="Q215" s="24" t="str">
        <f aca="false">TRIM(IF(TRIM(B215)="","Нет наименования. ","")&amp;IF(TRIM(F215)="","Нет адреса. ","")&amp;IF(TRIM(G215)="","Нет контактного лица.",""))</f>
        <v/>
      </c>
      <c r="R215" s="21" t="n">
        <f aca="false">SUMPRODUCT(--(LEN(K215:Q215)&gt;0))</f>
        <v>0</v>
      </c>
      <c r="S215" s="24" t="str">
        <f aca="false">IF(R215=0,"Готово к передаче","Требует исправления")</f>
        <v>Готово к передаче</v>
      </c>
      <c r="T215" s="24" t="str">
        <f aca="false">IF(R215=0,"",_xlfn.TEXTJOIN("; ",TRUE(),K215:Q215))</f>
        <v/>
      </c>
      <c r="U215" s="24" t="str">
        <f aca="false">IF(R215=0,"","Здравствуйте! В данных организации «"&amp;B215&amp;"» обнаружены ошибки: "&amp;T215&amp;". Просим проверить и прислать исправленную информацию.")</f>
        <v/>
      </c>
      <c r="V215" s="21" t="str">
        <f aca="false">IF(R215&gt;0,COUNTIF($R$2:R215,"&gt;0"),"")</f>
        <v/>
      </c>
      <c r="W215" s="21" t="n">
        <f aca="false">IF(R215=0,COUNTIF($R$2:R215,0),"")</f>
        <v>142</v>
      </c>
    </row>
    <row r="216" customFormat="false" ht="15" hidden="false" customHeight="false" outlineLevel="0" collapsed="false">
      <c r="A216" s="21" t="n">
        <v>215</v>
      </c>
      <c r="B216" s="22" t="s">
        <v>1767</v>
      </c>
      <c r="C216" s="23" t="s">
        <v>1768</v>
      </c>
      <c r="D216" s="23" t="s">
        <v>1769</v>
      </c>
      <c r="E216" s="23" t="s">
        <v>1770</v>
      </c>
      <c r="F216" s="22" t="s">
        <v>1771</v>
      </c>
      <c r="G216" s="22" t="s">
        <v>1772</v>
      </c>
      <c r="H216" s="22" t="s">
        <v>1773</v>
      </c>
      <c r="I216" s="23" t="s">
        <v>1774</v>
      </c>
      <c r="J216" s="24" t="str">
        <f aca="false">IFERROR(VLOOKUP(VALUE(LEFT(C216,2)),Справочники!$A$2:$B$16,2,FALSE()),"не определён")</f>
        <v>Республика Крым</v>
      </c>
      <c r="K216" s="24" t="str">
        <f aca="false">IF(TRIM(C216)="","ИНН не указан",IF(LEN(C216)&lt;&gt;10,"ИНН: должно быть 10 цифр",IF(NOT(ISNUMBER(IFERROR(VALUE(C216),"x"))),"ИНН: есть нецифровые символы",IF(MOD(MOD(SUMPRODUCT(--MID(C216,{1,2,3,4,5,6,7,8,9},1),{2,4,10,3,5,9,4,6,8}),11),10)=VALUE(RIGHT(C216,1)),"","ИНН: неверная контрольная цифра"))))</f>
        <v/>
      </c>
      <c r="L216" s="24" t="str">
        <f aca="false">IF(TRIM(D216)="","ОГРН не указан",IF(LEN(D216)&lt;&gt;13,"ОГРН: должно быть 13 цифр",IF(NOT(ISNUMBER(IFERROR(VALUE(D216),"x"))),"ОГРН: есть нецифровые символы",IF(MOD(VALUE(LEFT(D216,12))-11*INT(VALUE(LEFT(D216,12))/11),10)=VALUE(RIGHT(D216,1)),"","ОГРН: неверная контрольная цифра"))))</f>
        <v/>
      </c>
      <c r="M216" s="24" t="str">
        <f aca="false">IF(TRIM(E216)="","КПП не указан",IF(LEN(E216)&lt;&gt;9,"КПП: должно быть 9 знаков",IF(NOT(AND(ISNUMBER(IFERROR(VALUE(LEFT(E216,4)),"x")),ISNUMBER(IFERROR(VALUE(RIGHT(E216,3)),"x")))),"КПП: неверный формат",IF(LEFT(E216,2)&lt;&gt;LEFT(C216,2),"КПП: код региона не совпадает с ИНН",""))))</f>
        <v/>
      </c>
      <c r="N216" s="24" t="str">
        <f aca="false">IF(TRIM(C216)="","",IF(COUNTIF($C$2:$C$401,C216)&gt;1,"Дубликат ИНН в реестре",""))</f>
        <v/>
      </c>
      <c r="O216" s="24" t="str">
        <f aca="false">IF(TRIM(H216)="","Email не указан",IF(AND(ISNUMBER(FIND("@",H216)),ISNUMBER(FIND(".",H216,IFERROR(FIND("@",H216),1))),ISERROR(FIND(" ",H216)),LEFT(H216,1)&lt;&gt;"@",RIGHT(H216,1)&lt;&gt;".",LEN(H216)-LEN(SUBSTITUTE(H216,"@",""))=1),"","Email: неверный формат"))</f>
        <v/>
      </c>
      <c r="P216" s="24" t="str">
        <f aca="false">IF(TRIM(I216)="","Телефон не указан",IF(AND(LEN(SUBSTITUTE(SUBSTITUTE(SUBSTITUTE(SUBSTITUTE(SUBSTITUTE(I216," ",""),"-",""),"(",""),")",""),"+",""))=11,OR(LEFT(SUBSTITUTE(SUBSTITUTE(SUBSTITUTE(SUBSTITUTE(SUBSTITUTE(I216," ",""),"-",""),"(",""),")",""),"+",""),1)="7",LEFT(SUBSTITUTE(SUBSTITUTE(SUBSTITUTE(SUBSTITUTE(SUBSTITUTE(I216," ",""),"-",""),"(",""),")",""),"+",""),1)="8"),ISNUMBER(IFERROR(VALUE(SUBSTITUTE(SUBSTITUTE(SUBSTITUTE(SUBSTITUTE(SUBSTITUTE(I216," ",""),"-",""),"(",""),")",""),"+","")),"x"))),"","Телефон: неверный формат"))</f>
        <v/>
      </c>
      <c r="Q216" s="24" t="str">
        <f aca="false">TRIM(IF(TRIM(B216)="","Нет наименования. ","")&amp;IF(TRIM(F216)="","Нет адреса. ","")&amp;IF(TRIM(G216)="","Нет контактного лица.",""))</f>
        <v/>
      </c>
      <c r="R216" s="21" t="n">
        <f aca="false">SUMPRODUCT(--(LEN(K216:Q216)&gt;0))</f>
        <v>0</v>
      </c>
      <c r="S216" s="24" t="str">
        <f aca="false">IF(R216=0,"Готово к передаче","Требует исправления")</f>
        <v>Готово к передаче</v>
      </c>
      <c r="T216" s="24" t="str">
        <f aca="false">IF(R216=0,"",_xlfn.TEXTJOIN("; ",TRUE(),K216:Q216))</f>
        <v/>
      </c>
      <c r="U216" s="24" t="str">
        <f aca="false">IF(R216=0,"","Здравствуйте! В данных организации «"&amp;B216&amp;"» обнаружены ошибки: "&amp;T216&amp;". Просим проверить и прислать исправленную информацию.")</f>
        <v/>
      </c>
      <c r="V216" s="21" t="str">
        <f aca="false">IF(R216&gt;0,COUNTIF($R$2:R216,"&gt;0"),"")</f>
        <v/>
      </c>
      <c r="W216" s="21" t="n">
        <f aca="false">IF(R216=0,COUNTIF($R$2:R216,0),"")</f>
        <v>143</v>
      </c>
    </row>
    <row r="217" customFormat="false" ht="15" hidden="false" customHeight="false" outlineLevel="0" collapsed="false">
      <c r="A217" s="21" t="n">
        <v>216</v>
      </c>
      <c r="B217" s="22" t="s">
        <v>1775</v>
      </c>
      <c r="C217" s="23" t="s">
        <v>1776</v>
      </c>
      <c r="D217" s="23" t="s">
        <v>1777</v>
      </c>
      <c r="E217" s="23" t="s">
        <v>1778</v>
      </c>
      <c r="F217" s="22" t="s">
        <v>1779</v>
      </c>
      <c r="G217" s="22" t="s">
        <v>1780</v>
      </c>
      <c r="H217" s="22" t="s">
        <v>1781</v>
      </c>
      <c r="I217" s="23" t="s">
        <v>1782</v>
      </c>
      <c r="J217" s="24" t="str">
        <f aca="false">IFERROR(VLOOKUP(VALUE(LEFT(C217,2)),Справочники!$A$2:$B$16,2,FALSE()),"не определён")</f>
        <v>Республика Крым</v>
      </c>
      <c r="K217" s="24" t="str">
        <f aca="false">IF(TRIM(C217)="","ИНН не указан",IF(LEN(C217)&lt;&gt;10,"ИНН: должно быть 10 цифр",IF(NOT(ISNUMBER(IFERROR(VALUE(C217),"x"))),"ИНН: есть нецифровые символы",IF(MOD(MOD(SUMPRODUCT(--MID(C217,{1,2,3,4,5,6,7,8,9},1),{2,4,10,3,5,9,4,6,8}),11),10)=VALUE(RIGHT(C217,1)),"","ИНН: неверная контрольная цифра"))))</f>
        <v/>
      </c>
      <c r="L217" s="24" t="str">
        <f aca="false">IF(TRIM(D217)="","ОГРН не указан",IF(LEN(D217)&lt;&gt;13,"ОГРН: должно быть 13 цифр",IF(NOT(ISNUMBER(IFERROR(VALUE(D217),"x"))),"ОГРН: есть нецифровые символы",IF(MOD(VALUE(LEFT(D217,12))-11*INT(VALUE(LEFT(D217,12))/11),10)=VALUE(RIGHT(D217,1)),"","ОГРН: неверная контрольная цифра"))))</f>
        <v/>
      </c>
      <c r="M217" s="24" t="str">
        <f aca="false">IF(TRIM(E217)="","КПП не указан",IF(LEN(E217)&lt;&gt;9,"КПП: должно быть 9 знаков",IF(NOT(AND(ISNUMBER(IFERROR(VALUE(LEFT(E217,4)),"x")),ISNUMBER(IFERROR(VALUE(RIGHT(E217,3)),"x")))),"КПП: неверный формат",IF(LEFT(E217,2)&lt;&gt;LEFT(C217,2),"КПП: код региона не совпадает с ИНН",""))))</f>
        <v/>
      </c>
      <c r="N217" s="24" t="str">
        <f aca="false">IF(TRIM(C217)="","",IF(COUNTIF($C$2:$C$401,C217)&gt;1,"Дубликат ИНН в реестре",""))</f>
        <v/>
      </c>
      <c r="O217" s="24" t="str">
        <f aca="false">IF(TRIM(H217)="","Email не указан",IF(AND(ISNUMBER(FIND("@",H217)),ISNUMBER(FIND(".",H217,IFERROR(FIND("@",H217),1))),ISERROR(FIND(" ",H217)),LEFT(H217,1)&lt;&gt;"@",RIGHT(H217,1)&lt;&gt;".",LEN(H217)-LEN(SUBSTITUTE(H217,"@",""))=1),"","Email: неверный формат"))</f>
        <v/>
      </c>
      <c r="P217" s="24" t="str">
        <f aca="false">IF(TRIM(I217)="","Телефон не указан",IF(AND(LEN(SUBSTITUTE(SUBSTITUTE(SUBSTITUTE(SUBSTITUTE(SUBSTITUTE(I217," ",""),"-",""),"(",""),")",""),"+",""))=11,OR(LEFT(SUBSTITUTE(SUBSTITUTE(SUBSTITUTE(SUBSTITUTE(SUBSTITUTE(I217," ",""),"-",""),"(",""),")",""),"+",""),1)="7",LEFT(SUBSTITUTE(SUBSTITUTE(SUBSTITUTE(SUBSTITUTE(SUBSTITUTE(I217," ",""),"-",""),"(",""),")",""),"+",""),1)="8"),ISNUMBER(IFERROR(VALUE(SUBSTITUTE(SUBSTITUTE(SUBSTITUTE(SUBSTITUTE(SUBSTITUTE(I217," ",""),"-",""),"(",""),")",""),"+","")),"x"))),"","Телефон: неверный формат"))</f>
        <v/>
      </c>
      <c r="Q217" s="24" t="str">
        <f aca="false">TRIM(IF(TRIM(B217)="","Нет наименования. ","")&amp;IF(TRIM(F217)="","Нет адреса. ","")&amp;IF(TRIM(G217)="","Нет контактного лица.",""))</f>
        <v/>
      </c>
      <c r="R217" s="21" t="n">
        <f aca="false">SUMPRODUCT(--(LEN(K217:Q217)&gt;0))</f>
        <v>0</v>
      </c>
      <c r="S217" s="24" t="str">
        <f aca="false">IF(R217=0,"Готово к передаче","Требует исправления")</f>
        <v>Готово к передаче</v>
      </c>
      <c r="T217" s="24" t="str">
        <f aca="false">IF(R217=0,"",_xlfn.TEXTJOIN("; ",TRUE(),K217:Q217))</f>
        <v/>
      </c>
      <c r="U217" s="24" t="str">
        <f aca="false">IF(R217=0,"","Здравствуйте! В данных организации «"&amp;B217&amp;"» обнаружены ошибки: "&amp;T217&amp;". Просим проверить и прислать исправленную информацию.")</f>
        <v/>
      </c>
      <c r="V217" s="21" t="str">
        <f aca="false">IF(R217&gt;0,COUNTIF($R$2:R217,"&gt;0"),"")</f>
        <v/>
      </c>
      <c r="W217" s="21" t="n">
        <f aca="false">IF(R217=0,COUNTIF($R$2:R217,0),"")</f>
        <v>144</v>
      </c>
    </row>
    <row r="218" customFormat="false" ht="15" hidden="false" customHeight="false" outlineLevel="0" collapsed="false">
      <c r="A218" s="21" t="n">
        <v>217</v>
      </c>
      <c r="B218" s="22" t="s">
        <v>1783</v>
      </c>
      <c r="C218" s="23" t="s">
        <v>1784</v>
      </c>
      <c r="D218" s="23" t="s">
        <v>1785</v>
      </c>
      <c r="E218" s="23" t="s">
        <v>1786</v>
      </c>
      <c r="F218" s="22" t="s">
        <v>1787</v>
      </c>
      <c r="G218" s="22" t="s">
        <v>1788</v>
      </c>
      <c r="H218" s="22" t="s">
        <v>1789</v>
      </c>
      <c r="I218" s="23" t="s">
        <v>1790</v>
      </c>
      <c r="J218" s="24" t="str">
        <f aca="false">IFERROR(VLOOKUP(VALUE(LEFT(C218,2)),Справочники!$A$2:$B$16,2,FALSE()),"не определён")</f>
        <v>Краснодарский край</v>
      </c>
      <c r="K218" s="24" t="str">
        <f aca="false">IF(TRIM(C218)="","ИНН не указан",IF(LEN(C218)&lt;&gt;10,"ИНН: должно быть 10 цифр",IF(NOT(ISNUMBER(IFERROR(VALUE(C218),"x"))),"ИНН: есть нецифровые символы",IF(MOD(MOD(SUMPRODUCT(--MID(C218,{1,2,3,4,5,6,7,8,9},1),{2,4,10,3,5,9,4,6,8}),11),10)=VALUE(RIGHT(C218,1)),"","ИНН: неверная контрольная цифра"))))</f>
        <v/>
      </c>
      <c r="L218" s="24" t="str">
        <f aca="false">IF(TRIM(D218)="","ОГРН не указан",IF(LEN(D218)&lt;&gt;13,"ОГРН: должно быть 13 цифр",IF(NOT(ISNUMBER(IFERROR(VALUE(D218),"x"))),"ОГРН: есть нецифровые символы",IF(MOD(VALUE(LEFT(D218,12))-11*INT(VALUE(LEFT(D218,12))/11),10)=VALUE(RIGHT(D218,1)),"","ОГРН: неверная контрольная цифра"))))</f>
        <v/>
      </c>
      <c r="M218" s="24" t="str">
        <f aca="false">IF(TRIM(E218)="","КПП не указан",IF(LEN(E218)&lt;&gt;9,"КПП: должно быть 9 знаков",IF(NOT(AND(ISNUMBER(IFERROR(VALUE(LEFT(E218,4)),"x")),ISNUMBER(IFERROR(VALUE(RIGHT(E218,3)),"x")))),"КПП: неверный формат",IF(LEFT(E218,2)&lt;&gt;LEFT(C218,2),"КПП: код региона не совпадает с ИНН",""))))</f>
        <v>КПП: код региона не совпадает с ИНН</v>
      </c>
      <c r="N218" s="24" t="str">
        <f aca="false">IF(TRIM(C218)="","",IF(COUNTIF($C$2:$C$401,C218)&gt;1,"Дубликат ИНН в реестре",""))</f>
        <v/>
      </c>
      <c r="O218" s="24" t="str">
        <f aca="false">IF(TRIM(H218)="","Email не указан",IF(AND(ISNUMBER(FIND("@",H218)),ISNUMBER(FIND(".",H218,IFERROR(FIND("@",H218),1))),ISERROR(FIND(" ",H218)),LEFT(H218,1)&lt;&gt;"@",RIGHT(H218,1)&lt;&gt;".",LEN(H218)-LEN(SUBSTITUTE(H218,"@",""))=1),"","Email: неверный формат"))</f>
        <v/>
      </c>
      <c r="P218" s="24" t="str">
        <f aca="false">IF(TRIM(I218)="","Телефон не указан",IF(AND(LEN(SUBSTITUTE(SUBSTITUTE(SUBSTITUTE(SUBSTITUTE(SUBSTITUTE(I218," ",""),"-",""),"(",""),")",""),"+",""))=11,OR(LEFT(SUBSTITUTE(SUBSTITUTE(SUBSTITUTE(SUBSTITUTE(SUBSTITUTE(I218," ",""),"-",""),"(",""),")",""),"+",""),1)="7",LEFT(SUBSTITUTE(SUBSTITUTE(SUBSTITUTE(SUBSTITUTE(SUBSTITUTE(I218," ",""),"-",""),"(",""),")",""),"+",""),1)="8"),ISNUMBER(IFERROR(VALUE(SUBSTITUTE(SUBSTITUTE(SUBSTITUTE(SUBSTITUTE(SUBSTITUTE(I218," ",""),"-",""),"(",""),")",""),"+","")),"x"))),"","Телефон: неверный формат"))</f>
        <v/>
      </c>
      <c r="Q218" s="24" t="str">
        <f aca="false">TRIM(IF(TRIM(B218)="","Нет наименования. ","")&amp;IF(TRIM(F218)="","Нет адреса. ","")&amp;IF(TRIM(G218)="","Нет контактного лица.",""))</f>
        <v/>
      </c>
      <c r="R218" s="21" t="n">
        <f aca="false">SUMPRODUCT(--(LEN(K218:Q218)&gt;0))</f>
        <v>1</v>
      </c>
      <c r="S218" s="24" t="str">
        <f aca="false">IF(R218=0,"Готово к передаче","Требует исправления")</f>
        <v>Требует исправления</v>
      </c>
      <c r="T218" s="24" t="str">
        <f aca="false">IF(R218=0,"",_xlfn.TEXTJOIN("; ",TRUE(),K218:Q218))</f>
        <v>КПП: код региона не совпадает с ИНН</v>
      </c>
      <c r="U218" s="24" t="str">
        <f aca="false">IF(R218=0,"","Здравствуйте! В данных организации «"&amp;B218&amp;"» обнаружены ошибки: "&amp;T218&amp;". Просим проверить и прислать исправленную информацию.")</f>
        <v>Здравствуйте! В данных организации «АО «Орбита Строй»» обнаружены ошибки: КПП: код региона не совпадает с ИНН. Просим проверить и прислать исправленную информацию.</v>
      </c>
      <c r="V218" s="21" t="n">
        <f aca="false">IF(R218&gt;0,COUNTIF($R$2:R218,"&gt;0"),"")</f>
        <v>73</v>
      </c>
      <c r="W218" s="21" t="str">
        <f aca="false">IF(R218=0,COUNTIF($R$2:R218,0),"")</f>
        <v/>
      </c>
    </row>
    <row r="219" customFormat="false" ht="15" hidden="false" customHeight="false" outlineLevel="0" collapsed="false">
      <c r="A219" s="21" t="n">
        <v>218</v>
      </c>
      <c r="B219" s="22" t="s">
        <v>1791</v>
      </c>
      <c r="C219" s="23" t="s">
        <v>1792</v>
      </c>
      <c r="D219" s="23" t="s">
        <v>1793</v>
      </c>
      <c r="E219" s="23" t="s">
        <v>1794</v>
      </c>
      <c r="F219" s="22" t="s">
        <v>1795</v>
      </c>
      <c r="G219" s="22" t="s">
        <v>287</v>
      </c>
      <c r="H219" s="22" t="s">
        <v>1796</v>
      </c>
      <c r="I219" s="23" t="s">
        <v>1797</v>
      </c>
      <c r="J219" s="24" t="str">
        <f aca="false">IFERROR(VLOOKUP(VALUE(LEFT(C219,2)),Справочники!$A$2:$B$16,2,FALSE()),"не определён")</f>
        <v>г. Санкт-Петербург</v>
      </c>
      <c r="K219" s="24" t="str">
        <f aca="false">IF(TRIM(C219)="","ИНН не указан",IF(LEN(C219)&lt;&gt;10,"ИНН: должно быть 10 цифр",IF(NOT(ISNUMBER(IFERROR(VALUE(C219),"x"))),"ИНН: есть нецифровые символы",IF(MOD(MOD(SUMPRODUCT(--MID(C219,{1,2,3,4,5,6,7,8,9},1),{2,4,10,3,5,9,4,6,8}),11),10)=VALUE(RIGHT(C219,1)),"","ИНН: неверная контрольная цифра"))))</f>
        <v/>
      </c>
      <c r="L219" s="24" t="str">
        <f aca="false">IF(TRIM(D219)="","ОГРН не указан",IF(LEN(D219)&lt;&gt;13,"ОГРН: должно быть 13 цифр",IF(NOT(ISNUMBER(IFERROR(VALUE(D219),"x"))),"ОГРН: есть нецифровые символы",IF(MOD(VALUE(LEFT(D219,12))-11*INT(VALUE(LEFT(D219,12))/11),10)=VALUE(RIGHT(D219,1)),"","ОГРН: неверная контрольная цифра"))))</f>
        <v/>
      </c>
      <c r="M219" s="24" t="str">
        <f aca="false">IF(TRIM(E219)="","КПП не указан",IF(LEN(E219)&lt;&gt;9,"КПП: должно быть 9 знаков",IF(NOT(AND(ISNUMBER(IFERROR(VALUE(LEFT(E219,4)),"x")),ISNUMBER(IFERROR(VALUE(RIGHT(E219,3)),"x")))),"КПП: неверный формат",IF(LEFT(E219,2)&lt;&gt;LEFT(C219,2),"КПП: код региона не совпадает с ИНН",""))))</f>
        <v>КПП: неверный формат</v>
      </c>
      <c r="N219" s="24" t="str">
        <f aca="false">IF(TRIM(C219)="","",IF(COUNTIF($C$2:$C$401,C219)&gt;1,"Дубликат ИНН в реестре",""))</f>
        <v/>
      </c>
      <c r="O219" s="24" t="str">
        <f aca="false">IF(TRIM(H219)="","Email не указан",IF(AND(ISNUMBER(FIND("@",H219)),ISNUMBER(FIND(".",H219,IFERROR(FIND("@",H219),1))),ISERROR(FIND(" ",H219)),LEFT(H219,1)&lt;&gt;"@",RIGHT(H219,1)&lt;&gt;".",LEN(H219)-LEN(SUBSTITUTE(H219,"@",""))=1),"","Email: неверный формат"))</f>
        <v/>
      </c>
      <c r="P219" s="24" t="str">
        <f aca="false">IF(TRIM(I219)="","Телефон не указан",IF(AND(LEN(SUBSTITUTE(SUBSTITUTE(SUBSTITUTE(SUBSTITUTE(SUBSTITUTE(I219," ",""),"-",""),"(",""),")",""),"+",""))=11,OR(LEFT(SUBSTITUTE(SUBSTITUTE(SUBSTITUTE(SUBSTITUTE(SUBSTITUTE(I219," ",""),"-",""),"(",""),")",""),"+",""),1)="7",LEFT(SUBSTITUTE(SUBSTITUTE(SUBSTITUTE(SUBSTITUTE(SUBSTITUTE(I219," ",""),"-",""),"(",""),")",""),"+",""),1)="8"),ISNUMBER(IFERROR(VALUE(SUBSTITUTE(SUBSTITUTE(SUBSTITUTE(SUBSTITUTE(SUBSTITUTE(I219," ",""),"-",""),"(",""),")",""),"+","")),"x"))),"","Телефон: неверный формат"))</f>
        <v/>
      </c>
      <c r="Q219" s="24" t="str">
        <f aca="false">TRIM(IF(TRIM(B219)="","Нет наименования. ","")&amp;IF(TRIM(F219)="","Нет адреса. ","")&amp;IF(TRIM(G219)="","Нет контактного лица.",""))</f>
        <v/>
      </c>
      <c r="R219" s="21" t="n">
        <f aca="false">SUMPRODUCT(--(LEN(K219:Q219)&gt;0))</f>
        <v>1</v>
      </c>
      <c r="S219" s="24" t="str">
        <f aca="false">IF(R219=0,"Готово к передаче","Требует исправления")</f>
        <v>Требует исправления</v>
      </c>
      <c r="T219" s="24" t="str">
        <f aca="false">IF(R219=0,"",_xlfn.TEXTJOIN("; ",TRUE(),K219:Q219))</f>
        <v>КПП: неверный формат</v>
      </c>
      <c r="U219" s="24" t="str">
        <f aca="false">IF(R219=0,"","Здравствуйте! В данных организации «"&amp;B219&amp;"» обнаружены ошибки: "&amp;T219&amp;". Просим проверить и прислать исправленную информацию.")</f>
        <v>Здравствуйте! В данных организации «ООО «Прогресс Торг»» обнаружены ошибки: КПП: неверный формат. Просим проверить и прислать исправленную информацию.</v>
      </c>
      <c r="V219" s="21" t="n">
        <f aca="false">IF(R219&gt;0,COUNTIF($R$2:R219,"&gt;0"),"")</f>
        <v>74</v>
      </c>
      <c r="W219" s="21" t="str">
        <f aca="false">IF(R219=0,COUNTIF($R$2:R219,0),"")</f>
        <v/>
      </c>
    </row>
    <row r="220" customFormat="false" ht="15" hidden="false" customHeight="false" outlineLevel="0" collapsed="false">
      <c r="A220" s="21" t="n">
        <v>219</v>
      </c>
      <c r="B220" s="22" t="s">
        <v>1798</v>
      </c>
      <c r="C220" s="23" t="s">
        <v>1799</v>
      </c>
      <c r="D220" s="23" t="s">
        <v>1800</v>
      </c>
      <c r="E220" s="23" t="s">
        <v>1801</v>
      </c>
      <c r="F220" s="22" t="s">
        <v>1802</v>
      </c>
      <c r="G220" s="22" t="s">
        <v>1803</v>
      </c>
      <c r="H220" s="22" t="s">
        <v>1804</v>
      </c>
      <c r="I220" s="23" t="s">
        <v>1805</v>
      </c>
      <c r="J220" s="24" t="str">
        <f aca="false">IFERROR(VLOOKUP(VALUE(LEFT(C220,2)),Справочники!$A$2:$B$16,2,FALSE()),"не определён")</f>
        <v>г. Москва</v>
      </c>
      <c r="K220" s="24" t="str">
        <f aca="false">IF(TRIM(C220)="","ИНН не указан",IF(LEN(C220)&lt;&gt;10,"ИНН: должно быть 10 цифр",IF(NOT(ISNUMBER(IFERROR(VALUE(C220),"x"))),"ИНН: есть нецифровые символы",IF(MOD(MOD(SUMPRODUCT(--MID(C220,{1,2,3,4,5,6,7,8,9},1),{2,4,10,3,5,9,4,6,8}),11),10)=VALUE(RIGHT(C220,1)),"","ИНН: неверная контрольная цифра"))))</f>
        <v/>
      </c>
      <c r="L220" s="24" t="str">
        <f aca="false">IF(TRIM(D220)="","ОГРН не указан",IF(LEN(D220)&lt;&gt;13,"ОГРН: должно быть 13 цифр",IF(NOT(ISNUMBER(IFERROR(VALUE(D220),"x"))),"ОГРН: есть нецифровые символы",IF(MOD(VALUE(LEFT(D220,12))-11*INT(VALUE(LEFT(D220,12))/11),10)=VALUE(RIGHT(D220,1)),"","ОГРН: неверная контрольная цифра"))))</f>
        <v/>
      </c>
      <c r="M220" s="24" t="str">
        <f aca="false">IF(TRIM(E220)="","КПП не указан",IF(LEN(E220)&lt;&gt;9,"КПП: должно быть 9 знаков",IF(NOT(AND(ISNUMBER(IFERROR(VALUE(LEFT(E220,4)),"x")),ISNUMBER(IFERROR(VALUE(RIGHT(E220,3)),"x")))),"КПП: неверный формат",IF(LEFT(E220,2)&lt;&gt;LEFT(C220,2),"КПП: код региона не совпадает с ИНН",""))))</f>
        <v/>
      </c>
      <c r="N220" s="24" t="str">
        <f aca="false">IF(TRIM(C220)="","",IF(COUNTIF($C$2:$C$401,C220)&gt;1,"Дубликат ИНН в реестре",""))</f>
        <v/>
      </c>
      <c r="O220" s="24" t="str">
        <f aca="false">IF(TRIM(H220)="","Email не указан",IF(AND(ISNUMBER(FIND("@",H220)),ISNUMBER(FIND(".",H220,IFERROR(FIND("@",H220),1))),ISERROR(FIND(" ",H220)),LEFT(H220,1)&lt;&gt;"@",RIGHT(H220,1)&lt;&gt;".",LEN(H220)-LEN(SUBSTITUTE(H220,"@",""))=1),"","Email: неверный формат"))</f>
        <v/>
      </c>
      <c r="P220" s="24" t="str">
        <f aca="false">IF(TRIM(I220)="","Телефон не указан",IF(AND(LEN(SUBSTITUTE(SUBSTITUTE(SUBSTITUTE(SUBSTITUTE(SUBSTITUTE(I220," ",""),"-",""),"(",""),")",""),"+",""))=11,OR(LEFT(SUBSTITUTE(SUBSTITUTE(SUBSTITUTE(SUBSTITUTE(SUBSTITUTE(I220," ",""),"-",""),"(",""),")",""),"+",""),1)="7",LEFT(SUBSTITUTE(SUBSTITUTE(SUBSTITUTE(SUBSTITUTE(SUBSTITUTE(I220," ",""),"-",""),"(",""),")",""),"+",""),1)="8"),ISNUMBER(IFERROR(VALUE(SUBSTITUTE(SUBSTITUTE(SUBSTITUTE(SUBSTITUTE(SUBSTITUTE(I220," ",""),"-",""),"(",""),")",""),"+","")),"x"))),"","Телефон: неверный формат"))</f>
        <v/>
      </c>
      <c r="Q220" s="24" t="str">
        <f aca="false">TRIM(IF(TRIM(B220)="","Нет наименования. ","")&amp;IF(TRIM(F220)="","Нет адреса. ","")&amp;IF(TRIM(G220)="","Нет контактного лица.",""))</f>
        <v/>
      </c>
      <c r="R220" s="21" t="n">
        <f aca="false">SUMPRODUCT(--(LEN(K220:Q220)&gt;0))</f>
        <v>0</v>
      </c>
      <c r="S220" s="24" t="str">
        <f aca="false">IF(R220=0,"Готово к передаче","Требует исправления")</f>
        <v>Готово к передаче</v>
      </c>
      <c r="T220" s="24" t="str">
        <f aca="false">IF(R220=0,"",_xlfn.TEXTJOIN("; ",TRUE(),K220:Q220))</f>
        <v/>
      </c>
      <c r="U220" s="24" t="str">
        <f aca="false">IF(R220=0,"","Здравствуйте! В данных организации «"&amp;B220&amp;"» обнаружены ошибки: "&amp;T220&amp;". Просим проверить и прислать исправленную информацию.")</f>
        <v/>
      </c>
      <c r="V220" s="21" t="str">
        <f aca="false">IF(R220&gt;0,COUNTIF($R$2:R220,"&gt;0"),"")</f>
        <v/>
      </c>
      <c r="W220" s="21" t="n">
        <f aca="false">IF(R220=0,COUNTIF($R$2:R220,0),"")</f>
        <v>145</v>
      </c>
    </row>
    <row r="221" customFormat="false" ht="15" hidden="false" customHeight="false" outlineLevel="0" collapsed="false">
      <c r="A221" s="21" t="n">
        <v>220</v>
      </c>
      <c r="B221" s="22" t="s">
        <v>1806</v>
      </c>
      <c r="C221" s="23" t="s">
        <v>1807</v>
      </c>
      <c r="D221" s="23" t="s">
        <v>1808</v>
      </c>
      <c r="E221" s="23" t="s">
        <v>1809</v>
      </c>
      <c r="F221" s="22" t="s">
        <v>1810</v>
      </c>
      <c r="G221" s="22" t="s">
        <v>1811</v>
      </c>
      <c r="H221" s="22" t="s">
        <v>1812</v>
      </c>
      <c r="I221" s="23" t="s">
        <v>1813</v>
      </c>
      <c r="J221" s="24" t="str">
        <f aca="false">IFERROR(VLOOKUP(VALUE(LEFT(C221,2)),Справочники!$A$2:$B$16,2,FALSE()),"не определён")</f>
        <v>Ростовская область</v>
      </c>
      <c r="K221" s="24" t="str">
        <f aca="false">IF(TRIM(C221)="","ИНН не указан",IF(LEN(C221)&lt;&gt;10,"ИНН: должно быть 10 цифр",IF(NOT(ISNUMBER(IFERROR(VALUE(C221),"x"))),"ИНН: есть нецифровые символы",IF(MOD(MOD(SUMPRODUCT(--MID(C221,{1,2,3,4,5,6,7,8,9},1),{2,4,10,3,5,9,4,6,8}),11),10)=VALUE(RIGHT(C221,1)),"","ИНН: неверная контрольная цифра"))))</f>
        <v>ИНН: неверная контрольная цифра</v>
      </c>
      <c r="L221" s="24" t="str">
        <f aca="false">IF(TRIM(D221)="","ОГРН не указан",IF(LEN(D221)&lt;&gt;13,"ОГРН: должно быть 13 цифр",IF(NOT(ISNUMBER(IFERROR(VALUE(D221),"x"))),"ОГРН: есть нецифровые символы",IF(MOD(VALUE(LEFT(D221,12))-11*INT(VALUE(LEFT(D221,12))/11),10)=VALUE(RIGHT(D221,1)),"","ОГРН: неверная контрольная цифра"))))</f>
        <v/>
      </c>
      <c r="M221" s="24" t="str">
        <f aca="false">IF(TRIM(E221)="","КПП не указан",IF(LEN(E221)&lt;&gt;9,"КПП: должно быть 9 знаков",IF(NOT(AND(ISNUMBER(IFERROR(VALUE(LEFT(E221,4)),"x")),ISNUMBER(IFERROR(VALUE(RIGHT(E221,3)),"x")))),"КПП: неверный формат",IF(LEFT(E221,2)&lt;&gt;LEFT(C221,2),"КПП: код региона не совпадает с ИНН",""))))</f>
        <v/>
      </c>
      <c r="N221" s="24" t="str">
        <f aca="false">IF(TRIM(C221)="","",IF(COUNTIF($C$2:$C$401,C221)&gt;1,"Дубликат ИНН в реестре",""))</f>
        <v/>
      </c>
      <c r="O221" s="24" t="str">
        <f aca="false">IF(TRIM(H221)="","Email не указан",IF(AND(ISNUMBER(FIND("@",H221)),ISNUMBER(FIND(".",H221,IFERROR(FIND("@",H221),1))),ISERROR(FIND(" ",H221)),LEFT(H221,1)&lt;&gt;"@",RIGHT(H221,1)&lt;&gt;".",LEN(H221)-LEN(SUBSTITUTE(H221,"@",""))=1),"","Email: неверный формат"))</f>
        <v/>
      </c>
      <c r="P221" s="24" t="str">
        <f aca="false">IF(TRIM(I221)="","Телефон не указан",IF(AND(LEN(SUBSTITUTE(SUBSTITUTE(SUBSTITUTE(SUBSTITUTE(SUBSTITUTE(I221," ",""),"-",""),"(",""),")",""),"+",""))=11,OR(LEFT(SUBSTITUTE(SUBSTITUTE(SUBSTITUTE(SUBSTITUTE(SUBSTITUTE(I221," ",""),"-",""),"(",""),")",""),"+",""),1)="7",LEFT(SUBSTITUTE(SUBSTITUTE(SUBSTITUTE(SUBSTITUTE(SUBSTITUTE(I221," ",""),"-",""),"(",""),")",""),"+",""),1)="8"),ISNUMBER(IFERROR(VALUE(SUBSTITUTE(SUBSTITUTE(SUBSTITUTE(SUBSTITUTE(SUBSTITUTE(I221," ",""),"-",""),"(",""),")",""),"+","")),"x"))),"","Телефон: неверный формат"))</f>
        <v/>
      </c>
      <c r="Q221" s="24" t="str">
        <f aca="false">TRIM(IF(TRIM(B221)="","Нет наименования. ","")&amp;IF(TRIM(F221)="","Нет адреса. ","")&amp;IF(TRIM(G221)="","Нет контактного лица.",""))</f>
        <v/>
      </c>
      <c r="R221" s="21" t="n">
        <f aca="false">SUMPRODUCT(--(LEN(K221:Q221)&gt;0))</f>
        <v>1</v>
      </c>
      <c r="S221" s="24" t="str">
        <f aca="false">IF(R221=0,"Готово к передаче","Требует исправления")</f>
        <v>Требует исправления</v>
      </c>
      <c r="T221" s="24" t="str">
        <f aca="false">IF(R221=0,"",_xlfn.TEXTJOIN("; ",TRUE(),K221:Q221))</f>
        <v>ИНН: неверная контрольная цифра</v>
      </c>
      <c r="U221" s="24" t="str">
        <f aca="false">IF(R221=0,"","Здравствуйте! В данных организации «"&amp;B221&amp;"» обнаружены ошибки: "&amp;T221&amp;". Просим проверить и прислать исправленную информацию.")</f>
        <v>Здравствуйте! В данных организации «ООО «Радуга Транс»» обнаружены ошибки: ИНН: неверная контрольная цифра. Просим проверить и прислать исправленную информацию.</v>
      </c>
      <c r="V221" s="21" t="n">
        <f aca="false">IF(R221&gt;0,COUNTIF($R$2:R221,"&gt;0"),"")</f>
        <v>75</v>
      </c>
      <c r="W221" s="21" t="str">
        <f aca="false">IF(R221=0,COUNTIF($R$2:R221,0),"")</f>
        <v/>
      </c>
    </row>
    <row r="222" customFormat="false" ht="15" hidden="false" customHeight="false" outlineLevel="0" collapsed="false">
      <c r="A222" s="21" t="n">
        <v>221</v>
      </c>
      <c r="B222" s="22" t="s">
        <v>1814</v>
      </c>
      <c r="C222" s="23" t="s">
        <v>1815</v>
      </c>
      <c r="D222" s="23" t="s">
        <v>1816</v>
      </c>
      <c r="E222" s="23" t="s">
        <v>1817</v>
      </c>
      <c r="F222" s="22" t="s">
        <v>1818</v>
      </c>
      <c r="G222" s="22" t="s">
        <v>1819</v>
      </c>
      <c r="H222" s="22"/>
      <c r="I222" s="23" t="s">
        <v>1820</v>
      </c>
      <c r="J222" s="24" t="str">
        <f aca="false">IFERROR(VLOOKUP(VALUE(LEFT(C222,2)),Справочники!$A$2:$B$16,2,FALSE()),"не определён")</f>
        <v>Красноярский край</v>
      </c>
      <c r="K222" s="24" t="str">
        <f aca="false">IF(TRIM(C222)="","ИНН не указан",IF(LEN(C222)&lt;&gt;10,"ИНН: должно быть 10 цифр",IF(NOT(ISNUMBER(IFERROR(VALUE(C222),"x"))),"ИНН: есть нецифровые символы",IF(MOD(MOD(SUMPRODUCT(--MID(C222,{1,2,3,4,5,6,7,8,9},1),{2,4,10,3,5,9,4,6,8}),11),10)=VALUE(RIGHT(C222,1)),"","ИНН: неверная контрольная цифра"))))</f>
        <v/>
      </c>
      <c r="L222" s="24" t="str">
        <f aca="false">IF(TRIM(D222)="","ОГРН не указан",IF(LEN(D222)&lt;&gt;13,"ОГРН: должно быть 13 цифр",IF(NOT(ISNUMBER(IFERROR(VALUE(D222),"x"))),"ОГРН: есть нецифровые символы",IF(MOD(VALUE(LEFT(D222,12))-11*INT(VALUE(LEFT(D222,12))/11),10)=VALUE(RIGHT(D222,1)),"","ОГРН: неверная контрольная цифра"))))</f>
        <v/>
      </c>
      <c r="M222" s="24" t="str">
        <f aca="false">IF(TRIM(E222)="","КПП не указан",IF(LEN(E222)&lt;&gt;9,"КПП: должно быть 9 знаков",IF(NOT(AND(ISNUMBER(IFERROR(VALUE(LEFT(E222,4)),"x")),ISNUMBER(IFERROR(VALUE(RIGHT(E222,3)),"x")))),"КПП: неверный формат",IF(LEFT(E222,2)&lt;&gt;LEFT(C222,2),"КПП: код региона не совпадает с ИНН",""))))</f>
        <v/>
      </c>
      <c r="N222" s="24" t="str">
        <f aca="false">IF(TRIM(C222)="","",IF(COUNTIF($C$2:$C$401,C222)&gt;1,"Дубликат ИНН в реестре",""))</f>
        <v/>
      </c>
      <c r="O222" s="24" t="str">
        <f aca="false">IF(TRIM(H222)="","Email не указан",IF(AND(ISNUMBER(FIND("@",H222)),ISNUMBER(FIND(".",H222,IFERROR(FIND("@",H222),1))),ISERROR(FIND(" ",H222)),LEFT(H222,1)&lt;&gt;"@",RIGHT(H222,1)&lt;&gt;".",LEN(H222)-LEN(SUBSTITUTE(H222,"@",""))=1),"","Email: неверный формат"))</f>
        <v>Email не указан</v>
      </c>
      <c r="P222" s="24" t="str">
        <f aca="false">IF(TRIM(I222)="","Телефон не указан",IF(AND(LEN(SUBSTITUTE(SUBSTITUTE(SUBSTITUTE(SUBSTITUTE(SUBSTITUTE(I222," ",""),"-",""),"(",""),")",""),"+",""))=11,OR(LEFT(SUBSTITUTE(SUBSTITUTE(SUBSTITUTE(SUBSTITUTE(SUBSTITUTE(I222," ",""),"-",""),"(",""),")",""),"+",""),1)="7",LEFT(SUBSTITUTE(SUBSTITUTE(SUBSTITUTE(SUBSTITUTE(SUBSTITUTE(I222," ",""),"-",""),"(",""),")",""),"+",""),1)="8"),ISNUMBER(IFERROR(VALUE(SUBSTITUTE(SUBSTITUTE(SUBSTITUTE(SUBSTITUTE(SUBSTITUTE(I222," ",""),"-",""),"(",""),")",""),"+","")),"x"))),"","Телефон: неверный формат"))</f>
        <v/>
      </c>
      <c r="Q222" s="24" t="str">
        <f aca="false">TRIM(IF(TRIM(B222)="","Нет наименования. ","")&amp;IF(TRIM(F222)="","Нет адреса. ","")&amp;IF(TRIM(G222)="","Нет контактного лица.",""))</f>
        <v/>
      </c>
      <c r="R222" s="21" t="n">
        <f aca="false">SUMPRODUCT(--(LEN(K222:Q222)&gt;0))</f>
        <v>1</v>
      </c>
      <c r="S222" s="24" t="str">
        <f aca="false">IF(R222=0,"Готово к передаче","Требует исправления")</f>
        <v>Требует исправления</v>
      </c>
      <c r="T222" s="24" t="str">
        <f aca="false">IF(R222=0,"",_xlfn.TEXTJOIN("; ",TRUE(),K222:Q222))</f>
        <v>Email не указан</v>
      </c>
      <c r="U222" s="24" t="str">
        <f aca="false">IF(R222=0,"","Здравствуйте! В данных организации «"&amp;B222&amp;"» обнаружены ошибки: "&amp;T222&amp;". Просим проверить и прислать исправленную информацию.")</f>
        <v>Здравствуйте! В данных организации «ООО «Импульс Снаб»» обнаружены ошибки: Email не указан. Просим проверить и прислать исправленную информацию.</v>
      </c>
      <c r="V222" s="21" t="n">
        <f aca="false">IF(R222&gt;0,COUNTIF($R$2:R222,"&gt;0"),"")</f>
        <v>76</v>
      </c>
      <c r="W222" s="21" t="str">
        <f aca="false">IF(R222=0,COUNTIF($R$2:R222,0),"")</f>
        <v/>
      </c>
    </row>
    <row r="223" customFormat="false" ht="15" hidden="false" customHeight="false" outlineLevel="0" collapsed="false">
      <c r="A223" s="21" t="n">
        <v>222</v>
      </c>
      <c r="B223" s="22" t="s">
        <v>1821</v>
      </c>
      <c r="C223" s="23" t="s">
        <v>1822</v>
      </c>
      <c r="D223" s="23" t="s">
        <v>1823</v>
      </c>
      <c r="E223" s="23" t="s">
        <v>1824</v>
      </c>
      <c r="F223" s="22" t="s">
        <v>1825</v>
      </c>
      <c r="G223" s="22" t="s">
        <v>1826</v>
      </c>
      <c r="H223" s="22" t="s">
        <v>1827</v>
      </c>
      <c r="I223" s="23" t="s">
        <v>1828</v>
      </c>
      <c r="J223" s="24" t="str">
        <f aca="false">IFERROR(VLOOKUP(VALUE(LEFT(C223,2)),Справочники!$A$2:$B$16,2,FALSE()),"не определён")</f>
        <v>г. Севастополь</v>
      </c>
      <c r="K223" s="24" t="str">
        <f aca="false">IF(TRIM(C223)="","ИНН не указан",IF(LEN(C223)&lt;&gt;10,"ИНН: должно быть 10 цифр",IF(NOT(ISNUMBER(IFERROR(VALUE(C223),"x"))),"ИНН: есть нецифровые символы",IF(MOD(MOD(SUMPRODUCT(--MID(C223,{1,2,3,4,5,6,7,8,9},1),{2,4,10,3,5,9,4,6,8}),11),10)=VALUE(RIGHT(C223,1)),"","ИНН: неверная контрольная цифра"))))</f>
        <v/>
      </c>
      <c r="L223" s="24" t="str">
        <f aca="false">IF(TRIM(D223)="","ОГРН не указан",IF(LEN(D223)&lt;&gt;13,"ОГРН: должно быть 13 цифр",IF(NOT(ISNUMBER(IFERROR(VALUE(D223),"x"))),"ОГРН: есть нецифровые символы",IF(MOD(VALUE(LEFT(D223,12))-11*INT(VALUE(LEFT(D223,12))/11),10)=VALUE(RIGHT(D223,1)),"","ОГРН: неверная контрольная цифра"))))</f>
        <v/>
      </c>
      <c r="M223" s="24" t="str">
        <f aca="false">IF(TRIM(E223)="","КПП не указан",IF(LEN(E223)&lt;&gt;9,"КПП: должно быть 9 знаков",IF(NOT(AND(ISNUMBER(IFERROR(VALUE(LEFT(E223,4)),"x")),ISNUMBER(IFERROR(VALUE(RIGHT(E223,3)),"x")))),"КПП: неверный формат",IF(LEFT(E223,2)&lt;&gt;LEFT(C223,2),"КПП: код региона не совпадает с ИНН",""))))</f>
        <v/>
      </c>
      <c r="N223" s="24" t="str">
        <f aca="false">IF(TRIM(C223)="","",IF(COUNTIF($C$2:$C$401,C223)&gt;1,"Дубликат ИНН в реестре",""))</f>
        <v/>
      </c>
      <c r="O223" s="24" t="str">
        <f aca="false">IF(TRIM(H223)="","Email не указан",IF(AND(ISNUMBER(FIND("@",H223)),ISNUMBER(FIND(".",H223,IFERROR(FIND("@",H223),1))),ISERROR(FIND(" ",H223)),LEFT(H223,1)&lt;&gt;"@",RIGHT(H223,1)&lt;&gt;".",LEN(H223)-LEN(SUBSTITUTE(H223,"@",""))=1),"","Email: неверный формат"))</f>
        <v/>
      </c>
      <c r="P223" s="24" t="str">
        <f aca="false">IF(TRIM(I223)="","Телефон не указан",IF(AND(LEN(SUBSTITUTE(SUBSTITUTE(SUBSTITUTE(SUBSTITUTE(SUBSTITUTE(I223," ",""),"-",""),"(",""),")",""),"+",""))=11,OR(LEFT(SUBSTITUTE(SUBSTITUTE(SUBSTITUTE(SUBSTITUTE(SUBSTITUTE(I223," ",""),"-",""),"(",""),")",""),"+",""),1)="7",LEFT(SUBSTITUTE(SUBSTITUTE(SUBSTITUTE(SUBSTITUTE(SUBSTITUTE(I223," ",""),"-",""),"(",""),")",""),"+",""),1)="8"),ISNUMBER(IFERROR(VALUE(SUBSTITUTE(SUBSTITUTE(SUBSTITUTE(SUBSTITUTE(SUBSTITUTE(I223," ",""),"-",""),"(",""),")",""),"+","")),"x"))),"","Телефон: неверный формат"))</f>
        <v/>
      </c>
      <c r="Q223" s="24" t="str">
        <f aca="false">TRIM(IF(TRIM(B223)="","Нет наименования. ","")&amp;IF(TRIM(F223)="","Нет адреса. ","")&amp;IF(TRIM(G223)="","Нет контактного лица.",""))</f>
        <v/>
      </c>
      <c r="R223" s="21" t="n">
        <f aca="false">SUMPRODUCT(--(LEN(K223:Q223)&gt;0))</f>
        <v>0</v>
      </c>
      <c r="S223" s="24" t="str">
        <f aca="false">IF(R223=0,"Готово к передаче","Требует исправления")</f>
        <v>Готово к передаче</v>
      </c>
      <c r="T223" s="24" t="str">
        <f aca="false">IF(R223=0,"",_xlfn.TEXTJOIN("; ",TRUE(),K223:Q223))</f>
        <v/>
      </c>
      <c r="U223" s="24" t="str">
        <f aca="false">IF(R223=0,"","Здравствуйте! В данных организации «"&amp;B223&amp;"» обнаружены ошибки: "&amp;T223&amp;". Просим проверить и прислать исправленную информацию.")</f>
        <v/>
      </c>
      <c r="V223" s="21" t="str">
        <f aca="false">IF(R223&gt;0,COUNTIF($R$2:R223,"&gt;0"),"")</f>
        <v/>
      </c>
      <c r="W223" s="21" t="n">
        <f aca="false">IF(R223=0,COUNTIF($R$2:R223,0),"")</f>
        <v>146</v>
      </c>
    </row>
    <row r="224" customFormat="false" ht="15" hidden="false" customHeight="false" outlineLevel="0" collapsed="false">
      <c r="A224" s="21" t="n">
        <v>223</v>
      </c>
      <c r="B224" s="22" t="s">
        <v>1829</v>
      </c>
      <c r="C224" s="23" t="s">
        <v>1830</v>
      </c>
      <c r="D224" s="23" t="s">
        <v>1831</v>
      </c>
      <c r="E224" s="23" t="s">
        <v>1832</v>
      </c>
      <c r="F224" s="22" t="s">
        <v>1833</v>
      </c>
      <c r="G224" s="22" t="s">
        <v>1834</v>
      </c>
      <c r="H224" s="22" t="s">
        <v>1835</v>
      </c>
      <c r="I224" s="23" t="s">
        <v>1836</v>
      </c>
      <c r="J224" s="24" t="str">
        <f aca="false">IFERROR(VLOOKUP(VALUE(LEFT(C224,2)),Справочники!$A$2:$B$16,2,FALSE()),"не определён")</f>
        <v>Республика Крым</v>
      </c>
      <c r="K224" s="24" t="str">
        <f aca="false">IF(TRIM(C224)="","ИНН не указан",IF(LEN(C224)&lt;&gt;10,"ИНН: должно быть 10 цифр",IF(NOT(ISNUMBER(IFERROR(VALUE(C224),"x"))),"ИНН: есть нецифровые символы",IF(MOD(MOD(SUMPRODUCT(--MID(C224,{1,2,3,4,5,6,7,8,9},1),{2,4,10,3,5,9,4,6,8}),11),10)=VALUE(RIGHT(C224,1)),"","ИНН: неверная контрольная цифра"))))</f>
        <v/>
      </c>
      <c r="L224" s="24" t="str">
        <f aca="false">IF(TRIM(D224)="","ОГРН не указан",IF(LEN(D224)&lt;&gt;13,"ОГРН: должно быть 13 цифр",IF(NOT(ISNUMBER(IFERROR(VALUE(D224),"x"))),"ОГРН: есть нецифровые символы",IF(MOD(VALUE(LEFT(D224,12))-11*INT(VALUE(LEFT(D224,12))/11),10)=VALUE(RIGHT(D224,1)),"","ОГРН: неверная контрольная цифра"))))</f>
        <v>ОГРН: должно быть 13 цифр</v>
      </c>
      <c r="M224" s="24" t="str">
        <f aca="false">IF(TRIM(E224)="","КПП не указан",IF(LEN(E224)&lt;&gt;9,"КПП: должно быть 9 знаков",IF(NOT(AND(ISNUMBER(IFERROR(VALUE(LEFT(E224,4)),"x")),ISNUMBER(IFERROR(VALUE(RIGHT(E224,3)),"x")))),"КПП: неверный формат",IF(LEFT(E224,2)&lt;&gt;LEFT(C224,2),"КПП: код региона не совпадает с ИНН",""))))</f>
        <v/>
      </c>
      <c r="N224" s="24" t="str">
        <f aca="false">IF(TRIM(C224)="","",IF(COUNTIF($C$2:$C$401,C224)&gt;1,"Дубликат ИНН в реестре",""))</f>
        <v/>
      </c>
      <c r="O224" s="24" t="str">
        <f aca="false">IF(TRIM(H224)="","Email не указан",IF(AND(ISNUMBER(FIND("@",H224)),ISNUMBER(FIND(".",H224,IFERROR(FIND("@",H224),1))),ISERROR(FIND(" ",H224)),LEFT(H224,1)&lt;&gt;"@",RIGHT(H224,1)&lt;&gt;".",LEN(H224)-LEN(SUBSTITUTE(H224,"@",""))=1),"","Email: неверный формат"))</f>
        <v/>
      </c>
      <c r="P224" s="24" t="str">
        <f aca="false">IF(TRIM(I224)="","Телефон не указан",IF(AND(LEN(SUBSTITUTE(SUBSTITUTE(SUBSTITUTE(SUBSTITUTE(SUBSTITUTE(I224," ",""),"-",""),"(",""),")",""),"+",""))=11,OR(LEFT(SUBSTITUTE(SUBSTITUTE(SUBSTITUTE(SUBSTITUTE(SUBSTITUTE(I224," ",""),"-",""),"(",""),")",""),"+",""),1)="7",LEFT(SUBSTITUTE(SUBSTITUTE(SUBSTITUTE(SUBSTITUTE(SUBSTITUTE(I224," ",""),"-",""),"(",""),")",""),"+",""),1)="8"),ISNUMBER(IFERROR(VALUE(SUBSTITUTE(SUBSTITUTE(SUBSTITUTE(SUBSTITUTE(SUBSTITUTE(I224," ",""),"-",""),"(",""),")",""),"+","")),"x"))),"","Телефон: неверный формат"))</f>
        <v/>
      </c>
      <c r="Q224" s="24" t="str">
        <f aca="false">TRIM(IF(TRIM(B224)="","Нет наименования. ","")&amp;IF(TRIM(F224)="","Нет адреса. ","")&amp;IF(TRIM(G224)="","Нет контактного лица.",""))</f>
        <v/>
      </c>
      <c r="R224" s="21" t="n">
        <f aca="false">SUMPRODUCT(--(LEN(K224:Q224)&gt;0))</f>
        <v>1</v>
      </c>
      <c r="S224" s="24" t="str">
        <f aca="false">IF(R224=0,"Готово к передаче","Требует исправления")</f>
        <v>Требует исправления</v>
      </c>
      <c r="T224" s="24" t="str">
        <f aca="false">IF(R224=0,"",_xlfn.TEXTJOIN("; ",TRUE(),K224:Q224))</f>
        <v>ОГРН: должно быть 13 цифр</v>
      </c>
      <c r="U224" s="24" t="str">
        <f aca="false">IF(R224=0,"","Здравствуйте! В данных организации «"&amp;B224&amp;"» обнаружены ошибки: "&amp;T224&amp;". Просим проверить и прислать исправленную информацию.")</f>
        <v>Здравствуйте! В данных организации «ООО «Тандем Фуд»» обнаружены ошибки: ОГРН: должно быть 13 цифр. Просим проверить и прислать исправленную информацию.</v>
      </c>
      <c r="V224" s="21" t="n">
        <f aca="false">IF(R224&gt;0,COUNTIF($R$2:R224,"&gt;0"),"")</f>
        <v>77</v>
      </c>
      <c r="W224" s="21" t="str">
        <f aca="false">IF(R224=0,COUNTIF($R$2:R224,0),"")</f>
        <v/>
      </c>
    </row>
    <row r="225" customFormat="false" ht="15" hidden="false" customHeight="false" outlineLevel="0" collapsed="false">
      <c r="A225" s="21" t="n">
        <v>224</v>
      </c>
      <c r="B225" s="22" t="s">
        <v>1837</v>
      </c>
      <c r="C225" s="23" t="s">
        <v>1838</v>
      </c>
      <c r="D225" s="23" t="s">
        <v>1839</v>
      </c>
      <c r="E225" s="23" t="s">
        <v>1840</v>
      </c>
      <c r="F225" s="22" t="s">
        <v>1841</v>
      </c>
      <c r="G225" s="22" t="s">
        <v>1842</v>
      </c>
      <c r="H225" s="22" t="s">
        <v>1843</v>
      </c>
      <c r="I225" s="23" t="s">
        <v>1844</v>
      </c>
      <c r="J225" s="24" t="str">
        <f aca="false">IFERROR(VLOOKUP(VALUE(LEFT(C225,2)),Справочники!$A$2:$B$16,2,FALSE()),"не определён")</f>
        <v>г. Москва</v>
      </c>
      <c r="K225" s="24" t="str">
        <f aca="false">IF(TRIM(C225)="","ИНН не указан",IF(LEN(C225)&lt;&gt;10,"ИНН: должно быть 10 цифр",IF(NOT(ISNUMBER(IFERROR(VALUE(C225),"x"))),"ИНН: есть нецифровые символы",IF(MOD(MOD(SUMPRODUCT(--MID(C225,{1,2,3,4,5,6,7,8,9},1),{2,4,10,3,5,9,4,6,8}),11),10)=VALUE(RIGHT(C225,1)),"","ИНН: неверная контрольная цифра"))))</f>
        <v/>
      </c>
      <c r="L225" s="24" t="str">
        <f aca="false">IF(TRIM(D225)="","ОГРН не указан",IF(LEN(D225)&lt;&gt;13,"ОГРН: должно быть 13 цифр",IF(NOT(ISNUMBER(IFERROR(VALUE(D225),"x"))),"ОГРН: есть нецифровые символы",IF(MOD(VALUE(LEFT(D225,12))-11*INT(VALUE(LEFT(D225,12))/11),10)=VALUE(RIGHT(D225,1)),"","ОГРН: неверная контрольная цифра"))))</f>
        <v/>
      </c>
      <c r="M225" s="24" t="str">
        <f aca="false">IF(TRIM(E225)="","КПП не указан",IF(LEN(E225)&lt;&gt;9,"КПП: должно быть 9 знаков",IF(NOT(AND(ISNUMBER(IFERROR(VALUE(LEFT(E225,4)),"x")),ISNUMBER(IFERROR(VALUE(RIGHT(E225,3)),"x")))),"КПП: неверный формат",IF(LEFT(E225,2)&lt;&gt;LEFT(C225,2),"КПП: код региона не совпадает с ИНН",""))))</f>
        <v/>
      </c>
      <c r="N225" s="24" t="str">
        <f aca="false">IF(TRIM(C225)="","",IF(COUNTIF($C$2:$C$401,C225)&gt;1,"Дубликат ИНН в реестре",""))</f>
        <v/>
      </c>
      <c r="O225" s="24" t="str">
        <f aca="false">IF(TRIM(H225)="","Email не указан",IF(AND(ISNUMBER(FIND("@",H225)),ISNUMBER(FIND(".",H225,IFERROR(FIND("@",H225),1))),ISERROR(FIND(" ",H225)),LEFT(H225,1)&lt;&gt;"@",RIGHT(H225,1)&lt;&gt;".",LEN(H225)-LEN(SUBSTITUTE(H225,"@",""))=1),"","Email: неверный формат"))</f>
        <v/>
      </c>
      <c r="P225" s="24" t="str">
        <f aca="false">IF(TRIM(I225)="","Телефон не указан",IF(AND(LEN(SUBSTITUTE(SUBSTITUTE(SUBSTITUTE(SUBSTITUTE(SUBSTITUTE(I225," ",""),"-",""),"(",""),")",""),"+",""))=11,OR(LEFT(SUBSTITUTE(SUBSTITUTE(SUBSTITUTE(SUBSTITUTE(SUBSTITUTE(I225," ",""),"-",""),"(",""),")",""),"+",""),1)="7",LEFT(SUBSTITUTE(SUBSTITUTE(SUBSTITUTE(SUBSTITUTE(SUBSTITUTE(I225," ",""),"-",""),"(",""),")",""),"+",""),1)="8"),ISNUMBER(IFERROR(VALUE(SUBSTITUTE(SUBSTITUTE(SUBSTITUTE(SUBSTITUTE(SUBSTITUTE(I225," ",""),"-",""),"(",""),")",""),"+","")),"x"))),"","Телефон: неверный формат"))</f>
        <v/>
      </c>
      <c r="Q225" s="24" t="str">
        <f aca="false">TRIM(IF(TRIM(B225)="","Нет наименования. ","")&amp;IF(TRIM(F225)="","Нет адреса. ","")&amp;IF(TRIM(G225)="","Нет контактного лица.",""))</f>
        <v/>
      </c>
      <c r="R225" s="21" t="n">
        <f aca="false">SUMPRODUCT(--(LEN(K225:Q225)&gt;0))</f>
        <v>0</v>
      </c>
      <c r="S225" s="24" t="str">
        <f aca="false">IF(R225=0,"Готово к передаче","Требует исправления")</f>
        <v>Готово к передаче</v>
      </c>
      <c r="T225" s="24" t="str">
        <f aca="false">IF(R225=0,"",_xlfn.TEXTJOIN("; ",TRUE(),K225:Q225))</f>
        <v/>
      </c>
      <c r="U225" s="24" t="str">
        <f aca="false">IF(R225=0,"","Здравствуйте! В данных организации «"&amp;B225&amp;"» обнаружены ошибки: "&amp;T225&amp;". Просим проверить и прислать исправленную информацию.")</f>
        <v/>
      </c>
      <c r="V225" s="21" t="str">
        <f aca="false">IF(R225&gt;0,COUNTIF($R$2:R225,"&gt;0"),"")</f>
        <v/>
      </c>
      <c r="W225" s="21" t="n">
        <f aca="false">IF(R225=0,COUNTIF($R$2:R225,0),"")</f>
        <v>147</v>
      </c>
    </row>
    <row r="226" customFormat="false" ht="15" hidden="false" customHeight="false" outlineLevel="0" collapsed="false">
      <c r="A226" s="21" t="n">
        <v>225</v>
      </c>
      <c r="B226" s="22" t="s">
        <v>1845</v>
      </c>
      <c r="C226" s="23" t="s">
        <v>1846</v>
      </c>
      <c r="D226" s="23" t="s">
        <v>1847</v>
      </c>
      <c r="E226" s="23" t="s">
        <v>1848</v>
      </c>
      <c r="F226" s="22" t="s">
        <v>1849</v>
      </c>
      <c r="G226" s="22" t="s">
        <v>1850</v>
      </c>
      <c r="H226" s="22" t="s">
        <v>1851</v>
      </c>
      <c r="I226" s="23" t="s">
        <v>1852</v>
      </c>
      <c r="J226" s="24" t="str">
        <f aca="false">IFERROR(VLOOKUP(VALUE(LEFT(C226,2)),Справочники!$A$2:$B$16,2,FALSE()),"не определён")</f>
        <v>Челябинская область</v>
      </c>
      <c r="K226" s="24" t="str">
        <f aca="false">IF(TRIM(C226)="","ИНН не указан",IF(LEN(C226)&lt;&gt;10,"ИНН: должно быть 10 цифр",IF(NOT(ISNUMBER(IFERROR(VALUE(C226),"x"))),"ИНН: есть нецифровые символы",IF(MOD(MOD(SUMPRODUCT(--MID(C226,{1,2,3,4,5,6,7,8,9},1),{2,4,10,3,5,9,4,6,8}),11),10)=VALUE(RIGHT(C226,1)),"","ИНН: неверная контрольная цифра"))))</f>
        <v/>
      </c>
      <c r="L226" s="24" t="str">
        <f aca="false">IF(TRIM(D226)="","ОГРН не указан",IF(LEN(D226)&lt;&gt;13,"ОГРН: должно быть 13 цифр",IF(NOT(ISNUMBER(IFERROR(VALUE(D226),"x"))),"ОГРН: есть нецифровые символы",IF(MOD(VALUE(LEFT(D226,12))-11*INT(VALUE(LEFT(D226,12))/11),10)=VALUE(RIGHT(D226,1)),"","ОГРН: неверная контрольная цифра"))))</f>
        <v/>
      </c>
      <c r="M226" s="24" t="str">
        <f aca="false">IF(TRIM(E226)="","КПП не указан",IF(LEN(E226)&lt;&gt;9,"КПП: должно быть 9 знаков",IF(NOT(AND(ISNUMBER(IFERROR(VALUE(LEFT(E226,4)),"x")),ISNUMBER(IFERROR(VALUE(RIGHT(E226,3)),"x")))),"КПП: неверный формат",IF(LEFT(E226,2)&lt;&gt;LEFT(C226,2),"КПП: код региона не совпадает с ИНН",""))))</f>
        <v/>
      </c>
      <c r="N226" s="24" t="str">
        <f aca="false">IF(TRIM(C226)="","",IF(COUNTIF($C$2:$C$401,C226)&gt;1,"Дубликат ИНН в реестре",""))</f>
        <v/>
      </c>
      <c r="O226" s="24" t="str">
        <f aca="false">IF(TRIM(H226)="","Email не указан",IF(AND(ISNUMBER(FIND("@",H226)),ISNUMBER(FIND(".",H226,IFERROR(FIND("@",H226),1))),ISERROR(FIND(" ",H226)),LEFT(H226,1)&lt;&gt;"@",RIGHT(H226,1)&lt;&gt;".",LEN(H226)-LEN(SUBSTITUTE(H226,"@",""))=1),"","Email: неверный формат"))</f>
        <v/>
      </c>
      <c r="P226" s="24" t="str">
        <f aca="false">IF(TRIM(I226)="","Телефон не указан",IF(AND(LEN(SUBSTITUTE(SUBSTITUTE(SUBSTITUTE(SUBSTITUTE(SUBSTITUTE(I226," ",""),"-",""),"(",""),")",""),"+",""))=11,OR(LEFT(SUBSTITUTE(SUBSTITUTE(SUBSTITUTE(SUBSTITUTE(SUBSTITUTE(I226," ",""),"-",""),"(",""),")",""),"+",""),1)="7",LEFT(SUBSTITUTE(SUBSTITUTE(SUBSTITUTE(SUBSTITUTE(SUBSTITUTE(I226," ",""),"-",""),"(",""),")",""),"+",""),1)="8"),ISNUMBER(IFERROR(VALUE(SUBSTITUTE(SUBSTITUTE(SUBSTITUTE(SUBSTITUTE(SUBSTITUTE(I226," ",""),"-",""),"(",""),")",""),"+","")),"x"))),"","Телефон: неверный формат"))</f>
        <v/>
      </c>
      <c r="Q226" s="24" t="str">
        <f aca="false">TRIM(IF(TRIM(B226)="","Нет наименования. ","")&amp;IF(TRIM(F226)="","Нет адреса. ","")&amp;IF(TRIM(G226)="","Нет контактного лица.",""))</f>
        <v/>
      </c>
      <c r="R226" s="21" t="n">
        <f aca="false">SUMPRODUCT(--(LEN(K226:Q226)&gt;0))</f>
        <v>0</v>
      </c>
      <c r="S226" s="24" t="str">
        <f aca="false">IF(R226=0,"Готово к передаче","Требует исправления")</f>
        <v>Готово к передаче</v>
      </c>
      <c r="T226" s="24" t="str">
        <f aca="false">IF(R226=0,"",_xlfn.TEXTJOIN("; ",TRUE(),K226:Q226))</f>
        <v/>
      </c>
      <c r="U226" s="24" t="str">
        <f aca="false">IF(R226=0,"","Здравствуйте! В данных организации «"&amp;B226&amp;"» обнаружены ошибки: "&amp;T226&amp;". Просим проверить и прислать исправленную информацию.")</f>
        <v/>
      </c>
      <c r="V226" s="21" t="str">
        <f aca="false">IF(R226&gt;0,COUNTIF($R$2:R226,"&gt;0"),"")</f>
        <v/>
      </c>
      <c r="W226" s="21" t="n">
        <f aca="false">IF(R226=0,COUNTIF($R$2:R226,0),"")</f>
        <v>148</v>
      </c>
    </row>
    <row r="227" customFormat="false" ht="15" hidden="false" customHeight="false" outlineLevel="0" collapsed="false">
      <c r="A227" s="21" t="n">
        <v>226</v>
      </c>
      <c r="B227" s="22" t="s">
        <v>1853</v>
      </c>
      <c r="C227" s="23" t="s">
        <v>1854</v>
      </c>
      <c r="D227" s="23" t="s">
        <v>1855</v>
      </c>
      <c r="E227" s="23" t="s">
        <v>1856</v>
      </c>
      <c r="F227" s="22" t="s">
        <v>1857</v>
      </c>
      <c r="G227" s="22" t="s">
        <v>1858</v>
      </c>
      <c r="H227" s="22" t="s">
        <v>1859</v>
      </c>
      <c r="I227" s="23" t="s">
        <v>1860</v>
      </c>
      <c r="J227" s="24" t="str">
        <f aca="false">IFERROR(VLOOKUP(VALUE(LEFT(C227,2)),Справочники!$A$2:$B$16,2,FALSE()),"не определён")</f>
        <v>Республика Крым</v>
      </c>
      <c r="K227" s="24" t="str">
        <f aca="false">IF(TRIM(C227)="","ИНН не указан",IF(LEN(C227)&lt;&gt;10,"ИНН: должно быть 10 цифр",IF(NOT(ISNUMBER(IFERROR(VALUE(C227),"x"))),"ИНН: есть нецифровые символы",IF(MOD(MOD(SUMPRODUCT(--MID(C227,{1,2,3,4,5,6,7,8,9},1),{2,4,10,3,5,9,4,6,8}),11),10)=VALUE(RIGHT(C227,1)),"","ИНН: неверная контрольная цифра"))))</f>
        <v/>
      </c>
      <c r="L227" s="24" t="str">
        <f aca="false">IF(TRIM(D227)="","ОГРН не указан",IF(LEN(D227)&lt;&gt;13,"ОГРН: должно быть 13 цифр",IF(NOT(ISNUMBER(IFERROR(VALUE(D227),"x"))),"ОГРН: есть нецифровые символы",IF(MOD(VALUE(LEFT(D227,12))-11*INT(VALUE(LEFT(D227,12))/11),10)=VALUE(RIGHT(D227,1)),"","ОГРН: неверная контрольная цифра"))))</f>
        <v/>
      </c>
      <c r="M227" s="24" t="str">
        <f aca="false">IF(TRIM(E227)="","КПП не указан",IF(LEN(E227)&lt;&gt;9,"КПП: должно быть 9 знаков",IF(NOT(AND(ISNUMBER(IFERROR(VALUE(LEFT(E227,4)),"x")),ISNUMBER(IFERROR(VALUE(RIGHT(E227,3)),"x")))),"КПП: неверный формат",IF(LEFT(E227,2)&lt;&gt;LEFT(C227,2),"КПП: код региона не совпадает с ИНН",""))))</f>
        <v/>
      </c>
      <c r="N227" s="24" t="str">
        <f aca="false">IF(TRIM(C227)="","",IF(COUNTIF($C$2:$C$401,C227)&gt;1,"Дубликат ИНН в реестре",""))</f>
        <v/>
      </c>
      <c r="O227" s="24" t="str">
        <f aca="false">IF(TRIM(H227)="","Email не указан",IF(AND(ISNUMBER(FIND("@",H227)),ISNUMBER(FIND(".",H227,IFERROR(FIND("@",H227),1))),ISERROR(FIND(" ",H227)),LEFT(H227,1)&lt;&gt;"@",RIGHT(H227,1)&lt;&gt;".",LEN(H227)-LEN(SUBSTITUTE(H227,"@",""))=1),"","Email: неверный формат"))</f>
        <v/>
      </c>
      <c r="P227" s="24" t="str">
        <f aca="false">IF(TRIM(I227)="","Телефон не указан",IF(AND(LEN(SUBSTITUTE(SUBSTITUTE(SUBSTITUTE(SUBSTITUTE(SUBSTITUTE(I227," ",""),"-",""),"(",""),")",""),"+",""))=11,OR(LEFT(SUBSTITUTE(SUBSTITUTE(SUBSTITUTE(SUBSTITUTE(SUBSTITUTE(I227," ",""),"-",""),"(",""),")",""),"+",""),1)="7",LEFT(SUBSTITUTE(SUBSTITUTE(SUBSTITUTE(SUBSTITUTE(SUBSTITUTE(I227," ",""),"-",""),"(",""),")",""),"+",""),1)="8"),ISNUMBER(IFERROR(VALUE(SUBSTITUTE(SUBSTITUTE(SUBSTITUTE(SUBSTITUTE(SUBSTITUTE(I227," ",""),"-",""),"(",""),")",""),"+","")),"x"))),"","Телефон: неверный формат"))</f>
        <v/>
      </c>
      <c r="Q227" s="24" t="str">
        <f aca="false">TRIM(IF(TRIM(B227)="","Нет наименования. ","")&amp;IF(TRIM(F227)="","Нет адреса. ","")&amp;IF(TRIM(G227)="","Нет контактного лица.",""))</f>
        <v/>
      </c>
      <c r="R227" s="21" t="n">
        <f aca="false">SUMPRODUCT(--(LEN(K227:Q227)&gt;0))</f>
        <v>0</v>
      </c>
      <c r="S227" s="24" t="str">
        <f aca="false">IF(R227=0,"Готово к передаче","Требует исправления")</f>
        <v>Готово к передаче</v>
      </c>
      <c r="T227" s="24" t="str">
        <f aca="false">IF(R227=0,"",_xlfn.TEXTJOIN("; ",TRUE(),K227:Q227))</f>
        <v/>
      </c>
      <c r="U227" s="24" t="str">
        <f aca="false">IF(R227=0,"","Здравствуйте! В данных организации «"&amp;B227&amp;"» обнаружены ошибки: "&amp;T227&amp;". Просим проверить и прислать исправленную информацию.")</f>
        <v/>
      </c>
      <c r="V227" s="21" t="str">
        <f aca="false">IF(R227&gt;0,COUNTIF($R$2:R227,"&gt;0"),"")</f>
        <v/>
      </c>
      <c r="W227" s="21" t="n">
        <f aca="false">IF(R227=0,COUNTIF($R$2:R227,0),"")</f>
        <v>149</v>
      </c>
    </row>
    <row r="228" customFormat="false" ht="15" hidden="false" customHeight="false" outlineLevel="0" collapsed="false">
      <c r="A228" s="21" t="n">
        <v>227</v>
      </c>
      <c r="B228" s="22" t="s">
        <v>1861</v>
      </c>
      <c r="C228" s="23" t="s">
        <v>1862</v>
      </c>
      <c r="D228" s="23" t="s">
        <v>1863</v>
      </c>
      <c r="E228" s="23" t="s">
        <v>1864</v>
      </c>
      <c r="F228" s="22" t="s">
        <v>1865</v>
      </c>
      <c r="G228" s="22" t="s">
        <v>1866</v>
      </c>
      <c r="H228" s="22" t="s">
        <v>1867</v>
      </c>
      <c r="I228" s="23" t="s">
        <v>1868</v>
      </c>
      <c r="J228" s="24" t="str">
        <f aca="false">IFERROR(VLOOKUP(VALUE(LEFT(C228,2)),Справочники!$A$2:$B$16,2,FALSE()),"не определён")</f>
        <v>г. Севастополь</v>
      </c>
      <c r="K228" s="24" t="str">
        <f aca="false">IF(TRIM(C228)="","ИНН не указан",IF(LEN(C228)&lt;&gt;10,"ИНН: должно быть 10 цифр",IF(NOT(ISNUMBER(IFERROR(VALUE(C228),"x"))),"ИНН: есть нецифровые символы",IF(MOD(MOD(SUMPRODUCT(--MID(C228,{1,2,3,4,5,6,7,8,9},1),{2,4,10,3,5,9,4,6,8}),11),10)=VALUE(RIGHT(C228,1)),"","ИНН: неверная контрольная цифра"))))</f>
        <v/>
      </c>
      <c r="L228" s="24" t="str">
        <f aca="false">IF(TRIM(D228)="","ОГРН не указан",IF(LEN(D228)&lt;&gt;13,"ОГРН: должно быть 13 цифр",IF(NOT(ISNUMBER(IFERROR(VALUE(D228),"x"))),"ОГРН: есть нецифровые символы",IF(MOD(VALUE(LEFT(D228,12))-11*INT(VALUE(LEFT(D228,12))/11),10)=VALUE(RIGHT(D228,1)),"","ОГРН: неверная контрольная цифра"))))</f>
        <v/>
      </c>
      <c r="M228" s="24" t="str">
        <f aca="false">IF(TRIM(E228)="","КПП не указан",IF(LEN(E228)&lt;&gt;9,"КПП: должно быть 9 знаков",IF(NOT(AND(ISNUMBER(IFERROR(VALUE(LEFT(E228,4)),"x")),ISNUMBER(IFERROR(VALUE(RIGHT(E228,3)),"x")))),"КПП: неверный формат",IF(LEFT(E228,2)&lt;&gt;LEFT(C228,2),"КПП: код региона не совпадает с ИНН",""))))</f>
        <v/>
      </c>
      <c r="N228" s="24" t="str">
        <f aca="false">IF(TRIM(C228)="","",IF(COUNTIF($C$2:$C$401,C228)&gt;1,"Дубликат ИНН в реестре",""))</f>
        <v/>
      </c>
      <c r="O228" s="24" t="str">
        <f aca="false">IF(TRIM(H228)="","Email не указан",IF(AND(ISNUMBER(FIND("@",H228)),ISNUMBER(FIND(".",H228,IFERROR(FIND("@",H228),1))),ISERROR(FIND(" ",H228)),LEFT(H228,1)&lt;&gt;"@",RIGHT(H228,1)&lt;&gt;".",LEN(H228)-LEN(SUBSTITUTE(H228,"@",""))=1),"","Email: неверный формат"))</f>
        <v/>
      </c>
      <c r="P228" s="24" t="str">
        <f aca="false">IF(TRIM(I228)="","Телефон не указан",IF(AND(LEN(SUBSTITUTE(SUBSTITUTE(SUBSTITUTE(SUBSTITUTE(SUBSTITUTE(I228," ",""),"-",""),"(",""),")",""),"+",""))=11,OR(LEFT(SUBSTITUTE(SUBSTITUTE(SUBSTITUTE(SUBSTITUTE(SUBSTITUTE(I228," ",""),"-",""),"(",""),")",""),"+",""),1)="7",LEFT(SUBSTITUTE(SUBSTITUTE(SUBSTITUTE(SUBSTITUTE(SUBSTITUTE(I228," ",""),"-",""),"(",""),")",""),"+",""),1)="8"),ISNUMBER(IFERROR(VALUE(SUBSTITUTE(SUBSTITUTE(SUBSTITUTE(SUBSTITUTE(SUBSTITUTE(I228," ",""),"-",""),"(",""),")",""),"+","")),"x"))),"","Телефон: неверный формат"))</f>
        <v/>
      </c>
      <c r="Q228" s="24" t="str">
        <f aca="false">TRIM(IF(TRIM(B228)="","Нет наименования. ","")&amp;IF(TRIM(F228)="","Нет адреса. ","")&amp;IF(TRIM(G228)="","Нет контактного лица.",""))</f>
        <v/>
      </c>
      <c r="R228" s="21" t="n">
        <f aca="false">SUMPRODUCT(--(LEN(K228:Q228)&gt;0))</f>
        <v>0</v>
      </c>
      <c r="S228" s="24" t="str">
        <f aca="false">IF(R228=0,"Готово к передаче","Требует исправления")</f>
        <v>Готово к передаче</v>
      </c>
      <c r="T228" s="24" t="str">
        <f aca="false">IF(R228=0,"",_xlfn.TEXTJOIN("; ",TRUE(),K228:Q228))</f>
        <v/>
      </c>
      <c r="U228" s="24" t="str">
        <f aca="false">IF(R228=0,"","Здравствуйте! В данных организации «"&amp;B228&amp;"» обнаружены ошибки: "&amp;T228&amp;". Просим проверить и прислать исправленную информацию.")</f>
        <v/>
      </c>
      <c r="V228" s="21" t="str">
        <f aca="false">IF(R228&gt;0,COUNTIF($R$2:R228,"&gt;0"),"")</f>
        <v/>
      </c>
      <c r="W228" s="21" t="n">
        <f aca="false">IF(R228=0,COUNTIF($R$2:R228,0),"")</f>
        <v>150</v>
      </c>
    </row>
    <row r="229" customFormat="false" ht="15" hidden="false" customHeight="false" outlineLevel="0" collapsed="false">
      <c r="A229" s="21" t="n">
        <v>228</v>
      </c>
      <c r="B229" s="22" t="s">
        <v>1869</v>
      </c>
      <c r="C229" s="23" t="s">
        <v>1870</v>
      </c>
      <c r="D229" s="23" t="s">
        <v>1871</v>
      </c>
      <c r="E229" s="23" t="s">
        <v>1872</v>
      </c>
      <c r="F229" s="22" t="s">
        <v>1873</v>
      </c>
      <c r="G229" s="22" t="s">
        <v>1874</v>
      </c>
      <c r="H229" s="22" t="s">
        <v>1875</v>
      </c>
      <c r="I229" s="23" t="s">
        <v>1876</v>
      </c>
      <c r="J229" s="24" t="str">
        <f aca="false">IFERROR(VLOOKUP(VALUE(LEFT(C229,2)),Справочники!$A$2:$B$16,2,FALSE()),"не определён")</f>
        <v>Челябинская область</v>
      </c>
      <c r="K229" s="24" t="str">
        <f aca="false">IF(TRIM(C229)="","ИНН не указан",IF(LEN(C229)&lt;&gt;10,"ИНН: должно быть 10 цифр",IF(NOT(ISNUMBER(IFERROR(VALUE(C229),"x"))),"ИНН: есть нецифровые символы",IF(MOD(MOD(SUMPRODUCT(--MID(C229,{1,2,3,4,5,6,7,8,9},1),{2,4,10,3,5,9,4,6,8}),11),10)=VALUE(RIGHT(C229,1)),"","ИНН: неверная контрольная цифра"))))</f>
        <v/>
      </c>
      <c r="L229" s="24" t="str">
        <f aca="false">IF(TRIM(D229)="","ОГРН не указан",IF(LEN(D229)&lt;&gt;13,"ОГРН: должно быть 13 цифр",IF(NOT(ISNUMBER(IFERROR(VALUE(D229),"x"))),"ОГРН: есть нецифровые символы",IF(MOD(VALUE(LEFT(D229,12))-11*INT(VALUE(LEFT(D229,12))/11),10)=VALUE(RIGHT(D229,1)),"","ОГРН: неверная контрольная цифра"))))</f>
        <v/>
      </c>
      <c r="M229" s="24" t="str">
        <f aca="false">IF(TRIM(E229)="","КПП не указан",IF(LEN(E229)&lt;&gt;9,"КПП: должно быть 9 знаков",IF(NOT(AND(ISNUMBER(IFERROR(VALUE(LEFT(E229,4)),"x")),ISNUMBER(IFERROR(VALUE(RIGHT(E229,3)),"x")))),"КПП: неверный формат",IF(LEFT(E229,2)&lt;&gt;LEFT(C229,2),"КПП: код региона не совпадает с ИНН",""))))</f>
        <v/>
      </c>
      <c r="N229" s="24" t="str">
        <f aca="false">IF(TRIM(C229)="","",IF(COUNTIF($C$2:$C$401,C229)&gt;1,"Дубликат ИНН в реестре",""))</f>
        <v/>
      </c>
      <c r="O229" s="24" t="str">
        <f aca="false">IF(TRIM(H229)="","Email не указан",IF(AND(ISNUMBER(FIND("@",H229)),ISNUMBER(FIND(".",H229,IFERROR(FIND("@",H229),1))),ISERROR(FIND(" ",H229)),LEFT(H229,1)&lt;&gt;"@",RIGHT(H229,1)&lt;&gt;".",LEN(H229)-LEN(SUBSTITUTE(H229,"@",""))=1),"","Email: неверный формат"))</f>
        <v/>
      </c>
      <c r="P229" s="24" t="str">
        <f aca="false">IF(TRIM(I229)="","Телефон не указан",IF(AND(LEN(SUBSTITUTE(SUBSTITUTE(SUBSTITUTE(SUBSTITUTE(SUBSTITUTE(I229," ",""),"-",""),"(",""),")",""),"+",""))=11,OR(LEFT(SUBSTITUTE(SUBSTITUTE(SUBSTITUTE(SUBSTITUTE(SUBSTITUTE(I229," ",""),"-",""),"(",""),")",""),"+",""),1)="7",LEFT(SUBSTITUTE(SUBSTITUTE(SUBSTITUTE(SUBSTITUTE(SUBSTITUTE(I229," ",""),"-",""),"(",""),")",""),"+",""),1)="8"),ISNUMBER(IFERROR(VALUE(SUBSTITUTE(SUBSTITUTE(SUBSTITUTE(SUBSTITUTE(SUBSTITUTE(I229," ",""),"-",""),"(",""),")",""),"+","")),"x"))),"","Телефон: неверный формат"))</f>
        <v/>
      </c>
      <c r="Q229" s="24" t="str">
        <f aca="false">TRIM(IF(TRIM(B229)="","Нет наименования. ","")&amp;IF(TRIM(F229)="","Нет адреса. ","")&amp;IF(TRIM(G229)="","Нет контактного лица.",""))</f>
        <v/>
      </c>
      <c r="R229" s="21" t="n">
        <f aca="false">SUMPRODUCT(--(LEN(K229:Q229)&gt;0))</f>
        <v>0</v>
      </c>
      <c r="S229" s="24" t="str">
        <f aca="false">IF(R229=0,"Готово к передаче","Требует исправления")</f>
        <v>Готово к передаче</v>
      </c>
      <c r="T229" s="24" t="str">
        <f aca="false">IF(R229=0,"",_xlfn.TEXTJOIN("; ",TRUE(),K229:Q229))</f>
        <v/>
      </c>
      <c r="U229" s="24" t="str">
        <f aca="false">IF(R229=0,"","Здравствуйте! В данных организации «"&amp;B229&amp;"» обнаружены ошибки: "&amp;T229&amp;". Просим проверить и прислать исправленную информацию.")</f>
        <v/>
      </c>
      <c r="V229" s="21" t="str">
        <f aca="false">IF(R229&gt;0,COUNTIF($R$2:R229,"&gt;0"),"")</f>
        <v/>
      </c>
      <c r="W229" s="21" t="n">
        <f aca="false">IF(R229=0,COUNTIF($R$2:R229,0),"")</f>
        <v>151</v>
      </c>
    </row>
    <row r="230" customFormat="false" ht="15" hidden="false" customHeight="false" outlineLevel="0" collapsed="false">
      <c r="A230" s="21" t="n">
        <v>229</v>
      </c>
      <c r="B230" s="22"/>
      <c r="C230" s="23" t="s">
        <v>1877</v>
      </c>
      <c r="D230" s="23" t="s">
        <v>1878</v>
      </c>
      <c r="E230" s="23" t="s">
        <v>1879</v>
      </c>
      <c r="F230" s="22" t="s">
        <v>1880</v>
      </c>
      <c r="G230" s="22" t="s">
        <v>1881</v>
      </c>
      <c r="H230" s="22" t="s">
        <v>1882</v>
      </c>
      <c r="I230" s="23" t="s">
        <v>1883</v>
      </c>
      <c r="J230" s="24" t="str">
        <f aca="false">IFERROR(VLOOKUP(VALUE(LEFT(C230,2)),Справочники!$A$2:$B$16,2,FALSE()),"не определён")</f>
        <v>Республика Татарстан</v>
      </c>
      <c r="K230" s="24" t="str">
        <f aca="false">IF(TRIM(C230)="","ИНН не указан",IF(LEN(C230)&lt;&gt;10,"ИНН: должно быть 10 цифр",IF(NOT(ISNUMBER(IFERROR(VALUE(C230),"x"))),"ИНН: есть нецифровые символы",IF(MOD(MOD(SUMPRODUCT(--MID(C230,{1,2,3,4,5,6,7,8,9},1),{2,4,10,3,5,9,4,6,8}),11),10)=VALUE(RIGHT(C230,1)),"","ИНН: неверная контрольная цифра"))))</f>
        <v/>
      </c>
      <c r="L230" s="24" t="str">
        <f aca="false">IF(TRIM(D230)="","ОГРН не указан",IF(LEN(D230)&lt;&gt;13,"ОГРН: должно быть 13 цифр",IF(NOT(ISNUMBER(IFERROR(VALUE(D230),"x"))),"ОГРН: есть нецифровые символы",IF(MOD(VALUE(LEFT(D230,12))-11*INT(VALUE(LEFT(D230,12))/11),10)=VALUE(RIGHT(D230,1)),"","ОГРН: неверная контрольная цифра"))))</f>
        <v/>
      </c>
      <c r="M230" s="24" t="str">
        <f aca="false">IF(TRIM(E230)="","КПП не указан",IF(LEN(E230)&lt;&gt;9,"КПП: должно быть 9 знаков",IF(NOT(AND(ISNUMBER(IFERROR(VALUE(LEFT(E230,4)),"x")),ISNUMBER(IFERROR(VALUE(RIGHT(E230,3)),"x")))),"КПП: неверный формат",IF(LEFT(E230,2)&lt;&gt;LEFT(C230,2),"КПП: код региона не совпадает с ИНН",""))))</f>
        <v/>
      </c>
      <c r="N230" s="24" t="str">
        <f aca="false">IF(TRIM(C230)="","",IF(COUNTIF($C$2:$C$401,C230)&gt;1,"Дубликат ИНН в реестре",""))</f>
        <v/>
      </c>
      <c r="O230" s="24" t="str">
        <f aca="false">IF(TRIM(H230)="","Email не указан",IF(AND(ISNUMBER(FIND("@",H230)),ISNUMBER(FIND(".",H230,IFERROR(FIND("@",H230),1))),ISERROR(FIND(" ",H230)),LEFT(H230,1)&lt;&gt;"@",RIGHT(H230,1)&lt;&gt;".",LEN(H230)-LEN(SUBSTITUTE(H230,"@",""))=1),"","Email: неверный формат"))</f>
        <v/>
      </c>
      <c r="P230" s="24" t="str">
        <f aca="false">IF(TRIM(I230)="","Телефон не указан",IF(AND(LEN(SUBSTITUTE(SUBSTITUTE(SUBSTITUTE(SUBSTITUTE(SUBSTITUTE(I230," ",""),"-",""),"(",""),")",""),"+",""))=11,OR(LEFT(SUBSTITUTE(SUBSTITUTE(SUBSTITUTE(SUBSTITUTE(SUBSTITUTE(I230," ",""),"-",""),"(",""),")",""),"+",""),1)="7",LEFT(SUBSTITUTE(SUBSTITUTE(SUBSTITUTE(SUBSTITUTE(SUBSTITUTE(I230," ",""),"-",""),"(",""),")",""),"+",""),1)="8"),ISNUMBER(IFERROR(VALUE(SUBSTITUTE(SUBSTITUTE(SUBSTITUTE(SUBSTITUTE(SUBSTITUTE(I230," ",""),"-",""),"(",""),")",""),"+","")),"x"))),"","Телефон: неверный формат"))</f>
        <v/>
      </c>
      <c r="Q230" s="24" t="str">
        <f aca="false">TRIM(IF(TRIM(B230)="","Нет наименования. ","")&amp;IF(TRIM(F230)="","Нет адреса. ","")&amp;IF(TRIM(G230)="","Нет контактного лица.",""))</f>
        <v>Нет наименования.</v>
      </c>
      <c r="R230" s="21" t="n">
        <f aca="false">SUMPRODUCT(--(LEN(K230:Q230)&gt;0))</f>
        <v>1</v>
      </c>
      <c r="S230" s="24" t="str">
        <f aca="false">IF(R230=0,"Готово к передаче","Требует исправления")</f>
        <v>Требует исправления</v>
      </c>
      <c r="T230" s="24" t="str">
        <f aca="false">IF(R230=0,"",_xlfn.TEXTJOIN("; ",TRUE(),K230:Q230))</f>
        <v>Нет наименования.</v>
      </c>
      <c r="U230" s="24" t="str">
        <f aca="false">IF(R230=0,"","Здравствуйте! В данных организации «"&amp;B230&amp;"» обнаружены ошибки: "&amp;T230&amp;". Просим проверить и прислать исправленную информацию.")</f>
        <v>Здравствуйте! В данных организации «» обнаружены ошибки: Нет наименования.. Просим проверить и прислать исправленную информацию.</v>
      </c>
      <c r="V230" s="21" t="n">
        <f aca="false">IF(R230&gt;0,COUNTIF($R$2:R230,"&gt;0"),"")</f>
        <v>78</v>
      </c>
      <c r="W230" s="21" t="str">
        <f aca="false">IF(R230=0,COUNTIF($R$2:R230,0),"")</f>
        <v/>
      </c>
    </row>
    <row r="231" customFormat="false" ht="15" hidden="false" customHeight="false" outlineLevel="0" collapsed="false">
      <c r="A231" s="21" t="n">
        <v>230</v>
      </c>
      <c r="B231" s="22" t="s">
        <v>1884</v>
      </c>
      <c r="C231" s="23" t="s">
        <v>1885</v>
      </c>
      <c r="D231" s="23" t="s">
        <v>1886</v>
      </c>
      <c r="E231" s="23" t="s">
        <v>1887</v>
      </c>
      <c r="F231" s="22" t="s">
        <v>1888</v>
      </c>
      <c r="G231" s="22" t="s">
        <v>1889</v>
      </c>
      <c r="H231" s="22" t="s">
        <v>1890</v>
      </c>
      <c r="I231" s="23" t="s">
        <v>1891</v>
      </c>
      <c r="J231" s="24" t="str">
        <f aca="false">IFERROR(VLOOKUP(VALUE(LEFT(C231,2)),Справочники!$A$2:$B$16,2,FALSE()),"не определён")</f>
        <v>Краснодарский край</v>
      </c>
      <c r="K231" s="24" t="str">
        <f aca="false">IF(TRIM(C231)="","ИНН не указан",IF(LEN(C231)&lt;&gt;10,"ИНН: должно быть 10 цифр",IF(NOT(ISNUMBER(IFERROR(VALUE(C231),"x"))),"ИНН: есть нецифровые символы",IF(MOD(MOD(SUMPRODUCT(--MID(C231,{1,2,3,4,5,6,7,8,9},1),{2,4,10,3,5,9,4,6,8}),11),10)=VALUE(RIGHT(C231,1)),"","ИНН: неверная контрольная цифра"))))</f>
        <v/>
      </c>
      <c r="L231" s="24" t="str">
        <f aca="false">IF(TRIM(D231)="","ОГРН не указан",IF(LEN(D231)&lt;&gt;13,"ОГРН: должно быть 13 цифр",IF(NOT(ISNUMBER(IFERROR(VALUE(D231),"x"))),"ОГРН: есть нецифровые символы",IF(MOD(VALUE(LEFT(D231,12))-11*INT(VALUE(LEFT(D231,12))/11),10)=VALUE(RIGHT(D231,1)),"","ОГРН: неверная контрольная цифра"))))</f>
        <v/>
      </c>
      <c r="M231" s="24" t="str">
        <f aca="false">IF(TRIM(E231)="","КПП не указан",IF(LEN(E231)&lt;&gt;9,"КПП: должно быть 9 знаков",IF(NOT(AND(ISNUMBER(IFERROR(VALUE(LEFT(E231,4)),"x")),ISNUMBER(IFERROR(VALUE(RIGHT(E231,3)),"x")))),"КПП: неверный формат",IF(LEFT(E231,2)&lt;&gt;LEFT(C231,2),"КПП: код региона не совпадает с ИНН",""))))</f>
        <v/>
      </c>
      <c r="N231" s="24" t="str">
        <f aca="false">IF(TRIM(C231)="","",IF(COUNTIF($C$2:$C$401,C231)&gt;1,"Дубликат ИНН в реестре",""))</f>
        <v/>
      </c>
      <c r="O231" s="24" t="str">
        <f aca="false">IF(TRIM(H231)="","Email не указан",IF(AND(ISNUMBER(FIND("@",H231)),ISNUMBER(FIND(".",H231,IFERROR(FIND("@",H231),1))),ISERROR(FIND(" ",H231)),LEFT(H231,1)&lt;&gt;"@",RIGHT(H231,1)&lt;&gt;".",LEN(H231)-LEN(SUBSTITUTE(H231,"@",""))=1),"","Email: неверный формат"))</f>
        <v/>
      </c>
      <c r="P231" s="24" t="str">
        <f aca="false">IF(TRIM(I231)="","Телефон не указан",IF(AND(LEN(SUBSTITUTE(SUBSTITUTE(SUBSTITUTE(SUBSTITUTE(SUBSTITUTE(I231," ",""),"-",""),"(",""),")",""),"+",""))=11,OR(LEFT(SUBSTITUTE(SUBSTITUTE(SUBSTITUTE(SUBSTITUTE(SUBSTITUTE(I231," ",""),"-",""),"(",""),")",""),"+",""),1)="7",LEFT(SUBSTITUTE(SUBSTITUTE(SUBSTITUTE(SUBSTITUTE(SUBSTITUTE(I231," ",""),"-",""),"(",""),")",""),"+",""),1)="8"),ISNUMBER(IFERROR(VALUE(SUBSTITUTE(SUBSTITUTE(SUBSTITUTE(SUBSTITUTE(SUBSTITUTE(I231," ",""),"-",""),"(",""),")",""),"+","")),"x"))),"","Телефон: неверный формат"))</f>
        <v/>
      </c>
      <c r="Q231" s="24" t="str">
        <f aca="false">TRIM(IF(TRIM(B231)="","Нет наименования. ","")&amp;IF(TRIM(F231)="","Нет адреса. ","")&amp;IF(TRIM(G231)="","Нет контактного лица.",""))</f>
        <v/>
      </c>
      <c r="R231" s="21" t="n">
        <f aca="false">SUMPRODUCT(--(LEN(K231:Q231)&gt;0))</f>
        <v>0</v>
      </c>
      <c r="S231" s="24" t="str">
        <f aca="false">IF(R231=0,"Готово к передаче","Требует исправления")</f>
        <v>Готово к передаче</v>
      </c>
      <c r="T231" s="24" t="str">
        <f aca="false">IF(R231=0,"",_xlfn.TEXTJOIN("; ",TRUE(),K231:Q231))</f>
        <v/>
      </c>
      <c r="U231" s="24" t="str">
        <f aca="false">IF(R231=0,"","Здравствуйте! В данных организации «"&amp;B231&amp;"» обнаружены ошибки: "&amp;T231&amp;". Просим проверить и прислать исправленную информацию.")</f>
        <v/>
      </c>
      <c r="V231" s="21" t="str">
        <f aca="false">IF(R231&gt;0,COUNTIF($R$2:R231,"&gt;0"),"")</f>
        <v/>
      </c>
      <c r="W231" s="21" t="n">
        <f aca="false">IF(R231=0,COUNTIF($R$2:R231,0),"")</f>
        <v>152</v>
      </c>
    </row>
    <row r="232" customFormat="false" ht="15" hidden="false" customHeight="false" outlineLevel="0" collapsed="false">
      <c r="A232" s="21" t="n">
        <v>231</v>
      </c>
      <c r="B232" s="22" t="s">
        <v>1892</v>
      </c>
      <c r="C232" s="23" t="s">
        <v>1893</v>
      </c>
      <c r="D232" s="23" t="s">
        <v>1894</v>
      </c>
      <c r="E232" s="23" t="s">
        <v>1895</v>
      </c>
      <c r="F232" s="22" t="s">
        <v>1896</v>
      </c>
      <c r="G232" s="22" t="s">
        <v>1897</v>
      </c>
      <c r="H232" s="22" t="s">
        <v>1898</v>
      </c>
      <c r="I232" s="23" t="s">
        <v>1899</v>
      </c>
      <c r="J232" s="24" t="str">
        <f aca="false">IFERROR(VLOOKUP(VALUE(LEFT(C232,2)),Справочники!$A$2:$B$16,2,FALSE()),"не определён")</f>
        <v>Свердловская область</v>
      </c>
      <c r="K232" s="24" t="str">
        <f aca="false">IF(TRIM(C232)="","ИНН не указан",IF(LEN(C232)&lt;&gt;10,"ИНН: должно быть 10 цифр",IF(NOT(ISNUMBER(IFERROR(VALUE(C232),"x"))),"ИНН: есть нецифровые символы",IF(MOD(MOD(SUMPRODUCT(--MID(C232,{1,2,3,4,5,6,7,8,9},1),{2,4,10,3,5,9,4,6,8}),11),10)=VALUE(RIGHT(C232,1)),"","ИНН: неверная контрольная цифра"))))</f>
        <v/>
      </c>
      <c r="L232" s="24" t="str">
        <f aca="false">IF(TRIM(D232)="","ОГРН не указан",IF(LEN(D232)&lt;&gt;13,"ОГРН: должно быть 13 цифр",IF(NOT(ISNUMBER(IFERROR(VALUE(D232),"x"))),"ОГРН: есть нецифровые символы",IF(MOD(VALUE(LEFT(D232,12))-11*INT(VALUE(LEFT(D232,12))/11),10)=VALUE(RIGHT(D232,1)),"","ОГРН: неверная контрольная цифра"))))</f>
        <v/>
      </c>
      <c r="M232" s="24" t="str">
        <f aca="false">IF(TRIM(E232)="","КПП не указан",IF(LEN(E232)&lt;&gt;9,"КПП: должно быть 9 знаков",IF(NOT(AND(ISNUMBER(IFERROR(VALUE(LEFT(E232,4)),"x")),ISNUMBER(IFERROR(VALUE(RIGHT(E232,3)),"x")))),"КПП: неверный формат",IF(LEFT(E232,2)&lt;&gt;LEFT(C232,2),"КПП: код региона не совпадает с ИНН",""))))</f>
        <v/>
      </c>
      <c r="N232" s="24" t="str">
        <f aca="false">IF(TRIM(C232)="","",IF(COUNTIF($C$2:$C$401,C232)&gt;1,"Дубликат ИНН в реестре",""))</f>
        <v/>
      </c>
      <c r="O232" s="24" t="str">
        <f aca="false">IF(TRIM(H232)="","Email не указан",IF(AND(ISNUMBER(FIND("@",H232)),ISNUMBER(FIND(".",H232,IFERROR(FIND("@",H232),1))),ISERROR(FIND(" ",H232)),LEFT(H232,1)&lt;&gt;"@",RIGHT(H232,1)&lt;&gt;".",LEN(H232)-LEN(SUBSTITUTE(H232,"@",""))=1),"","Email: неверный формат"))</f>
        <v/>
      </c>
      <c r="P232" s="24" t="str">
        <f aca="false">IF(TRIM(I232)="","Телефон не указан",IF(AND(LEN(SUBSTITUTE(SUBSTITUTE(SUBSTITUTE(SUBSTITUTE(SUBSTITUTE(I232," ",""),"-",""),"(",""),")",""),"+",""))=11,OR(LEFT(SUBSTITUTE(SUBSTITUTE(SUBSTITUTE(SUBSTITUTE(SUBSTITUTE(I232," ",""),"-",""),"(",""),")",""),"+",""),1)="7",LEFT(SUBSTITUTE(SUBSTITUTE(SUBSTITUTE(SUBSTITUTE(SUBSTITUTE(I232," ",""),"-",""),"(",""),")",""),"+",""),1)="8"),ISNUMBER(IFERROR(VALUE(SUBSTITUTE(SUBSTITUTE(SUBSTITUTE(SUBSTITUTE(SUBSTITUTE(I232," ",""),"-",""),"(",""),")",""),"+","")),"x"))),"","Телефон: неверный формат"))</f>
        <v/>
      </c>
      <c r="Q232" s="24" t="str">
        <f aca="false">TRIM(IF(TRIM(B232)="","Нет наименования. ","")&amp;IF(TRIM(F232)="","Нет адреса. ","")&amp;IF(TRIM(G232)="","Нет контактного лица.",""))</f>
        <v/>
      </c>
      <c r="R232" s="21" t="n">
        <f aca="false">SUMPRODUCT(--(LEN(K232:Q232)&gt;0))</f>
        <v>0</v>
      </c>
      <c r="S232" s="24" t="str">
        <f aca="false">IF(R232=0,"Готово к передаче","Требует исправления")</f>
        <v>Готово к передаче</v>
      </c>
      <c r="T232" s="24" t="str">
        <f aca="false">IF(R232=0,"",_xlfn.TEXTJOIN("; ",TRUE(),K232:Q232))</f>
        <v/>
      </c>
      <c r="U232" s="24" t="str">
        <f aca="false">IF(R232=0,"","Здравствуйте! В данных организации «"&amp;B232&amp;"» обнаружены ошибки: "&amp;T232&amp;". Просим проверить и прислать исправленную информацию.")</f>
        <v/>
      </c>
      <c r="V232" s="21" t="str">
        <f aca="false">IF(R232&gt;0,COUNTIF($R$2:R232,"&gt;0"),"")</f>
        <v/>
      </c>
      <c r="W232" s="21" t="n">
        <f aca="false">IF(R232=0,COUNTIF($R$2:R232,0),"")</f>
        <v>153</v>
      </c>
    </row>
    <row r="233" customFormat="false" ht="15" hidden="false" customHeight="false" outlineLevel="0" collapsed="false">
      <c r="A233" s="21" t="n">
        <v>232</v>
      </c>
      <c r="B233" s="22" t="s">
        <v>1900</v>
      </c>
      <c r="C233" s="23" t="s">
        <v>1901</v>
      </c>
      <c r="D233" s="23" t="s">
        <v>1902</v>
      </c>
      <c r="E233" s="23" t="s">
        <v>1903</v>
      </c>
      <c r="F233" s="22" t="s">
        <v>1904</v>
      </c>
      <c r="G233" s="22" t="s">
        <v>1905</v>
      </c>
      <c r="H233" s="22" t="s">
        <v>1906</v>
      </c>
      <c r="I233" s="23" t="s">
        <v>1907</v>
      </c>
      <c r="J233" s="24" t="str">
        <f aca="false">IFERROR(VLOOKUP(VALUE(LEFT(C233,2)),Справочники!$A$2:$B$16,2,FALSE()),"не определён")</f>
        <v>Республика Татарстан</v>
      </c>
      <c r="K233" s="24" t="str">
        <f aca="false">IF(TRIM(C233)="","ИНН не указан",IF(LEN(C233)&lt;&gt;10,"ИНН: должно быть 10 цифр",IF(NOT(ISNUMBER(IFERROR(VALUE(C233),"x"))),"ИНН: есть нецифровые символы",IF(MOD(MOD(SUMPRODUCT(--MID(C233,{1,2,3,4,5,6,7,8,9},1),{2,4,10,3,5,9,4,6,8}),11),10)=VALUE(RIGHT(C233,1)),"","ИНН: неверная контрольная цифра"))))</f>
        <v/>
      </c>
      <c r="L233" s="24" t="str">
        <f aca="false">IF(TRIM(D233)="","ОГРН не указан",IF(LEN(D233)&lt;&gt;13,"ОГРН: должно быть 13 цифр",IF(NOT(ISNUMBER(IFERROR(VALUE(D233),"x"))),"ОГРН: есть нецифровые символы",IF(MOD(VALUE(LEFT(D233,12))-11*INT(VALUE(LEFT(D233,12))/11),10)=VALUE(RIGHT(D233,1)),"","ОГРН: неверная контрольная цифра"))))</f>
        <v/>
      </c>
      <c r="M233" s="24" t="str">
        <f aca="false">IF(TRIM(E233)="","КПП не указан",IF(LEN(E233)&lt;&gt;9,"КПП: должно быть 9 знаков",IF(NOT(AND(ISNUMBER(IFERROR(VALUE(LEFT(E233,4)),"x")),ISNUMBER(IFERROR(VALUE(RIGHT(E233,3)),"x")))),"КПП: неверный формат",IF(LEFT(E233,2)&lt;&gt;LEFT(C233,2),"КПП: код региона не совпадает с ИНН",""))))</f>
        <v/>
      </c>
      <c r="N233" s="24" t="str">
        <f aca="false">IF(TRIM(C233)="","",IF(COUNTIF($C$2:$C$401,C233)&gt;1,"Дубликат ИНН в реестре",""))</f>
        <v/>
      </c>
      <c r="O233" s="24" t="str">
        <f aca="false">IF(TRIM(H233)="","Email не указан",IF(AND(ISNUMBER(FIND("@",H233)),ISNUMBER(FIND(".",H233,IFERROR(FIND("@",H233),1))),ISERROR(FIND(" ",H233)),LEFT(H233,1)&lt;&gt;"@",RIGHT(H233,1)&lt;&gt;".",LEN(H233)-LEN(SUBSTITUTE(H233,"@",""))=1),"","Email: неверный формат"))</f>
        <v/>
      </c>
      <c r="P233" s="24" t="str">
        <f aca="false">IF(TRIM(I233)="","Телефон не указан",IF(AND(LEN(SUBSTITUTE(SUBSTITUTE(SUBSTITUTE(SUBSTITUTE(SUBSTITUTE(I233," ",""),"-",""),"(",""),")",""),"+",""))=11,OR(LEFT(SUBSTITUTE(SUBSTITUTE(SUBSTITUTE(SUBSTITUTE(SUBSTITUTE(I233," ",""),"-",""),"(",""),")",""),"+",""),1)="7",LEFT(SUBSTITUTE(SUBSTITUTE(SUBSTITUTE(SUBSTITUTE(SUBSTITUTE(I233," ",""),"-",""),"(",""),")",""),"+",""),1)="8"),ISNUMBER(IFERROR(VALUE(SUBSTITUTE(SUBSTITUTE(SUBSTITUTE(SUBSTITUTE(SUBSTITUTE(I233," ",""),"-",""),"(",""),")",""),"+","")),"x"))),"","Телефон: неверный формат"))</f>
        <v/>
      </c>
      <c r="Q233" s="24" t="str">
        <f aca="false">TRIM(IF(TRIM(B233)="","Нет наименования. ","")&amp;IF(TRIM(F233)="","Нет адреса. ","")&amp;IF(TRIM(G233)="","Нет контактного лица.",""))</f>
        <v/>
      </c>
      <c r="R233" s="21" t="n">
        <f aca="false">SUMPRODUCT(--(LEN(K233:Q233)&gt;0))</f>
        <v>0</v>
      </c>
      <c r="S233" s="24" t="str">
        <f aca="false">IF(R233=0,"Готово к передаче","Требует исправления")</f>
        <v>Готово к передаче</v>
      </c>
      <c r="T233" s="24" t="str">
        <f aca="false">IF(R233=0,"",_xlfn.TEXTJOIN("; ",TRUE(),K233:Q233))</f>
        <v/>
      </c>
      <c r="U233" s="24" t="str">
        <f aca="false">IF(R233=0,"","Здравствуйте! В данных организации «"&amp;B233&amp;"» обнаружены ошибки: "&amp;T233&amp;". Просим проверить и прислать исправленную информацию.")</f>
        <v/>
      </c>
      <c r="V233" s="21" t="str">
        <f aca="false">IF(R233&gt;0,COUNTIF($R$2:R233,"&gt;0"),"")</f>
        <v/>
      </c>
      <c r="W233" s="21" t="n">
        <f aca="false">IF(R233=0,COUNTIF($R$2:R233,0),"")</f>
        <v>154</v>
      </c>
    </row>
    <row r="234" customFormat="false" ht="15" hidden="false" customHeight="false" outlineLevel="0" collapsed="false">
      <c r="A234" s="21" t="n">
        <v>233</v>
      </c>
      <c r="B234" s="22" t="s">
        <v>1908</v>
      </c>
      <c r="C234" s="23" t="s">
        <v>1909</v>
      </c>
      <c r="D234" s="23" t="s">
        <v>1910</v>
      </c>
      <c r="E234" s="23" t="s">
        <v>1911</v>
      </c>
      <c r="F234" s="22" t="s">
        <v>1912</v>
      </c>
      <c r="G234" s="22" t="s">
        <v>1913</v>
      </c>
      <c r="H234" s="22" t="s">
        <v>1914</v>
      </c>
      <c r="I234" s="23" t="s">
        <v>1915</v>
      </c>
      <c r="J234" s="24" t="str">
        <f aca="false">IFERROR(VLOOKUP(VALUE(LEFT(C234,2)),Справочники!$A$2:$B$16,2,FALSE()),"не определён")</f>
        <v>Республика Крым</v>
      </c>
      <c r="K234" s="24" t="str">
        <f aca="false">IF(TRIM(C234)="","ИНН не указан",IF(LEN(C234)&lt;&gt;10,"ИНН: должно быть 10 цифр",IF(NOT(ISNUMBER(IFERROR(VALUE(C234),"x"))),"ИНН: есть нецифровые символы",IF(MOD(MOD(SUMPRODUCT(--MID(C234,{1,2,3,4,5,6,7,8,9},1),{2,4,10,3,5,9,4,6,8}),11),10)=VALUE(RIGHT(C234,1)),"","ИНН: неверная контрольная цифра"))))</f>
        <v/>
      </c>
      <c r="L234" s="24" t="str">
        <f aca="false">IF(TRIM(D234)="","ОГРН не указан",IF(LEN(D234)&lt;&gt;13,"ОГРН: должно быть 13 цифр",IF(NOT(ISNUMBER(IFERROR(VALUE(D234),"x"))),"ОГРН: есть нецифровые символы",IF(MOD(VALUE(LEFT(D234,12))-11*INT(VALUE(LEFT(D234,12))/11),10)=VALUE(RIGHT(D234,1)),"","ОГРН: неверная контрольная цифра"))))</f>
        <v/>
      </c>
      <c r="M234" s="24" t="str">
        <f aca="false">IF(TRIM(E234)="","КПП не указан",IF(LEN(E234)&lt;&gt;9,"КПП: должно быть 9 знаков",IF(NOT(AND(ISNUMBER(IFERROR(VALUE(LEFT(E234,4)),"x")),ISNUMBER(IFERROR(VALUE(RIGHT(E234,3)),"x")))),"КПП: неверный формат",IF(LEFT(E234,2)&lt;&gt;LEFT(C234,2),"КПП: код региона не совпадает с ИНН",""))))</f>
        <v/>
      </c>
      <c r="N234" s="24" t="str">
        <f aca="false">IF(TRIM(C234)="","",IF(COUNTIF($C$2:$C$401,C234)&gt;1,"Дубликат ИНН в реестре",""))</f>
        <v>Дубликат ИНН в реестре</v>
      </c>
      <c r="O234" s="24" t="str">
        <f aca="false">IF(TRIM(H234)="","Email не указан",IF(AND(ISNUMBER(FIND("@",H234)),ISNUMBER(FIND(".",H234,IFERROR(FIND("@",H234),1))),ISERROR(FIND(" ",H234)),LEFT(H234,1)&lt;&gt;"@",RIGHT(H234,1)&lt;&gt;".",LEN(H234)-LEN(SUBSTITUTE(H234,"@",""))=1),"","Email: неверный формат"))</f>
        <v/>
      </c>
      <c r="P234" s="24" t="str">
        <f aca="false">IF(TRIM(I234)="","Телефон не указан",IF(AND(LEN(SUBSTITUTE(SUBSTITUTE(SUBSTITUTE(SUBSTITUTE(SUBSTITUTE(I234," ",""),"-",""),"(",""),")",""),"+",""))=11,OR(LEFT(SUBSTITUTE(SUBSTITUTE(SUBSTITUTE(SUBSTITUTE(SUBSTITUTE(I234," ",""),"-",""),"(",""),")",""),"+",""),1)="7",LEFT(SUBSTITUTE(SUBSTITUTE(SUBSTITUTE(SUBSTITUTE(SUBSTITUTE(I234," ",""),"-",""),"(",""),")",""),"+",""),1)="8"),ISNUMBER(IFERROR(VALUE(SUBSTITUTE(SUBSTITUTE(SUBSTITUTE(SUBSTITUTE(SUBSTITUTE(I234," ",""),"-",""),"(",""),")",""),"+","")),"x"))),"","Телефон: неверный формат"))</f>
        <v/>
      </c>
      <c r="Q234" s="24" t="str">
        <f aca="false">TRIM(IF(TRIM(B234)="","Нет наименования. ","")&amp;IF(TRIM(F234)="","Нет адреса. ","")&amp;IF(TRIM(G234)="","Нет контактного лица.",""))</f>
        <v/>
      </c>
      <c r="R234" s="21" t="n">
        <f aca="false">SUMPRODUCT(--(LEN(K234:Q234)&gt;0))</f>
        <v>1</v>
      </c>
      <c r="S234" s="24" t="str">
        <f aca="false">IF(R234=0,"Готово к передаче","Требует исправления")</f>
        <v>Требует исправления</v>
      </c>
      <c r="T234" s="24" t="str">
        <f aca="false">IF(R234=0,"",_xlfn.TEXTJOIN("; ",TRUE(),K234:Q234))</f>
        <v>Дубликат ИНН в реестре</v>
      </c>
      <c r="U234" s="24" t="str">
        <f aca="false">IF(R234=0,"","Здравствуйте! В данных организации «"&amp;B234&amp;"» обнаружены ошибки: "&amp;T234&amp;". Просим проверить и прислать исправленную информацию.")</f>
        <v>Здравствуйте! В данных организации «ООО «Вектор Софт»» обнаружены ошибки: Дубликат ИНН в реестре. Просим проверить и прислать исправленную информацию.</v>
      </c>
      <c r="V234" s="21" t="n">
        <f aca="false">IF(R234&gt;0,COUNTIF($R$2:R234,"&gt;0"),"")</f>
        <v>79</v>
      </c>
      <c r="W234" s="21" t="str">
        <f aca="false">IF(R234=0,COUNTIF($R$2:R234,0),"")</f>
        <v/>
      </c>
    </row>
    <row r="235" customFormat="false" ht="15" hidden="false" customHeight="false" outlineLevel="0" collapsed="false">
      <c r="A235" s="21" t="n">
        <v>234</v>
      </c>
      <c r="B235" s="22" t="s">
        <v>1916</v>
      </c>
      <c r="C235" s="23" t="s">
        <v>1917</v>
      </c>
      <c r="D235" s="23" t="s">
        <v>1918</v>
      </c>
      <c r="E235" s="23" t="s">
        <v>1919</v>
      </c>
      <c r="F235" s="22" t="s">
        <v>1920</v>
      </c>
      <c r="G235" s="22" t="s">
        <v>1921</v>
      </c>
      <c r="H235" s="22" t="s">
        <v>1922</v>
      </c>
      <c r="I235" s="23" t="s">
        <v>1923</v>
      </c>
      <c r="J235" s="24" t="str">
        <f aca="false">IFERROR(VLOOKUP(VALUE(LEFT(C235,2)),Справочники!$A$2:$B$16,2,FALSE()),"не определён")</f>
        <v>Республика Башкортостан</v>
      </c>
      <c r="K235" s="24" t="str">
        <f aca="false">IF(TRIM(C235)="","ИНН не указан",IF(LEN(C235)&lt;&gt;10,"ИНН: должно быть 10 цифр",IF(NOT(ISNUMBER(IFERROR(VALUE(C235),"x"))),"ИНН: есть нецифровые символы",IF(MOD(MOD(SUMPRODUCT(--MID(C235,{1,2,3,4,5,6,7,8,9},1),{2,4,10,3,5,9,4,6,8}),11),10)=VALUE(RIGHT(C235,1)),"","ИНН: неверная контрольная цифра"))))</f>
        <v/>
      </c>
      <c r="L235" s="24" t="str">
        <f aca="false">IF(TRIM(D235)="","ОГРН не указан",IF(LEN(D235)&lt;&gt;13,"ОГРН: должно быть 13 цифр",IF(NOT(ISNUMBER(IFERROR(VALUE(D235),"x"))),"ОГРН: есть нецифровые символы",IF(MOD(VALUE(LEFT(D235,12))-11*INT(VALUE(LEFT(D235,12))/11),10)=VALUE(RIGHT(D235,1)),"","ОГРН: неверная контрольная цифра"))))</f>
        <v/>
      </c>
      <c r="M235" s="24" t="str">
        <f aca="false">IF(TRIM(E235)="","КПП не указан",IF(LEN(E235)&lt;&gt;9,"КПП: должно быть 9 знаков",IF(NOT(AND(ISNUMBER(IFERROR(VALUE(LEFT(E235,4)),"x")),ISNUMBER(IFERROR(VALUE(RIGHT(E235,3)),"x")))),"КПП: неверный формат",IF(LEFT(E235,2)&lt;&gt;LEFT(C235,2),"КПП: код региона не совпадает с ИНН",""))))</f>
        <v/>
      </c>
      <c r="N235" s="24" t="str">
        <f aca="false">IF(TRIM(C235)="","",IF(COUNTIF($C$2:$C$401,C235)&gt;1,"Дубликат ИНН в реестре",""))</f>
        <v/>
      </c>
      <c r="O235" s="24" t="str">
        <f aca="false">IF(TRIM(H235)="","Email не указан",IF(AND(ISNUMBER(FIND("@",H235)),ISNUMBER(FIND(".",H235,IFERROR(FIND("@",H235),1))),ISERROR(FIND(" ",H235)),LEFT(H235,1)&lt;&gt;"@",RIGHT(H235,1)&lt;&gt;".",LEN(H235)-LEN(SUBSTITUTE(H235,"@",""))=1),"","Email: неверный формат"))</f>
        <v/>
      </c>
      <c r="P235" s="24" t="str">
        <f aca="false">IF(TRIM(I235)="","Телефон не указан",IF(AND(LEN(SUBSTITUTE(SUBSTITUTE(SUBSTITUTE(SUBSTITUTE(SUBSTITUTE(I235," ",""),"-",""),"(",""),")",""),"+",""))=11,OR(LEFT(SUBSTITUTE(SUBSTITUTE(SUBSTITUTE(SUBSTITUTE(SUBSTITUTE(I235," ",""),"-",""),"(",""),")",""),"+",""),1)="7",LEFT(SUBSTITUTE(SUBSTITUTE(SUBSTITUTE(SUBSTITUTE(SUBSTITUTE(I235," ",""),"-",""),"(",""),")",""),"+",""),1)="8"),ISNUMBER(IFERROR(VALUE(SUBSTITUTE(SUBSTITUTE(SUBSTITUTE(SUBSTITUTE(SUBSTITUTE(I235," ",""),"-",""),"(",""),")",""),"+","")),"x"))),"","Телефон: неверный формат"))</f>
        <v/>
      </c>
      <c r="Q235" s="24" t="str">
        <f aca="false">TRIM(IF(TRIM(B235)="","Нет наименования. ","")&amp;IF(TRIM(F235)="","Нет адреса. ","")&amp;IF(TRIM(G235)="","Нет контактного лица.",""))</f>
        <v/>
      </c>
      <c r="R235" s="21" t="n">
        <f aca="false">SUMPRODUCT(--(LEN(K235:Q235)&gt;0))</f>
        <v>0</v>
      </c>
      <c r="S235" s="24" t="str">
        <f aca="false">IF(R235=0,"Готово к передаче","Требует исправления")</f>
        <v>Готово к передаче</v>
      </c>
      <c r="T235" s="24" t="str">
        <f aca="false">IF(R235=0,"",_xlfn.TEXTJOIN("; ",TRUE(),K235:Q235))</f>
        <v/>
      </c>
      <c r="U235" s="24" t="str">
        <f aca="false">IF(R235=0,"","Здравствуйте! В данных организации «"&amp;B235&amp;"» обнаружены ошибки: "&amp;T235&amp;". Просим проверить и прислать исправленную информацию.")</f>
        <v/>
      </c>
      <c r="V235" s="21" t="str">
        <f aca="false">IF(R235&gt;0,COUNTIF($R$2:R235,"&gt;0"),"")</f>
        <v/>
      </c>
      <c r="W235" s="21" t="n">
        <f aca="false">IF(R235=0,COUNTIF($R$2:R235,0),"")</f>
        <v>155</v>
      </c>
    </row>
    <row r="236" customFormat="false" ht="15" hidden="false" customHeight="false" outlineLevel="0" collapsed="false">
      <c r="A236" s="21" t="n">
        <v>235</v>
      </c>
      <c r="B236" s="22" t="s">
        <v>1924</v>
      </c>
      <c r="C236" s="23" t="s">
        <v>1925</v>
      </c>
      <c r="D236" s="23" t="s">
        <v>1926</v>
      </c>
      <c r="E236" s="23" t="s">
        <v>1927</v>
      </c>
      <c r="F236" s="22" t="s">
        <v>1928</v>
      </c>
      <c r="G236" s="22" t="s">
        <v>1929</v>
      </c>
      <c r="H236" s="22" t="s">
        <v>1930</v>
      </c>
      <c r="I236" s="23" t="s">
        <v>1931</v>
      </c>
      <c r="J236" s="24" t="str">
        <f aca="false">IFERROR(VLOOKUP(VALUE(LEFT(C236,2)),Справочники!$A$2:$B$16,2,FALSE()),"не определён")</f>
        <v>Новосибирская область</v>
      </c>
      <c r="K236" s="24" t="str">
        <f aca="false">IF(TRIM(C236)="","ИНН не указан",IF(LEN(C236)&lt;&gt;10,"ИНН: должно быть 10 цифр",IF(NOT(ISNUMBER(IFERROR(VALUE(C236),"x"))),"ИНН: есть нецифровые символы",IF(MOD(MOD(SUMPRODUCT(--MID(C236,{1,2,3,4,5,6,7,8,9},1),{2,4,10,3,5,9,4,6,8}),11),10)=VALUE(RIGHT(C236,1)),"","ИНН: неверная контрольная цифра"))))</f>
        <v/>
      </c>
      <c r="L236" s="24" t="str">
        <f aca="false">IF(TRIM(D236)="","ОГРН не указан",IF(LEN(D236)&lt;&gt;13,"ОГРН: должно быть 13 цифр",IF(NOT(ISNUMBER(IFERROR(VALUE(D236),"x"))),"ОГРН: есть нецифровые символы",IF(MOD(VALUE(LEFT(D236,12))-11*INT(VALUE(LEFT(D236,12))/11),10)=VALUE(RIGHT(D236,1)),"","ОГРН: неверная контрольная цифра"))))</f>
        <v/>
      </c>
      <c r="M236" s="24" t="str">
        <f aca="false">IF(TRIM(E236)="","КПП не указан",IF(LEN(E236)&lt;&gt;9,"КПП: должно быть 9 знаков",IF(NOT(AND(ISNUMBER(IFERROR(VALUE(LEFT(E236,4)),"x")),ISNUMBER(IFERROR(VALUE(RIGHT(E236,3)),"x")))),"КПП: неверный формат",IF(LEFT(E236,2)&lt;&gt;LEFT(C236,2),"КПП: код региона не совпадает с ИНН",""))))</f>
        <v/>
      </c>
      <c r="N236" s="24" t="str">
        <f aca="false">IF(TRIM(C236)="","",IF(COUNTIF($C$2:$C$401,C236)&gt;1,"Дубликат ИНН в реестре",""))</f>
        <v/>
      </c>
      <c r="O236" s="24" t="str">
        <f aca="false">IF(TRIM(H236)="","Email не указан",IF(AND(ISNUMBER(FIND("@",H236)),ISNUMBER(FIND(".",H236,IFERROR(FIND("@",H236),1))),ISERROR(FIND(" ",H236)),LEFT(H236,1)&lt;&gt;"@",RIGHT(H236,1)&lt;&gt;".",LEN(H236)-LEN(SUBSTITUTE(H236,"@",""))=1),"","Email: неверный формат"))</f>
        <v/>
      </c>
      <c r="P236" s="24" t="str">
        <f aca="false">IF(TRIM(I236)="","Телефон не указан",IF(AND(LEN(SUBSTITUTE(SUBSTITUTE(SUBSTITUTE(SUBSTITUTE(SUBSTITUTE(I236," ",""),"-",""),"(",""),")",""),"+",""))=11,OR(LEFT(SUBSTITUTE(SUBSTITUTE(SUBSTITUTE(SUBSTITUTE(SUBSTITUTE(I236," ",""),"-",""),"(",""),")",""),"+",""),1)="7",LEFT(SUBSTITUTE(SUBSTITUTE(SUBSTITUTE(SUBSTITUTE(SUBSTITUTE(I236," ",""),"-",""),"(",""),")",""),"+",""),1)="8"),ISNUMBER(IFERROR(VALUE(SUBSTITUTE(SUBSTITUTE(SUBSTITUTE(SUBSTITUTE(SUBSTITUTE(I236," ",""),"-",""),"(",""),")",""),"+","")),"x"))),"","Телефон: неверный формат"))</f>
        <v/>
      </c>
      <c r="Q236" s="24" t="str">
        <f aca="false">TRIM(IF(TRIM(B236)="","Нет наименования. ","")&amp;IF(TRIM(F236)="","Нет адреса. ","")&amp;IF(TRIM(G236)="","Нет контактного лица.",""))</f>
        <v/>
      </c>
      <c r="R236" s="21" t="n">
        <f aca="false">SUMPRODUCT(--(LEN(K236:Q236)&gt;0))</f>
        <v>0</v>
      </c>
      <c r="S236" s="24" t="str">
        <f aca="false">IF(R236=0,"Готово к передаче","Требует исправления")</f>
        <v>Готово к передаче</v>
      </c>
      <c r="T236" s="24" t="str">
        <f aca="false">IF(R236=0,"",_xlfn.TEXTJOIN("; ",TRUE(),K236:Q236))</f>
        <v/>
      </c>
      <c r="U236" s="24" t="str">
        <f aca="false">IF(R236=0,"","Здравствуйте! В данных организации «"&amp;B236&amp;"» обнаружены ошибки: "&amp;T236&amp;". Просим проверить и прислать исправленную информацию.")</f>
        <v/>
      </c>
      <c r="V236" s="21" t="str">
        <f aca="false">IF(R236&gt;0,COUNTIF($R$2:R236,"&gt;0"),"")</f>
        <v/>
      </c>
      <c r="W236" s="21" t="n">
        <f aca="false">IF(R236=0,COUNTIF($R$2:R236,0),"")</f>
        <v>156</v>
      </c>
    </row>
    <row r="237" customFormat="false" ht="15" hidden="false" customHeight="false" outlineLevel="0" collapsed="false">
      <c r="A237" s="21" t="n">
        <v>236</v>
      </c>
      <c r="B237" s="22" t="s">
        <v>1932</v>
      </c>
      <c r="C237" s="23" t="s">
        <v>1933</v>
      </c>
      <c r="D237" s="23" t="s">
        <v>1934</v>
      </c>
      <c r="E237" s="23" t="s">
        <v>1935</v>
      </c>
      <c r="F237" s="22" t="s">
        <v>1936</v>
      </c>
      <c r="G237" s="22" t="s">
        <v>1937</v>
      </c>
      <c r="H237" s="22" t="s">
        <v>1938</v>
      </c>
      <c r="I237" s="23" t="s">
        <v>1939</v>
      </c>
      <c r="J237" s="24" t="str">
        <f aca="false">IFERROR(VLOOKUP(VALUE(LEFT(C237,2)),Справочники!$A$2:$B$16,2,FALSE()),"не определён")</f>
        <v>Республика Крым</v>
      </c>
      <c r="K237" s="24" t="str">
        <f aca="false">IF(TRIM(C237)="","ИНН не указан",IF(LEN(C237)&lt;&gt;10,"ИНН: должно быть 10 цифр",IF(NOT(ISNUMBER(IFERROR(VALUE(C237),"x"))),"ИНН: есть нецифровые символы",IF(MOD(MOD(SUMPRODUCT(--MID(C237,{1,2,3,4,5,6,7,8,9},1),{2,4,10,3,5,9,4,6,8}),11),10)=VALUE(RIGHT(C237,1)),"","ИНН: неверная контрольная цифра"))))</f>
        <v/>
      </c>
      <c r="L237" s="24" t="str">
        <f aca="false">IF(TRIM(D237)="","ОГРН не указан",IF(LEN(D237)&lt;&gt;13,"ОГРН: должно быть 13 цифр",IF(NOT(ISNUMBER(IFERROR(VALUE(D237),"x"))),"ОГРН: есть нецифровые символы",IF(MOD(VALUE(LEFT(D237,12))-11*INT(VALUE(LEFT(D237,12))/11),10)=VALUE(RIGHT(D237,1)),"","ОГРН: неверная контрольная цифра"))))</f>
        <v/>
      </c>
      <c r="M237" s="24" t="str">
        <f aca="false">IF(TRIM(E237)="","КПП не указан",IF(LEN(E237)&lt;&gt;9,"КПП: должно быть 9 знаков",IF(NOT(AND(ISNUMBER(IFERROR(VALUE(LEFT(E237,4)),"x")),ISNUMBER(IFERROR(VALUE(RIGHT(E237,3)),"x")))),"КПП: неверный формат",IF(LEFT(E237,2)&lt;&gt;LEFT(C237,2),"КПП: код региона не совпадает с ИНН",""))))</f>
        <v/>
      </c>
      <c r="N237" s="24" t="str">
        <f aca="false">IF(TRIM(C237)="","",IF(COUNTIF($C$2:$C$401,C237)&gt;1,"Дубликат ИНН в реестре",""))</f>
        <v/>
      </c>
      <c r="O237" s="24" t="str">
        <f aca="false">IF(TRIM(H237)="","Email не указан",IF(AND(ISNUMBER(FIND("@",H237)),ISNUMBER(FIND(".",H237,IFERROR(FIND("@",H237),1))),ISERROR(FIND(" ",H237)),LEFT(H237,1)&lt;&gt;"@",RIGHT(H237,1)&lt;&gt;".",LEN(H237)-LEN(SUBSTITUTE(H237,"@",""))=1),"","Email: неверный формат"))</f>
        <v/>
      </c>
      <c r="P237" s="24" t="str">
        <f aca="false">IF(TRIM(I237)="","Телефон не указан",IF(AND(LEN(SUBSTITUTE(SUBSTITUTE(SUBSTITUTE(SUBSTITUTE(SUBSTITUTE(I237," ",""),"-",""),"(",""),")",""),"+",""))=11,OR(LEFT(SUBSTITUTE(SUBSTITUTE(SUBSTITUTE(SUBSTITUTE(SUBSTITUTE(I237," ",""),"-",""),"(",""),")",""),"+",""),1)="7",LEFT(SUBSTITUTE(SUBSTITUTE(SUBSTITUTE(SUBSTITUTE(SUBSTITUTE(I237," ",""),"-",""),"(",""),")",""),"+",""),1)="8"),ISNUMBER(IFERROR(VALUE(SUBSTITUTE(SUBSTITUTE(SUBSTITUTE(SUBSTITUTE(SUBSTITUTE(I237," ",""),"-",""),"(",""),")",""),"+","")),"x"))),"","Телефон: неверный формат"))</f>
        <v/>
      </c>
      <c r="Q237" s="24" t="str">
        <f aca="false">TRIM(IF(TRIM(B237)="","Нет наименования. ","")&amp;IF(TRIM(F237)="","Нет адреса. ","")&amp;IF(TRIM(G237)="","Нет контактного лица.",""))</f>
        <v/>
      </c>
      <c r="R237" s="21" t="n">
        <f aca="false">SUMPRODUCT(--(LEN(K237:Q237)&gt;0))</f>
        <v>0</v>
      </c>
      <c r="S237" s="24" t="str">
        <f aca="false">IF(R237=0,"Готово к передаче","Требует исправления")</f>
        <v>Готово к передаче</v>
      </c>
      <c r="T237" s="24" t="str">
        <f aca="false">IF(R237=0,"",_xlfn.TEXTJOIN("; ",TRUE(),K237:Q237))</f>
        <v/>
      </c>
      <c r="U237" s="24" t="str">
        <f aca="false">IF(R237=0,"","Здравствуйте! В данных организации «"&amp;B237&amp;"» обнаружены ошибки: "&amp;T237&amp;". Просим проверить и прислать исправленную информацию.")</f>
        <v/>
      </c>
      <c r="V237" s="21" t="str">
        <f aca="false">IF(R237&gt;0,COUNTIF($R$2:R237,"&gt;0"),"")</f>
        <v/>
      </c>
      <c r="W237" s="21" t="n">
        <f aca="false">IF(R237=0,COUNTIF($R$2:R237,0),"")</f>
        <v>157</v>
      </c>
    </row>
    <row r="238" customFormat="false" ht="15" hidden="false" customHeight="false" outlineLevel="0" collapsed="false">
      <c r="A238" s="21" t="n">
        <v>237</v>
      </c>
      <c r="B238" s="22" t="s">
        <v>1940</v>
      </c>
      <c r="C238" s="23" t="s">
        <v>1941</v>
      </c>
      <c r="D238" s="23" t="s">
        <v>1942</v>
      </c>
      <c r="E238" s="23" t="s">
        <v>1943</v>
      </c>
      <c r="F238" s="22" t="s">
        <v>1944</v>
      </c>
      <c r="G238" s="22" t="s">
        <v>742</v>
      </c>
      <c r="H238" s="22" t="s">
        <v>1945</v>
      </c>
      <c r="I238" s="23" t="s">
        <v>1946</v>
      </c>
      <c r="J238" s="24" t="str">
        <f aca="false">IFERROR(VLOOKUP(VALUE(LEFT(C238,2)),Справочники!$A$2:$B$16,2,FALSE()),"не определён")</f>
        <v>Республика Татарстан</v>
      </c>
      <c r="K238" s="24" t="str">
        <f aca="false">IF(TRIM(C238)="","ИНН не указан",IF(LEN(C238)&lt;&gt;10,"ИНН: должно быть 10 цифр",IF(NOT(ISNUMBER(IFERROR(VALUE(C238),"x"))),"ИНН: есть нецифровые символы",IF(MOD(MOD(SUMPRODUCT(--MID(C238,{1,2,3,4,5,6,7,8,9},1),{2,4,10,3,5,9,4,6,8}),11),10)=VALUE(RIGHT(C238,1)),"","ИНН: неверная контрольная цифра"))))</f>
        <v/>
      </c>
      <c r="L238" s="24" t="str">
        <f aca="false">IF(TRIM(D238)="","ОГРН не указан",IF(LEN(D238)&lt;&gt;13,"ОГРН: должно быть 13 цифр",IF(NOT(ISNUMBER(IFERROR(VALUE(D238),"x"))),"ОГРН: есть нецифровые символы",IF(MOD(VALUE(LEFT(D238,12))-11*INT(VALUE(LEFT(D238,12))/11),10)=VALUE(RIGHT(D238,1)),"","ОГРН: неверная контрольная цифра"))))</f>
        <v/>
      </c>
      <c r="M238" s="24" t="str">
        <f aca="false">IF(TRIM(E238)="","КПП не указан",IF(LEN(E238)&lt;&gt;9,"КПП: должно быть 9 знаков",IF(NOT(AND(ISNUMBER(IFERROR(VALUE(LEFT(E238,4)),"x")),ISNUMBER(IFERROR(VALUE(RIGHT(E238,3)),"x")))),"КПП: неверный формат",IF(LEFT(E238,2)&lt;&gt;LEFT(C238,2),"КПП: код региона не совпадает с ИНН",""))))</f>
        <v/>
      </c>
      <c r="N238" s="24" t="str">
        <f aca="false">IF(TRIM(C238)="","",IF(COUNTIF($C$2:$C$401,C238)&gt;1,"Дубликат ИНН в реестре",""))</f>
        <v/>
      </c>
      <c r="O238" s="24" t="str">
        <f aca="false">IF(TRIM(H238)="","Email не указан",IF(AND(ISNUMBER(FIND("@",H238)),ISNUMBER(FIND(".",H238,IFERROR(FIND("@",H238),1))),ISERROR(FIND(" ",H238)),LEFT(H238,1)&lt;&gt;"@",RIGHT(H238,1)&lt;&gt;".",LEN(H238)-LEN(SUBSTITUTE(H238,"@",""))=1),"","Email: неверный формат"))</f>
        <v/>
      </c>
      <c r="P238" s="24" t="str">
        <f aca="false">IF(TRIM(I238)="","Телефон не указан",IF(AND(LEN(SUBSTITUTE(SUBSTITUTE(SUBSTITUTE(SUBSTITUTE(SUBSTITUTE(I238," ",""),"-",""),"(",""),")",""),"+",""))=11,OR(LEFT(SUBSTITUTE(SUBSTITUTE(SUBSTITUTE(SUBSTITUTE(SUBSTITUTE(I238," ",""),"-",""),"(",""),")",""),"+",""),1)="7",LEFT(SUBSTITUTE(SUBSTITUTE(SUBSTITUTE(SUBSTITUTE(SUBSTITUTE(I238," ",""),"-",""),"(",""),")",""),"+",""),1)="8"),ISNUMBER(IFERROR(VALUE(SUBSTITUTE(SUBSTITUTE(SUBSTITUTE(SUBSTITUTE(SUBSTITUTE(I238," ",""),"-",""),"(",""),")",""),"+","")),"x"))),"","Телефон: неверный формат"))</f>
        <v/>
      </c>
      <c r="Q238" s="24" t="str">
        <f aca="false">TRIM(IF(TRIM(B238)="","Нет наименования. ","")&amp;IF(TRIM(F238)="","Нет адреса. ","")&amp;IF(TRIM(G238)="","Нет контактного лица.",""))</f>
        <v/>
      </c>
      <c r="R238" s="21" t="n">
        <f aca="false">SUMPRODUCT(--(LEN(K238:Q238)&gt;0))</f>
        <v>0</v>
      </c>
      <c r="S238" s="24" t="str">
        <f aca="false">IF(R238=0,"Готово к передаче","Требует исправления")</f>
        <v>Готово к передаче</v>
      </c>
      <c r="T238" s="24" t="str">
        <f aca="false">IF(R238=0,"",_xlfn.TEXTJOIN("; ",TRUE(),K238:Q238))</f>
        <v/>
      </c>
      <c r="U238" s="24" t="str">
        <f aca="false">IF(R238=0,"","Здравствуйте! В данных организации «"&amp;B238&amp;"» обнаружены ошибки: "&amp;T238&amp;". Просим проверить и прислать исправленную информацию.")</f>
        <v/>
      </c>
      <c r="V238" s="21" t="str">
        <f aca="false">IF(R238&gt;0,COUNTIF($R$2:R238,"&gt;0"),"")</f>
        <v/>
      </c>
      <c r="W238" s="21" t="n">
        <f aca="false">IF(R238=0,COUNTIF($R$2:R238,0),"")</f>
        <v>158</v>
      </c>
    </row>
    <row r="239" customFormat="false" ht="15" hidden="false" customHeight="false" outlineLevel="0" collapsed="false">
      <c r="A239" s="21" t="n">
        <v>238</v>
      </c>
      <c r="B239" s="22" t="s">
        <v>1947</v>
      </c>
      <c r="C239" s="23" t="s">
        <v>1948</v>
      </c>
      <c r="D239" s="23" t="s">
        <v>1949</v>
      </c>
      <c r="E239" s="23" t="s">
        <v>1164</v>
      </c>
      <c r="F239" s="22" t="s">
        <v>1950</v>
      </c>
      <c r="G239" s="22" t="s">
        <v>1951</v>
      </c>
      <c r="H239" s="22" t="s">
        <v>1952</v>
      </c>
      <c r="I239" s="23" t="s">
        <v>1953</v>
      </c>
      <c r="J239" s="24" t="str">
        <f aca="false">IFERROR(VLOOKUP(VALUE(LEFT(C239,2)),Справочники!$A$2:$B$16,2,FALSE()),"не определён")</f>
        <v>Республика Крым</v>
      </c>
      <c r="K239" s="24" t="str">
        <f aca="false">IF(TRIM(C239)="","ИНН не указан",IF(LEN(C239)&lt;&gt;10,"ИНН: должно быть 10 цифр",IF(NOT(ISNUMBER(IFERROR(VALUE(C239),"x"))),"ИНН: есть нецифровые символы",IF(MOD(MOD(SUMPRODUCT(--MID(C239,{1,2,3,4,5,6,7,8,9},1),{2,4,10,3,5,9,4,6,8}),11),10)=VALUE(RIGHT(C239,1)),"","ИНН: неверная контрольная цифра"))))</f>
        <v/>
      </c>
      <c r="L239" s="24" t="str">
        <f aca="false">IF(TRIM(D239)="","ОГРН не указан",IF(LEN(D239)&lt;&gt;13,"ОГРН: должно быть 13 цифр",IF(NOT(ISNUMBER(IFERROR(VALUE(D239),"x"))),"ОГРН: есть нецифровые символы",IF(MOD(VALUE(LEFT(D239,12))-11*INT(VALUE(LEFT(D239,12))/11),10)=VALUE(RIGHT(D239,1)),"","ОГРН: неверная контрольная цифра"))))</f>
        <v/>
      </c>
      <c r="M239" s="24" t="str">
        <f aca="false">IF(TRIM(E239)="","КПП не указан",IF(LEN(E239)&lt;&gt;9,"КПП: должно быть 9 знаков",IF(NOT(AND(ISNUMBER(IFERROR(VALUE(LEFT(E239,4)),"x")),ISNUMBER(IFERROR(VALUE(RIGHT(E239,3)),"x")))),"КПП: неверный формат",IF(LEFT(E239,2)&lt;&gt;LEFT(C239,2),"КПП: код региона не совпадает с ИНН",""))))</f>
        <v/>
      </c>
      <c r="N239" s="24" t="str">
        <f aca="false">IF(TRIM(C239)="","",IF(COUNTIF($C$2:$C$401,C239)&gt;1,"Дубликат ИНН в реестре",""))</f>
        <v/>
      </c>
      <c r="O239" s="24" t="str">
        <f aca="false">IF(TRIM(H239)="","Email не указан",IF(AND(ISNUMBER(FIND("@",H239)),ISNUMBER(FIND(".",H239,IFERROR(FIND("@",H239),1))),ISERROR(FIND(" ",H239)),LEFT(H239,1)&lt;&gt;"@",RIGHT(H239,1)&lt;&gt;".",LEN(H239)-LEN(SUBSTITUTE(H239,"@",""))=1),"","Email: неверный формат"))</f>
        <v/>
      </c>
      <c r="P239" s="24" t="str">
        <f aca="false">IF(TRIM(I239)="","Телефон не указан",IF(AND(LEN(SUBSTITUTE(SUBSTITUTE(SUBSTITUTE(SUBSTITUTE(SUBSTITUTE(I239," ",""),"-",""),"(",""),")",""),"+",""))=11,OR(LEFT(SUBSTITUTE(SUBSTITUTE(SUBSTITUTE(SUBSTITUTE(SUBSTITUTE(I239," ",""),"-",""),"(",""),")",""),"+",""),1)="7",LEFT(SUBSTITUTE(SUBSTITUTE(SUBSTITUTE(SUBSTITUTE(SUBSTITUTE(I239," ",""),"-",""),"(",""),")",""),"+",""),1)="8"),ISNUMBER(IFERROR(VALUE(SUBSTITUTE(SUBSTITUTE(SUBSTITUTE(SUBSTITUTE(SUBSTITUTE(I239," ",""),"-",""),"(",""),")",""),"+","")),"x"))),"","Телефон: неверный формат"))</f>
        <v/>
      </c>
      <c r="Q239" s="24" t="str">
        <f aca="false">TRIM(IF(TRIM(B239)="","Нет наименования. ","")&amp;IF(TRIM(F239)="","Нет адреса. ","")&amp;IF(TRIM(G239)="","Нет контактного лица.",""))</f>
        <v/>
      </c>
      <c r="R239" s="21" t="n">
        <f aca="false">SUMPRODUCT(--(LEN(K239:Q239)&gt;0))</f>
        <v>0</v>
      </c>
      <c r="S239" s="24" t="str">
        <f aca="false">IF(R239=0,"Готово к передаче","Требует исправления")</f>
        <v>Готово к передаче</v>
      </c>
      <c r="T239" s="24" t="str">
        <f aca="false">IF(R239=0,"",_xlfn.TEXTJOIN("; ",TRUE(),K239:Q239))</f>
        <v/>
      </c>
      <c r="U239" s="24" t="str">
        <f aca="false">IF(R239=0,"","Здравствуйте! В данных организации «"&amp;B239&amp;"» обнаружены ошибки: "&amp;T239&amp;". Просим проверить и прислать исправленную информацию.")</f>
        <v/>
      </c>
      <c r="V239" s="21" t="str">
        <f aca="false">IF(R239&gt;0,COUNTIF($R$2:R239,"&gt;0"),"")</f>
        <v/>
      </c>
      <c r="W239" s="21" t="n">
        <f aca="false">IF(R239=0,COUNTIF($R$2:R239,0),"")</f>
        <v>159</v>
      </c>
    </row>
    <row r="240" customFormat="false" ht="15" hidden="false" customHeight="false" outlineLevel="0" collapsed="false">
      <c r="A240" s="21" t="n">
        <v>239</v>
      </c>
      <c r="B240" s="22" t="s">
        <v>1954</v>
      </c>
      <c r="C240" s="23" t="s">
        <v>1955</v>
      </c>
      <c r="D240" s="23" t="s">
        <v>1956</v>
      </c>
      <c r="E240" s="23" t="s">
        <v>1957</v>
      </c>
      <c r="F240" s="22" t="s">
        <v>1958</v>
      </c>
      <c r="G240" s="22" t="s">
        <v>1959</v>
      </c>
      <c r="H240" s="22" t="s">
        <v>1960</v>
      </c>
      <c r="I240" s="23" t="s">
        <v>1961</v>
      </c>
      <c r="J240" s="24" t="str">
        <f aca="false">IFERROR(VLOOKUP(VALUE(LEFT(C240,2)),Справочники!$A$2:$B$16,2,FALSE()),"не определён")</f>
        <v>Красноярский край</v>
      </c>
      <c r="K240" s="24" t="str">
        <f aca="false">IF(TRIM(C240)="","ИНН не указан",IF(LEN(C240)&lt;&gt;10,"ИНН: должно быть 10 цифр",IF(NOT(ISNUMBER(IFERROR(VALUE(C240),"x"))),"ИНН: есть нецифровые символы",IF(MOD(MOD(SUMPRODUCT(--MID(C240,{1,2,3,4,5,6,7,8,9},1),{2,4,10,3,5,9,4,6,8}),11),10)=VALUE(RIGHT(C240,1)),"","ИНН: неверная контрольная цифра"))))</f>
        <v/>
      </c>
      <c r="L240" s="24" t="str">
        <f aca="false">IF(TRIM(D240)="","ОГРН не указан",IF(LEN(D240)&lt;&gt;13,"ОГРН: должно быть 13 цифр",IF(NOT(ISNUMBER(IFERROR(VALUE(D240),"x"))),"ОГРН: есть нецифровые символы",IF(MOD(VALUE(LEFT(D240,12))-11*INT(VALUE(LEFT(D240,12))/11),10)=VALUE(RIGHT(D240,1)),"","ОГРН: неверная контрольная цифра"))))</f>
        <v/>
      </c>
      <c r="M240" s="24" t="str">
        <f aca="false">IF(TRIM(E240)="","КПП не указан",IF(LEN(E240)&lt;&gt;9,"КПП: должно быть 9 знаков",IF(NOT(AND(ISNUMBER(IFERROR(VALUE(LEFT(E240,4)),"x")),ISNUMBER(IFERROR(VALUE(RIGHT(E240,3)),"x")))),"КПП: неверный формат",IF(LEFT(E240,2)&lt;&gt;LEFT(C240,2),"КПП: код региона не совпадает с ИНН",""))))</f>
        <v/>
      </c>
      <c r="N240" s="24" t="str">
        <f aca="false">IF(TRIM(C240)="","",IF(COUNTIF($C$2:$C$401,C240)&gt;1,"Дубликат ИНН в реестре",""))</f>
        <v/>
      </c>
      <c r="O240" s="24" t="str">
        <f aca="false">IF(TRIM(H240)="","Email не указан",IF(AND(ISNUMBER(FIND("@",H240)),ISNUMBER(FIND(".",H240,IFERROR(FIND("@",H240),1))),ISERROR(FIND(" ",H240)),LEFT(H240,1)&lt;&gt;"@",RIGHT(H240,1)&lt;&gt;".",LEN(H240)-LEN(SUBSTITUTE(H240,"@",""))=1),"","Email: неверный формат"))</f>
        <v/>
      </c>
      <c r="P240" s="24" t="str">
        <f aca="false">IF(TRIM(I240)="","Телефон не указан",IF(AND(LEN(SUBSTITUTE(SUBSTITUTE(SUBSTITUTE(SUBSTITUTE(SUBSTITUTE(I240," ",""),"-",""),"(",""),")",""),"+",""))=11,OR(LEFT(SUBSTITUTE(SUBSTITUTE(SUBSTITUTE(SUBSTITUTE(SUBSTITUTE(I240," ",""),"-",""),"(",""),")",""),"+",""),1)="7",LEFT(SUBSTITUTE(SUBSTITUTE(SUBSTITUTE(SUBSTITUTE(SUBSTITUTE(I240," ",""),"-",""),"(",""),")",""),"+",""),1)="8"),ISNUMBER(IFERROR(VALUE(SUBSTITUTE(SUBSTITUTE(SUBSTITUTE(SUBSTITUTE(SUBSTITUTE(I240," ",""),"-",""),"(",""),")",""),"+","")),"x"))),"","Телефон: неверный формат"))</f>
        <v/>
      </c>
      <c r="Q240" s="24" t="str">
        <f aca="false">TRIM(IF(TRIM(B240)="","Нет наименования. ","")&amp;IF(TRIM(F240)="","Нет адреса. ","")&amp;IF(TRIM(G240)="","Нет контактного лица.",""))</f>
        <v/>
      </c>
      <c r="R240" s="21" t="n">
        <f aca="false">SUMPRODUCT(--(LEN(K240:Q240)&gt;0))</f>
        <v>0</v>
      </c>
      <c r="S240" s="24" t="str">
        <f aca="false">IF(R240=0,"Готово к передаче","Требует исправления")</f>
        <v>Готово к передаче</v>
      </c>
      <c r="T240" s="24" t="str">
        <f aca="false">IF(R240=0,"",_xlfn.TEXTJOIN("; ",TRUE(),K240:Q240))</f>
        <v/>
      </c>
      <c r="U240" s="24" t="str">
        <f aca="false">IF(R240=0,"","Здравствуйте! В данных организации «"&amp;B240&amp;"» обнаружены ошибки: "&amp;T240&amp;". Просим проверить и прислать исправленную информацию.")</f>
        <v/>
      </c>
      <c r="V240" s="21" t="str">
        <f aca="false">IF(R240&gt;0,COUNTIF($R$2:R240,"&gt;0"),"")</f>
        <v/>
      </c>
      <c r="W240" s="21" t="n">
        <f aca="false">IF(R240=0,COUNTIF($R$2:R240,0),"")</f>
        <v>160</v>
      </c>
    </row>
    <row r="241" customFormat="false" ht="15" hidden="false" customHeight="false" outlineLevel="0" collapsed="false">
      <c r="A241" s="21" t="n">
        <v>240</v>
      </c>
      <c r="B241" s="22" t="s">
        <v>1962</v>
      </c>
      <c r="C241" s="23"/>
      <c r="D241" s="23" t="s">
        <v>1963</v>
      </c>
      <c r="E241" s="23" t="s">
        <v>1964</v>
      </c>
      <c r="F241" s="22" t="s">
        <v>1965</v>
      </c>
      <c r="G241" s="22" t="s">
        <v>1966</v>
      </c>
      <c r="H241" s="22" t="s">
        <v>1967</v>
      </c>
      <c r="I241" s="23" t="s">
        <v>1968</v>
      </c>
      <c r="J241" s="24" t="str">
        <f aca="false">IFERROR(VLOOKUP(VALUE(LEFT(C241,2)),Справочники!$A$2:$B$16,2,FALSE()),"не определён")</f>
        <v>не определён</v>
      </c>
      <c r="K241" s="24" t="str">
        <f aca="false">IF(TRIM(C241)="","ИНН не указан",IF(LEN(C241)&lt;&gt;10,"ИНН: должно быть 10 цифр",IF(NOT(ISNUMBER(IFERROR(VALUE(C241),"x"))),"ИНН: есть нецифровые символы",IF(MOD(MOD(SUMPRODUCT(--MID(C241,{1,2,3,4,5,6,7,8,9},1),{2,4,10,3,5,9,4,6,8}),11),10)=VALUE(RIGHT(C241,1)),"","ИНН: неверная контрольная цифра"))))</f>
        <v>ИНН не указан</v>
      </c>
      <c r="L241" s="24" t="str">
        <f aca="false">IF(TRIM(D241)="","ОГРН не указан",IF(LEN(D241)&lt;&gt;13,"ОГРН: должно быть 13 цифр",IF(NOT(ISNUMBER(IFERROR(VALUE(D241),"x"))),"ОГРН: есть нецифровые символы",IF(MOD(VALUE(LEFT(D241,12))-11*INT(VALUE(LEFT(D241,12))/11),10)=VALUE(RIGHT(D241,1)),"","ОГРН: неверная контрольная цифра"))))</f>
        <v/>
      </c>
      <c r="M241" s="24" t="str">
        <f aca="false">IF(TRIM(E241)="","КПП не указан",IF(LEN(E241)&lt;&gt;9,"КПП: должно быть 9 знаков",IF(NOT(AND(ISNUMBER(IFERROR(VALUE(LEFT(E241,4)),"x")),ISNUMBER(IFERROR(VALUE(RIGHT(E241,3)),"x")))),"КПП: неверный формат",IF(LEFT(E241,2)&lt;&gt;LEFT(C241,2),"КПП: код региона не совпадает с ИНН",""))))</f>
        <v>КПП: код региона не совпадает с ИНН</v>
      </c>
      <c r="N241" s="24" t="str">
        <f aca="false">IF(TRIM(C241)="","",IF(COUNTIF($C$2:$C$401,C241)&gt;1,"Дубликат ИНН в реестре",""))</f>
        <v/>
      </c>
      <c r="O241" s="24" t="str">
        <f aca="false">IF(TRIM(H241)="","Email не указан",IF(AND(ISNUMBER(FIND("@",H241)),ISNUMBER(FIND(".",H241,IFERROR(FIND("@",H241),1))),ISERROR(FIND(" ",H241)),LEFT(H241,1)&lt;&gt;"@",RIGHT(H241,1)&lt;&gt;".",LEN(H241)-LEN(SUBSTITUTE(H241,"@",""))=1),"","Email: неверный формат"))</f>
        <v/>
      </c>
      <c r="P241" s="24" t="str">
        <f aca="false">IF(TRIM(I241)="","Телефон не указан",IF(AND(LEN(SUBSTITUTE(SUBSTITUTE(SUBSTITUTE(SUBSTITUTE(SUBSTITUTE(I241," ",""),"-",""),"(",""),")",""),"+",""))=11,OR(LEFT(SUBSTITUTE(SUBSTITUTE(SUBSTITUTE(SUBSTITUTE(SUBSTITUTE(I241," ",""),"-",""),"(",""),")",""),"+",""),1)="7",LEFT(SUBSTITUTE(SUBSTITUTE(SUBSTITUTE(SUBSTITUTE(SUBSTITUTE(I241," ",""),"-",""),"(",""),")",""),"+",""),1)="8"),ISNUMBER(IFERROR(VALUE(SUBSTITUTE(SUBSTITUTE(SUBSTITUTE(SUBSTITUTE(SUBSTITUTE(I241," ",""),"-",""),"(",""),")",""),"+","")),"x"))),"","Телефон: неверный формат"))</f>
        <v/>
      </c>
      <c r="Q241" s="24" t="str">
        <f aca="false">TRIM(IF(TRIM(B241)="","Нет наименования. ","")&amp;IF(TRIM(F241)="","Нет адреса. ","")&amp;IF(TRIM(G241)="","Нет контактного лица.",""))</f>
        <v/>
      </c>
      <c r="R241" s="21" t="n">
        <f aca="false">SUMPRODUCT(--(LEN(K241:Q241)&gt;0))</f>
        <v>2</v>
      </c>
      <c r="S241" s="24" t="str">
        <f aca="false">IF(R241=0,"Готово к передаче","Требует исправления")</f>
        <v>Требует исправления</v>
      </c>
      <c r="T241" s="24" t="str">
        <f aca="false">IF(R241=0,"",_xlfn.TEXTJOIN("; ",TRUE(),K241:Q241))</f>
        <v>ИНН не указан; КПП: код региона не совпадает с ИНН</v>
      </c>
      <c r="U241" s="24" t="str">
        <f aca="false">IF(R241=0,"","Здравствуйте! В данных организации «"&amp;B241&amp;"» обнаружены ошибки: "&amp;T241&amp;". Просим проверить и прислать исправленную информацию.")</f>
        <v>Здравствуйте! В данных организации «ООО «Гранит Мед»» обнаружены ошибки: ИНН не указан; КПП: код региона не совпадает с ИНН. Просим проверить и прислать исправленную информацию.</v>
      </c>
      <c r="V241" s="21" t="n">
        <f aca="false">IF(R241&gt;0,COUNTIF($R$2:R241,"&gt;0"),"")</f>
        <v>80</v>
      </c>
      <c r="W241" s="21" t="str">
        <f aca="false">IF(R241=0,COUNTIF($R$2:R241,0),"")</f>
        <v/>
      </c>
    </row>
    <row r="242" customFormat="false" ht="15" hidden="false" customHeight="false" outlineLevel="0" collapsed="false">
      <c r="A242" s="21" t="n">
        <v>241</v>
      </c>
      <c r="B242" s="22" t="s">
        <v>1969</v>
      </c>
      <c r="C242" s="23" t="s">
        <v>1044</v>
      </c>
      <c r="D242" s="23" t="s">
        <v>1970</v>
      </c>
      <c r="E242" s="23" t="s">
        <v>1971</v>
      </c>
      <c r="F242" s="22" t="s">
        <v>1972</v>
      </c>
      <c r="G242" s="22" t="s">
        <v>1973</v>
      </c>
      <c r="H242" s="22" t="s">
        <v>1974</v>
      </c>
      <c r="I242" s="23" t="s">
        <v>1975</v>
      </c>
      <c r="J242" s="24" t="str">
        <f aca="false">IFERROR(VLOOKUP(VALUE(LEFT(C242,2)),Справочники!$A$2:$B$16,2,FALSE()),"не определён")</f>
        <v>Новосибирская область</v>
      </c>
      <c r="K242" s="24" t="str">
        <f aca="false">IF(TRIM(C242)="","ИНН не указан",IF(LEN(C242)&lt;&gt;10,"ИНН: должно быть 10 цифр",IF(NOT(ISNUMBER(IFERROR(VALUE(C242),"x"))),"ИНН: есть нецифровые символы",IF(MOD(MOD(SUMPRODUCT(--MID(C242,{1,2,3,4,5,6,7,8,9},1),{2,4,10,3,5,9,4,6,8}),11),10)=VALUE(RIGHT(C242,1)),"","ИНН: неверная контрольная цифра"))))</f>
        <v/>
      </c>
      <c r="L242" s="24" t="str">
        <f aca="false">IF(TRIM(D242)="","ОГРН не указан",IF(LEN(D242)&lt;&gt;13,"ОГРН: должно быть 13 цифр",IF(NOT(ISNUMBER(IFERROR(VALUE(D242),"x"))),"ОГРН: есть нецифровые символы",IF(MOD(VALUE(LEFT(D242,12))-11*INT(VALUE(LEFT(D242,12))/11),10)=VALUE(RIGHT(D242,1)),"","ОГРН: неверная контрольная цифра"))))</f>
        <v/>
      </c>
      <c r="M242" s="24" t="str">
        <f aca="false">IF(TRIM(E242)="","КПП не указан",IF(LEN(E242)&lt;&gt;9,"КПП: должно быть 9 знаков",IF(NOT(AND(ISNUMBER(IFERROR(VALUE(LEFT(E242,4)),"x")),ISNUMBER(IFERROR(VALUE(RIGHT(E242,3)),"x")))),"КПП: неверный формат",IF(LEFT(E242,2)&lt;&gt;LEFT(C242,2),"КПП: код региона не совпадает с ИНН",""))))</f>
        <v/>
      </c>
      <c r="N242" s="24" t="str">
        <f aca="false">IF(TRIM(C242)="","",IF(COUNTIF($C$2:$C$401,C242)&gt;1,"Дубликат ИНН в реестре",""))</f>
        <v>Дубликат ИНН в реестре</v>
      </c>
      <c r="O242" s="24" t="str">
        <f aca="false">IF(TRIM(H242)="","Email не указан",IF(AND(ISNUMBER(FIND("@",H242)),ISNUMBER(FIND(".",H242,IFERROR(FIND("@",H242),1))),ISERROR(FIND(" ",H242)),LEFT(H242,1)&lt;&gt;"@",RIGHT(H242,1)&lt;&gt;".",LEN(H242)-LEN(SUBSTITUTE(H242,"@",""))=1),"","Email: неверный формат"))</f>
        <v/>
      </c>
      <c r="P242" s="24" t="str">
        <f aca="false">IF(TRIM(I242)="","Телефон не указан",IF(AND(LEN(SUBSTITUTE(SUBSTITUTE(SUBSTITUTE(SUBSTITUTE(SUBSTITUTE(I242," ",""),"-",""),"(",""),")",""),"+",""))=11,OR(LEFT(SUBSTITUTE(SUBSTITUTE(SUBSTITUTE(SUBSTITUTE(SUBSTITUTE(I242," ",""),"-",""),"(",""),")",""),"+",""),1)="7",LEFT(SUBSTITUTE(SUBSTITUTE(SUBSTITUTE(SUBSTITUTE(SUBSTITUTE(I242," ",""),"-",""),"(",""),")",""),"+",""),1)="8"),ISNUMBER(IFERROR(VALUE(SUBSTITUTE(SUBSTITUTE(SUBSTITUTE(SUBSTITUTE(SUBSTITUTE(I242," ",""),"-",""),"(",""),")",""),"+","")),"x"))),"","Телефон: неверный формат"))</f>
        <v/>
      </c>
      <c r="Q242" s="24" t="str">
        <f aca="false">TRIM(IF(TRIM(B242)="","Нет наименования. ","")&amp;IF(TRIM(F242)="","Нет адреса. ","")&amp;IF(TRIM(G242)="","Нет контактного лица.",""))</f>
        <v/>
      </c>
      <c r="R242" s="21" t="n">
        <f aca="false">SUMPRODUCT(--(LEN(K242:Q242)&gt;0))</f>
        <v>1</v>
      </c>
      <c r="S242" s="24" t="str">
        <f aca="false">IF(R242=0,"Готово к передаче","Требует исправления")</f>
        <v>Требует исправления</v>
      </c>
      <c r="T242" s="24" t="str">
        <f aca="false">IF(R242=0,"",_xlfn.TEXTJOIN("; ",TRUE(),K242:Q242))</f>
        <v>Дубликат ИНН в реестре</v>
      </c>
      <c r="U242" s="24" t="str">
        <f aca="false">IF(R242=0,"","Здравствуйте! В данных организации «"&amp;B242&amp;"» обнаружены ошибки: "&amp;T242&amp;". Просим проверить и прислать исправленную информацию.")</f>
        <v>Здравствуйте! В данных организации «ООО «Меридиан Энерго»» обнаружены ошибки: Дубликат ИНН в реестре. Просим проверить и прислать исправленную информацию.</v>
      </c>
      <c r="V242" s="21" t="n">
        <f aca="false">IF(R242&gt;0,COUNTIF($R$2:R242,"&gt;0"),"")</f>
        <v>81</v>
      </c>
      <c r="W242" s="21" t="str">
        <f aca="false">IF(R242=0,COUNTIF($R$2:R242,0),"")</f>
        <v/>
      </c>
    </row>
    <row r="243" customFormat="false" ht="15" hidden="false" customHeight="false" outlineLevel="0" collapsed="false">
      <c r="A243" s="21" t="n">
        <v>242</v>
      </c>
      <c r="B243" s="22" t="s">
        <v>1976</v>
      </c>
      <c r="C243" s="23" t="s">
        <v>1977</v>
      </c>
      <c r="D243" s="23" t="s">
        <v>1978</v>
      </c>
      <c r="E243" s="23" t="s">
        <v>1979</v>
      </c>
      <c r="F243" s="22" t="s">
        <v>1980</v>
      </c>
      <c r="G243" s="22" t="s">
        <v>1981</v>
      </c>
      <c r="H243" s="22" t="s">
        <v>1982</v>
      </c>
      <c r="I243" s="23" t="s">
        <v>1983</v>
      </c>
      <c r="J243" s="24" t="str">
        <f aca="false">IFERROR(VLOOKUP(VALUE(LEFT(C243,2)),Справочники!$A$2:$B$16,2,FALSE()),"не определён")</f>
        <v>г. Москва</v>
      </c>
      <c r="K243" s="24" t="str">
        <f aca="false">IF(TRIM(C243)="","ИНН не указан",IF(LEN(C243)&lt;&gt;10,"ИНН: должно быть 10 цифр",IF(NOT(ISNUMBER(IFERROR(VALUE(C243),"x"))),"ИНН: есть нецифровые символы",IF(MOD(MOD(SUMPRODUCT(--MID(C243,{1,2,3,4,5,6,7,8,9},1),{2,4,10,3,5,9,4,6,8}),11),10)=VALUE(RIGHT(C243,1)),"","ИНН: неверная контрольная цифра"))))</f>
        <v/>
      </c>
      <c r="L243" s="24" t="str">
        <f aca="false">IF(TRIM(D243)="","ОГРН не указан",IF(LEN(D243)&lt;&gt;13,"ОГРН: должно быть 13 цифр",IF(NOT(ISNUMBER(IFERROR(VALUE(D243),"x"))),"ОГРН: есть нецифровые символы",IF(MOD(VALUE(LEFT(D243,12))-11*INT(VALUE(LEFT(D243,12))/11),10)=VALUE(RIGHT(D243,1)),"","ОГРН: неверная контрольная цифра"))))</f>
        <v/>
      </c>
      <c r="M243" s="24" t="str">
        <f aca="false">IF(TRIM(E243)="","КПП не указан",IF(LEN(E243)&lt;&gt;9,"КПП: должно быть 9 знаков",IF(NOT(AND(ISNUMBER(IFERROR(VALUE(LEFT(E243,4)),"x")),ISNUMBER(IFERROR(VALUE(RIGHT(E243,3)),"x")))),"КПП: неверный формат",IF(LEFT(E243,2)&lt;&gt;LEFT(C243,2),"КПП: код региона не совпадает с ИНН",""))))</f>
        <v/>
      </c>
      <c r="N243" s="24" t="str">
        <f aca="false">IF(TRIM(C243)="","",IF(COUNTIF($C$2:$C$401,C243)&gt;1,"Дубликат ИНН в реестре",""))</f>
        <v/>
      </c>
      <c r="O243" s="24" t="str">
        <f aca="false">IF(TRIM(H243)="","Email не указан",IF(AND(ISNUMBER(FIND("@",H243)),ISNUMBER(FIND(".",H243,IFERROR(FIND("@",H243),1))),ISERROR(FIND(" ",H243)),LEFT(H243,1)&lt;&gt;"@",RIGHT(H243,1)&lt;&gt;".",LEN(H243)-LEN(SUBSTITUTE(H243,"@",""))=1),"","Email: неверный формат"))</f>
        <v/>
      </c>
      <c r="P243" s="24" t="str">
        <f aca="false">IF(TRIM(I243)="","Телефон не указан",IF(AND(LEN(SUBSTITUTE(SUBSTITUTE(SUBSTITUTE(SUBSTITUTE(SUBSTITUTE(I243," ",""),"-",""),"(",""),")",""),"+",""))=11,OR(LEFT(SUBSTITUTE(SUBSTITUTE(SUBSTITUTE(SUBSTITUTE(SUBSTITUTE(I243," ",""),"-",""),"(",""),")",""),"+",""),1)="7",LEFT(SUBSTITUTE(SUBSTITUTE(SUBSTITUTE(SUBSTITUTE(SUBSTITUTE(I243," ",""),"-",""),"(",""),")",""),"+",""),1)="8"),ISNUMBER(IFERROR(VALUE(SUBSTITUTE(SUBSTITUTE(SUBSTITUTE(SUBSTITUTE(SUBSTITUTE(I243," ",""),"-",""),"(",""),")",""),"+","")),"x"))),"","Телефон: неверный формат"))</f>
        <v/>
      </c>
      <c r="Q243" s="24" t="str">
        <f aca="false">TRIM(IF(TRIM(B243)="","Нет наименования. ","")&amp;IF(TRIM(F243)="","Нет адреса. ","")&amp;IF(TRIM(G243)="","Нет контактного лица.",""))</f>
        <v/>
      </c>
      <c r="R243" s="21" t="n">
        <f aca="false">SUMPRODUCT(--(LEN(K243:Q243)&gt;0))</f>
        <v>0</v>
      </c>
      <c r="S243" s="24" t="str">
        <f aca="false">IF(R243=0,"Готово к передаче","Требует исправления")</f>
        <v>Готово к передаче</v>
      </c>
      <c r="T243" s="24" t="str">
        <f aca="false">IF(R243=0,"",_xlfn.TEXTJOIN("; ",TRUE(),K243:Q243))</f>
        <v/>
      </c>
      <c r="U243" s="24" t="str">
        <f aca="false">IF(R243=0,"","Здравствуйте! В данных организации «"&amp;B243&amp;"» обнаружены ошибки: "&amp;T243&amp;". Просим проверить и прислать исправленную информацию.")</f>
        <v/>
      </c>
      <c r="V243" s="21" t="str">
        <f aca="false">IF(R243&gt;0,COUNTIF($R$2:R243,"&gt;0"),"")</f>
        <v/>
      </c>
      <c r="W243" s="21" t="n">
        <f aca="false">IF(R243=0,COUNTIF($R$2:R243,0),"")</f>
        <v>161</v>
      </c>
    </row>
    <row r="244" customFormat="false" ht="15" hidden="false" customHeight="false" outlineLevel="0" collapsed="false">
      <c r="A244" s="21" t="n">
        <v>243</v>
      </c>
      <c r="B244" s="22" t="s">
        <v>1984</v>
      </c>
      <c r="C244" s="23" t="s">
        <v>1985</v>
      </c>
      <c r="D244" s="23" t="s">
        <v>1986</v>
      </c>
      <c r="E244" s="23" t="s">
        <v>1987</v>
      </c>
      <c r="F244" s="22" t="s">
        <v>1988</v>
      </c>
      <c r="G244" s="22" t="s">
        <v>1989</v>
      </c>
      <c r="H244" s="22" t="s">
        <v>1990</v>
      </c>
      <c r="I244" s="23" t="s">
        <v>1991</v>
      </c>
      <c r="J244" s="24" t="str">
        <f aca="false">IFERROR(VLOOKUP(VALUE(LEFT(C244,2)),Справочники!$A$2:$B$16,2,FALSE()),"не определён")</f>
        <v>Краснодарский край</v>
      </c>
      <c r="K244" s="24" t="str">
        <f aca="false">IF(TRIM(C244)="","ИНН не указан",IF(LEN(C244)&lt;&gt;10,"ИНН: должно быть 10 цифр",IF(NOT(ISNUMBER(IFERROR(VALUE(C244),"x"))),"ИНН: есть нецифровые символы",IF(MOD(MOD(SUMPRODUCT(--MID(C244,{1,2,3,4,5,6,7,8,9},1),{2,4,10,3,5,9,4,6,8}),11),10)=VALUE(RIGHT(C244,1)),"","ИНН: неверная контрольная цифра"))))</f>
        <v/>
      </c>
      <c r="L244" s="24" t="str">
        <f aca="false">IF(TRIM(D244)="","ОГРН не указан",IF(LEN(D244)&lt;&gt;13,"ОГРН: должно быть 13 цифр",IF(NOT(ISNUMBER(IFERROR(VALUE(D244),"x"))),"ОГРН: есть нецифровые символы",IF(MOD(VALUE(LEFT(D244,12))-11*INT(VALUE(LEFT(D244,12))/11),10)=VALUE(RIGHT(D244,1)),"","ОГРН: неверная контрольная цифра"))))</f>
        <v/>
      </c>
      <c r="M244" s="24" t="str">
        <f aca="false">IF(TRIM(E244)="","КПП не указан",IF(LEN(E244)&lt;&gt;9,"КПП: должно быть 9 знаков",IF(NOT(AND(ISNUMBER(IFERROR(VALUE(LEFT(E244,4)),"x")),ISNUMBER(IFERROR(VALUE(RIGHT(E244,3)),"x")))),"КПП: неверный формат",IF(LEFT(E244,2)&lt;&gt;LEFT(C244,2),"КПП: код региона не совпадает с ИНН",""))))</f>
        <v/>
      </c>
      <c r="N244" s="24" t="str">
        <f aca="false">IF(TRIM(C244)="","",IF(COUNTIF($C$2:$C$401,C244)&gt;1,"Дубликат ИНН в реестре",""))</f>
        <v/>
      </c>
      <c r="O244" s="24" t="str">
        <f aca="false">IF(TRIM(H244)="","Email не указан",IF(AND(ISNUMBER(FIND("@",H244)),ISNUMBER(FIND(".",H244,IFERROR(FIND("@",H244),1))),ISERROR(FIND(" ",H244)),LEFT(H244,1)&lt;&gt;"@",RIGHT(H244,1)&lt;&gt;".",LEN(H244)-LEN(SUBSTITUTE(H244,"@",""))=1),"","Email: неверный формат"))</f>
        <v/>
      </c>
      <c r="P244" s="24" t="str">
        <f aca="false">IF(TRIM(I244)="","Телефон не указан",IF(AND(LEN(SUBSTITUTE(SUBSTITUTE(SUBSTITUTE(SUBSTITUTE(SUBSTITUTE(I244," ",""),"-",""),"(",""),")",""),"+",""))=11,OR(LEFT(SUBSTITUTE(SUBSTITUTE(SUBSTITUTE(SUBSTITUTE(SUBSTITUTE(I244," ",""),"-",""),"(",""),")",""),"+",""),1)="7",LEFT(SUBSTITUTE(SUBSTITUTE(SUBSTITUTE(SUBSTITUTE(SUBSTITUTE(I244," ",""),"-",""),"(",""),")",""),"+",""),1)="8"),ISNUMBER(IFERROR(VALUE(SUBSTITUTE(SUBSTITUTE(SUBSTITUTE(SUBSTITUTE(SUBSTITUTE(I244," ",""),"-",""),"(",""),")",""),"+","")),"x"))),"","Телефон: неверный формат"))</f>
        <v/>
      </c>
      <c r="Q244" s="24" t="str">
        <f aca="false">TRIM(IF(TRIM(B244)="","Нет наименования. ","")&amp;IF(TRIM(F244)="","Нет адреса. ","")&amp;IF(TRIM(G244)="","Нет контактного лица.",""))</f>
        <v/>
      </c>
      <c r="R244" s="21" t="n">
        <f aca="false">SUMPRODUCT(--(LEN(K244:Q244)&gt;0))</f>
        <v>0</v>
      </c>
      <c r="S244" s="24" t="str">
        <f aca="false">IF(R244=0,"Готово к передаче","Требует исправления")</f>
        <v>Готово к передаче</v>
      </c>
      <c r="T244" s="24" t="str">
        <f aca="false">IF(R244=0,"",_xlfn.TEXTJOIN("; ",TRUE(),K244:Q244))</f>
        <v/>
      </c>
      <c r="U244" s="24" t="str">
        <f aca="false">IF(R244=0,"","Здравствуйте! В данных организации «"&amp;B244&amp;"» обнаружены ошибки: "&amp;T244&amp;". Просим проверить и прислать исправленную информацию.")</f>
        <v/>
      </c>
      <c r="V244" s="21" t="str">
        <f aca="false">IF(R244&gt;0,COUNTIF($R$2:R244,"&gt;0"),"")</f>
        <v/>
      </c>
      <c r="W244" s="21" t="n">
        <f aca="false">IF(R244=0,COUNTIF($R$2:R244,0),"")</f>
        <v>162</v>
      </c>
    </row>
    <row r="245" customFormat="false" ht="15" hidden="false" customHeight="false" outlineLevel="0" collapsed="false">
      <c r="A245" s="21" t="n">
        <v>244</v>
      </c>
      <c r="B245" s="22" t="s">
        <v>1992</v>
      </c>
      <c r="C245" s="23" t="s">
        <v>1993</v>
      </c>
      <c r="D245" s="23" t="s">
        <v>1994</v>
      </c>
      <c r="E245" s="23" t="s">
        <v>1995</v>
      </c>
      <c r="F245" s="22"/>
      <c r="G245" s="22" t="s">
        <v>1996</v>
      </c>
      <c r="H245" s="22" t="s">
        <v>1997</v>
      </c>
      <c r="I245" s="23" t="s">
        <v>1998</v>
      </c>
      <c r="J245" s="24" t="str">
        <f aca="false">IFERROR(VLOOKUP(VALUE(LEFT(C245,2)),Справочники!$A$2:$B$16,2,FALSE()),"не определён")</f>
        <v>г. Севастополь</v>
      </c>
      <c r="K245" s="24" t="str">
        <f aca="false">IF(TRIM(C245)="","ИНН не указан",IF(LEN(C245)&lt;&gt;10,"ИНН: должно быть 10 цифр",IF(NOT(ISNUMBER(IFERROR(VALUE(C245),"x"))),"ИНН: есть нецифровые символы",IF(MOD(MOD(SUMPRODUCT(--MID(C245,{1,2,3,4,5,6,7,8,9},1),{2,4,10,3,5,9,4,6,8}),11),10)=VALUE(RIGHT(C245,1)),"","ИНН: неверная контрольная цифра"))))</f>
        <v/>
      </c>
      <c r="L245" s="24" t="str">
        <f aca="false">IF(TRIM(D245)="","ОГРН не указан",IF(LEN(D245)&lt;&gt;13,"ОГРН: должно быть 13 цифр",IF(NOT(ISNUMBER(IFERROR(VALUE(D245),"x"))),"ОГРН: есть нецифровые символы",IF(MOD(VALUE(LEFT(D245,12))-11*INT(VALUE(LEFT(D245,12))/11),10)=VALUE(RIGHT(D245,1)),"","ОГРН: неверная контрольная цифра"))))</f>
        <v/>
      </c>
      <c r="M245" s="24" t="str">
        <f aca="false">IF(TRIM(E245)="","КПП не указан",IF(LEN(E245)&lt;&gt;9,"КПП: должно быть 9 знаков",IF(NOT(AND(ISNUMBER(IFERROR(VALUE(LEFT(E245,4)),"x")),ISNUMBER(IFERROR(VALUE(RIGHT(E245,3)),"x")))),"КПП: неверный формат",IF(LEFT(E245,2)&lt;&gt;LEFT(C245,2),"КПП: код региона не совпадает с ИНН",""))))</f>
        <v/>
      </c>
      <c r="N245" s="24" t="str">
        <f aca="false">IF(TRIM(C245)="","",IF(COUNTIF($C$2:$C$401,C245)&gt;1,"Дубликат ИНН в реестре",""))</f>
        <v/>
      </c>
      <c r="O245" s="24" t="str">
        <f aca="false">IF(TRIM(H245)="","Email не указан",IF(AND(ISNUMBER(FIND("@",H245)),ISNUMBER(FIND(".",H245,IFERROR(FIND("@",H245),1))),ISERROR(FIND(" ",H245)),LEFT(H245,1)&lt;&gt;"@",RIGHT(H245,1)&lt;&gt;".",LEN(H245)-LEN(SUBSTITUTE(H245,"@",""))=1),"","Email: неверный формат"))</f>
        <v/>
      </c>
      <c r="P245" s="24" t="str">
        <f aca="false">IF(TRIM(I245)="","Телефон не указан",IF(AND(LEN(SUBSTITUTE(SUBSTITUTE(SUBSTITUTE(SUBSTITUTE(SUBSTITUTE(I245," ",""),"-",""),"(",""),")",""),"+",""))=11,OR(LEFT(SUBSTITUTE(SUBSTITUTE(SUBSTITUTE(SUBSTITUTE(SUBSTITUTE(I245," ",""),"-",""),"(",""),")",""),"+",""),1)="7",LEFT(SUBSTITUTE(SUBSTITUTE(SUBSTITUTE(SUBSTITUTE(SUBSTITUTE(I245," ",""),"-",""),"(",""),")",""),"+",""),1)="8"),ISNUMBER(IFERROR(VALUE(SUBSTITUTE(SUBSTITUTE(SUBSTITUTE(SUBSTITUTE(SUBSTITUTE(I245," ",""),"-",""),"(",""),")",""),"+","")),"x"))),"","Телефон: неверный формат"))</f>
        <v/>
      </c>
      <c r="Q245" s="24" t="str">
        <f aca="false">TRIM(IF(TRIM(B245)="","Нет наименования. ","")&amp;IF(TRIM(F245)="","Нет адреса. ","")&amp;IF(TRIM(G245)="","Нет контактного лица.",""))</f>
        <v>Нет адреса.</v>
      </c>
      <c r="R245" s="21" t="n">
        <f aca="false">SUMPRODUCT(--(LEN(K245:Q245)&gt;0))</f>
        <v>1</v>
      </c>
      <c r="S245" s="24" t="str">
        <f aca="false">IF(R245=0,"Готово к передаче","Требует исправления")</f>
        <v>Требует исправления</v>
      </c>
      <c r="T245" s="24" t="str">
        <f aca="false">IF(R245=0,"",_xlfn.TEXTJOIN("; ",TRUE(),K245:Q245))</f>
        <v>Нет адреса.</v>
      </c>
      <c r="U245" s="24" t="str">
        <f aca="false">IF(R245=0,"","Здравствуйте! В данных организации «"&amp;B245&amp;"» обнаружены ошибки: "&amp;T245&amp;". Просим проверить и прислать исправленную информацию.")</f>
        <v>Здравствуйте! В данных организации «ООО «Берег Строй»» обнаружены ошибки: Нет адреса.. Просим проверить и прислать исправленную информацию.</v>
      </c>
      <c r="V245" s="21" t="n">
        <f aca="false">IF(R245&gt;0,COUNTIF($R$2:R245,"&gt;0"),"")</f>
        <v>82</v>
      </c>
      <c r="W245" s="21" t="str">
        <f aca="false">IF(R245=0,COUNTIF($R$2:R245,0),"")</f>
        <v/>
      </c>
    </row>
    <row r="246" customFormat="false" ht="15" hidden="false" customHeight="false" outlineLevel="0" collapsed="false">
      <c r="A246" s="21" t="n">
        <v>245</v>
      </c>
      <c r="B246" s="22" t="s">
        <v>1999</v>
      </c>
      <c r="C246" s="23" t="s">
        <v>2000</v>
      </c>
      <c r="D246" s="23" t="s">
        <v>2001</v>
      </c>
      <c r="E246" s="23" t="s">
        <v>2002</v>
      </c>
      <c r="F246" s="22" t="s">
        <v>2003</v>
      </c>
      <c r="G246" s="22" t="s">
        <v>2004</v>
      </c>
      <c r="H246" s="22" t="s">
        <v>2005</v>
      </c>
      <c r="I246" s="23" t="s">
        <v>2006</v>
      </c>
      <c r="J246" s="24" t="str">
        <f aca="false">IFERROR(VLOOKUP(VALUE(LEFT(C246,2)),Справочники!$A$2:$B$16,2,FALSE()),"не определён")</f>
        <v>Нижегородская область</v>
      </c>
      <c r="K246" s="24" t="str">
        <f aca="false">IF(TRIM(C246)="","ИНН не указан",IF(LEN(C246)&lt;&gt;10,"ИНН: должно быть 10 цифр",IF(NOT(ISNUMBER(IFERROR(VALUE(C246),"x"))),"ИНН: есть нецифровые символы",IF(MOD(MOD(SUMPRODUCT(--MID(C246,{1,2,3,4,5,6,7,8,9},1),{2,4,10,3,5,9,4,6,8}),11),10)=VALUE(RIGHT(C246,1)),"","ИНН: неверная контрольная цифра"))))</f>
        <v/>
      </c>
      <c r="L246" s="24" t="str">
        <f aca="false">IF(TRIM(D246)="","ОГРН не указан",IF(LEN(D246)&lt;&gt;13,"ОГРН: должно быть 13 цифр",IF(NOT(ISNUMBER(IFERROR(VALUE(D246),"x"))),"ОГРН: есть нецифровые символы",IF(MOD(VALUE(LEFT(D246,12))-11*INT(VALUE(LEFT(D246,12))/11),10)=VALUE(RIGHT(D246,1)),"","ОГРН: неверная контрольная цифра"))))</f>
        <v/>
      </c>
      <c r="M246" s="24" t="str">
        <f aca="false">IF(TRIM(E246)="","КПП не указан",IF(LEN(E246)&lt;&gt;9,"КПП: должно быть 9 знаков",IF(NOT(AND(ISNUMBER(IFERROR(VALUE(LEFT(E246,4)),"x")),ISNUMBER(IFERROR(VALUE(RIGHT(E246,3)),"x")))),"КПП: неверный формат",IF(LEFT(E246,2)&lt;&gt;LEFT(C246,2),"КПП: код региона не совпадает с ИНН",""))))</f>
        <v/>
      </c>
      <c r="N246" s="24" t="str">
        <f aca="false">IF(TRIM(C246)="","",IF(COUNTIF($C$2:$C$401,C246)&gt;1,"Дубликат ИНН в реестре",""))</f>
        <v/>
      </c>
      <c r="O246" s="24" t="str">
        <f aca="false">IF(TRIM(H246)="","Email не указан",IF(AND(ISNUMBER(FIND("@",H246)),ISNUMBER(FIND(".",H246,IFERROR(FIND("@",H246),1))),ISERROR(FIND(" ",H246)),LEFT(H246,1)&lt;&gt;"@",RIGHT(H246,1)&lt;&gt;".",LEN(H246)-LEN(SUBSTITUTE(H246,"@",""))=1),"","Email: неверный формат"))</f>
        <v/>
      </c>
      <c r="P246" s="24" t="str">
        <f aca="false">IF(TRIM(I246)="","Телефон не указан",IF(AND(LEN(SUBSTITUTE(SUBSTITUTE(SUBSTITUTE(SUBSTITUTE(SUBSTITUTE(I246," ",""),"-",""),"(",""),")",""),"+",""))=11,OR(LEFT(SUBSTITUTE(SUBSTITUTE(SUBSTITUTE(SUBSTITUTE(SUBSTITUTE(I246," ",""),"-",""),"(",""),")",""),"+",""),1)="7",LEFT(SUBSTITUTE(SUBSTITUTE(SUBSTITUTE(SUBSTITUTE(SUBSTITUTE(I246," ",""),"-",""),"(",""),")",""),"+",""),1)="8"),ISNUMBER(IFERROR(VALUE(SUBSTITUTE(SUBSTITUTE(SUBSTITUTE(SUBSTITUTE(SUBSTITUTE(I246," ",""),"-",""),"(",""),")",""),"+","")),"x"))),"","Телефон: неверный формат"))</f>
        <v/>
      </c>
      <c r="Q246" s="24" t="str">
        <f aca="false">TRIM(IF(TRIM(B246)="","Нет наименования. ","")&amp;IF(TRIM(F246)="","Нет адреса. ","")&amp;IF(TRIM(G246)="","Нет контактного лица.",""))</f>
        <v/>
      </c>
      <c r="R246" s="21" t="n">
        <f aca="false">SUMPRODUCT(--(LEN(K246:Q246)&gt;0))</f>
        <v>0</v>
      </c>
      <c r="S246" s="24" t="str">
        <f aca="false">IF(R246=0,"Готово к передаче","Требует исправления")</f>
        <v>Готово к передаче</v>
      </c>
      <c r="T246" s="24" t="str">
        <f aca="false">IF(R246=0,"",_xlfn.TEXTJOIN("; ",TRUE(),K246:Q246))</f>
        <v/>
      </c>
      <c r="U246" s="24" t="str">
        <f aca="false">IF(R246=0,"","Здравствуйте! В данных организации «"&amp;B246&amp;"» обнаружены ошибки: "&amp;T246&amp;". Просим проверить и прислать исправленную информацию.")</f>
        <v/>
      </c>
      <c r="V246" s="21" t="str">
        <f aca="false">IF(R246&gt;0,COUNTIF($R$2:R246,"&gt;0"),"")</f>
        <v/>
      </c>
      <c r="W246" s="21" t="n">
        <f aca="false">IF(R246=0,COUNTIF($R$2:R246,0),"")</f>
        <v>163</v>
      </c>
    </row>
    <row r="247" customFormat="false" ht="15" hidden="false" customHeight="false" outlineLevel="0" collapsed="false">
      <c r="A247" s="21" t="n">
        <v>246</v>
      </c>
      <c r="B247" s="22" t="s">
        <v>2007</v>
      </c>
      <c r="C247" s="23" t="s">
        <v>2008</v>
      </c>
      <c r="D247" s="23" t="s">
        <v>2009</v>
      </c>
      <c r="E247" s="23" t="s">
        <v>2010</v>
      </c>
      <c r="F247" s="22" t="s">
        <v>2011</v>
      </c>
      <c r="G247" s="22" t="s">
        <v>2012</v>
      </c>
      <c r="H247" s="22" t="s">
        <v>2013</v>
      </c>
      <c r="I247" s="23" t="s">
        <v>2014</v>
      </c>
      <c r="J247" s="24" t="str">
        <f aca="false">IFERROR(VLOOKUP(VALUE(LEFT(C247,2)),Справочники!$A$2:$B$16,2,FALSE()),"не определён")</f>
        <v>Московская область</v>
      </c>
      <c r="K247" s="24" t="str">
        <f aca="false">IF(TRIM(C247)="","ИНН не указан",IF(LEN(C247)&lt;&gt;10,"ИНН: должно быть 10 цифр",IF(NOT(ISNUMBER(IFERROR(VALUE(C247),"x"))),"ИНН: есть нецифровые символы",IF(MOD(MOD(SUMPRODUCT(--MID(C247,{1,2,3,4,5,6,7,8,9},1),{2,4,10,3,5,9,4,6,8}),11),10)=VALUE(RIGHT(C247,1)),"","ИНН: неверная контрольная цифра"))))</f>
        <v/>
      </c>
      <c r="L247" s="24" t="str">
        <f aca="false">IF(TRIM(D247)="","ОГРН не указан",IF(LEN(D247)&lt;&gt;13,"ОГРН: должно быть 13 цифр",IF(NOT(ISNUMBER(IFERROR(VALUE(D247),"x"))),"ОГРН: есть нецифровые символы",IF(MOD(VALUE(LEFT(D247,12))-11*INT(VALUE(LEFT(D247,12))/11),10)=VALUE(RIGHT(D247,1)),"","ОГРН: неверная контрольная цифра"))))</f>
        <v/>
      </c>
      <c r="M247" s="24" t="str">
        <f aca="false">IF(TRIM(E247)="","КПП не указан",IF(LEN(E247)&lt;&gt;9,"КПП: должно быть 9 знаков",IF(NOT(AND(ISNUMBER(IFERROR(VALUE(LEFT(E247,4)),"x")),ISNUMBER(IFERROR(VALUE(RIGHT(E247,3)),"x")))),"КПП: неверный формат",IF(LEFT(E247,2)&lt;&gt;LEFT(C247,2),"КПП: код региона не совпадает с ИНН",""))))</f>
        <v>КПП: неверный формат</v>
      </c>
      <c r="N247" s="24" t="str">
        <f aca="false">IF(TRIM(C247)="","",IF(COUNTIF($C$2:$C$401,C247)&gt;1,"Дубликат ИНН в реестре",""))</f>
        <v/>
      </c>
      <c r="O247" s="24" t="str">
        <f aca="false">IF(TRIM(H247)="","Email не указан",IF(AND(ISNUMBER(FIND("@",H247)),ISNUMBER(FIND(".",H247,IFERROR(FIND("@",H247),1))),ISERROR(FIND(" ",H247)),LEFT(H247,1)&lt;&gt;"@",RIGHT(H247,1)&lt;&gt;".",LEN(H247)-LEN(SUBSTITUTE(H247,"@",""))=1),"","Email: неверный формат"))</f>
        <v/>
      </c>
      <c r="P247" s="24" t="str">
        <f aca="false">IF(TRIM(I247)="","Телефон не указан",IF(AND(LEN(SUBSTITUTE(SUBSTITUTE(SUBSTITUTE(SUBSTITUTE(SUBSTITUTE(I247," ",""),"-",""),"(",""),")",""),"+",""))=11,OR(LEFT(SUBSTITUTE(SUBSTITUTE(SUBSTITUTE(SUBSTITUTE(SUBSTITUTE(I247," ",""),"-",""),"(",""),")",""),"+",""),1)="7",LEFT(SUBSTITUTE(SUBSTITUTE(SUBSTITUTE(SUBSTITUTE(SUBSTITUTE(I247," ",""),"-",""),"(",""),")",""),"+",""),1)="8"),ISNUMBER(IFERROR(VALUE(SUBSTITUTE(SUBSTITUTE(SUBSTITUTE(SUBSTITUTE(SUBSTITUTE(I247," ",""),"-",""),"(",""),")",""),"+","")),"x"))),"","Телефон: неверный формат"))</f>
        <v/>
      </c>
      <c r="Q247" s="24" t="str">
        <f aca="false">TRIM(IF(TRIM(B247)="","Нет наименования. ","")&amp;IF(TRIM(F247)="","Нет адреса. ","")&amp;IF(TRIM(G247)="","Нет контактного лица.",""))</f>
        <v/>
      </c>
      <c r="R247" s="21" t="n">
        <f aca="false">SUMPRODUCT(--(LEN(K247:Q247)&gt;0))</f>
        <v>1</v>
      </c>
      <c r="S247" s="24" t="str">
        <f aca="false">IF(R247=0,"Готово к передаче","Требует исправления")</f>
        <v>Требует исправления</v>
      </c>
      <c r="T247" s="24" t="str">
        <f aca="false">IF(R247=0,"",_xlfn.TEXTJOIN("; ",TRUE(),K247:Q247))</f>
        <v>КПП: неверный формат</v>
      </c>
      <c r="U247" s="24" t="str">
        <f aca="false">IF(R247=0,"","Здравствуйте! В данных организации «"&amp;B247&amp;"» обнаружены ошибки: "&amp;T247&amp;". Просим проверить и прислать исправленную информацию.")</f>
        <v>Здравствуйте! В данных организации «АО «Эталон Групп»» обнаружены ошибки: КПП: неверный формат. Просим проверить и прислать исправленную информацию.</v>
      </c>
      <c r="V247" s="21" t="n">
        <f aca="false">IF(R247&gt;0,COUNTIF($R$2:R247,"&gt;0"),"")</f>
        <v>83</v>
      </c>
      <c r="W247" s="21" t="str">
        <f aca="false">IF(R247=0,COUNTIF($R$2:R247,0),"")</f>
        <v/>
      </c>
    </row>
    <row r="248" customFormat="false" ht="15" hidden="false" customHeight="false" outlineLevel="0" collapsed="false">
      <c r="A248" s="21" t="n">
        <v>247</v>
      </c>
      <c r="B248" s="22" t="s">
        <v>2015</v>
      </c>
      <c r="C248" s="23" t="s">
        <v>770</v>
      </c>
      <c r="D248" s="23" t="s">
        <v>2016</v>
      </c>
      <c r="E248" s="23" t="s">
        <v>2017</v>
      </c>
      <c r="F248" s="22" t="s">
        <v>2018</v>
      </c>
      <c r="G248" s="22" t="s">
        <v>2019</v>
      </c>
      <c r="H248" s="22" t="s">
        <v>2020</v>
      </c>
      <c r="I248" s="23" t="s">
        <v>2021</v>
      </c>
      <c r="J248" s="24" t="str">
        <f aca="false">IFERROR(VLOOKUP(VALUE(LEFT(C248,2)),Справочники!$A$2:$B$16,2,FALSE()),"не определён")</f>
        <v>Нижегородская область</v>
      </c>
      <c r="K248" s="24" t="str">
        <f aca="false">IF(TRIM(C248)="","ИНН не указан",IF(LEN(C248)&lt;&gt;10,"ИНН: должно быть 10 цифр",IF(NOT(ISNUMBER(IFERROR(VALUE(C248),"x"))),"ИНН: есть нецифровые символы",IF(MOD(MOD(SUMPRODUCT(--MID(C248,{1,2,3,4,5,6,7,8,9},1),{2,4,10,3,5,9,4,6,8}),11),10)=VALUE(RIGHT(C248,1)),"","ИНН: неверная контрольная цифра"))))</f>
        <v/>
      </c>
      <c r="L248" s="24" t="str">
        <f aca="false">IF(TRIM(D248)="","ОГРН не указан",IF(LEN(D248)&lt;&gt;13,"ОГРН: должно быть 13 цифр",IF(NOT(ISNUMBER(IFERROR(VALUE(D248),"x"))),"ОГРН: есть нецифровые символы",IF(MOD(VALUE(LEFT(D248,12))-11*INT(VALUE(LEFT(D248,12))/11),10)=VALUE(RIGHT(D248,1)),"","ОГРН: неверная контрольная цифра"))))</f>
        <v/>
      </c>
      <c r="M248" s="24" t="str">
        <f aca="false">IF(TRIM(E248)="","КПП не указан",IF(LEN(E248)&lt;&gt;9,"КПП: должно быть 9 знаков",IF(NOT(AND(ISNUMBER(IFERROR(VALUE(LEFT(E248,4)),"x")),ISNUMBER(IFERROR(VALUE(RIGHT(E248,3)),"x")))),"КПП: неверный формат",IF(LEFT(E248,2)&lt;&gt;LEFT(C248,2),"КПП: код региона не совпадает с ИНН",""))))</f>
        <v/>
      </c>
      <c r="N248" s="24" t="str">
        <f aca="false">IF(TRIM(C248)="","",IF(COUNTIF($C$2:$C$401,C248)&gt;1,"Дубликат ИНН в реестре",""))</f>
        <v>Дубликат ИНН в реестре</v>
      </c>
      <c r="O248" s="24" t="str">
        <f aca="false">IF(TRIM(H248)="","Email не указан",IF(AND(ISNUMBER(FIND("@",H248)),ISNUMBER(FIND(".",H248,IFERROR(FIND("@",H248),1))),ISERROR(FIND(" ",H248)),LEFT(H248,1)&lt;&gt;"@",RIGHT(H248,1)&lt;&gt;".",LEN(H248)-LEN(SUBSTITUTE(H248,"@",""))=1),"","Email: неверный формат"))</f>
        <v/>
      </c>
      <c r="P248" s="24" t="str">
        <f aca="false">IF(TRIM(I248)="","Телефон не указан",IF(AND(LEN(SUBSTITUTE(SUBSTITUTE(SUBSTITUTE(SUBSTITUTE(SUBSTITUTE(I248," ",""),"-",""),"(",""),")",""),"+",""))=11,OR(LEFT(SUBSTITUTE(SUBSTITUTE(SUBSTITUTE(SUBSTITUTE(SUBSTITUTE(I248," ",""),"-",""),"(",""),")",""),"+",""),1)="7",LEFT(SUBSTITUTE(SUBSTITUTE(SUBSTITUTE(SUBSTITUTE(SUBSTITUTE(I248," ",""),"-",""),"(",""),")",""),"+",""),1)="8"),ISNUMBER(IFERROR(VALUE(SUBSTITUTE(SUBSTITUTE(SUBSTITUTE(SUBSTITUTE(SUBSTITUTE(I248," ",""),"-",""),"(",""),")",""),"+","")),"x"))),"","Телефон: неверный формат"))</f>
        <v/>
      </c>
      <c r="Q248" s="24" t="str">
        <f aca="false">TRIM(IF(TRIM(B248)="","Нет наименования. ","")&amp;IF(TRIM(F248)="","Нет адреса. ","")&amp;IF(TRIM(G248)="","Нет контактного лица.",""))</f>
        <v/>
      </c>
      <c r="R248" s="21" t="n">
        <f aca="false">SUMPRODUCT(--(LEN(K248:Q248)&gt;0))</f>
        <v>1</v>
      </c>
      <c r="S248" s="24" t="str">
        <f aca="false">IF(R248=0,"Готово к передаче","Требует исправления")</f>
        <v>Требует исправления</v>
      </c>
      <c r="T248" s="24" t="str">
        <f aca="false">IF(R248=0,"",_xlfn.TEXTJOIN("; ",TRUE(),K248:Q248))</f>
        <v>Дубликат ИНН в реестре</v>
      </c>
      <c r="U248" s="24" t="str">
        <f aca="false">IF(R248=0,"","Здравствуйте! В данных организации «"&amp;B248&amp;"» обнаружены ошибки: "&amp;T248&amp;". Просим проверить и прислать исправленную информацию.")</f>
        <v>Здравствуйте! В данных организации «ООО «Навигатор Консалт»» обнаружены ошибки: Дубликат ИНН в реестре. Просим проверить и прислать исправленную информацию.</v>
      </c>
      <c r="V248" s="21" t="n">
        <f aca="false">IF(R248&gt;0,COUNTIF($R$2:R248,"&gt;0"),"")</f>
        <v>84</v>
      </c>
      <c r="W248" s="21" t="str">
        <f aca="false">IF(R248=0,COUNTIF($R$2:R248,0),"")</f>
        <v/>
      </c>
    </row>
    <row r="249" customFormat="false" ht="15" hidden="false" customHeight="false" outlineLevel="0" collapsed="false">
      <c r="A249" s="21" t="n">
        <v>248</v>
      </c>
      <c r="B249" s="22" t="s">
        <v>2022</v>
      </c>
      <c r="C249" s="23" t="s">
        <v>2023</v>
      </c>
      <c r="D249" s="23" t="s">
        <v>2024</v>
      </c>
      <c r="E249" s="23" t="s">
        <v>2025</v>
      </c>
      <c r="F249" s="22" t="s">
        <v>2026</v>
      </c>
      <c r="G249" s="22" t="s">
        <v>2027</v>
      </c>
      <c r="H249" s="22" t="s">
        <v>2028</v>
      </c>
      <c r="I249" s="23" t="s">
        <v>2029</v>
      </c>
      <c r="J249" s="24" t="str">
        <f aca="false">IFERROR(VLOOKUP(VALUE(LEFT(C249,2)),Справочники!$A$2:$B$16,2,FALSE()),"не определён")</f>
        <v>Самарская область</v>
      </c>
      <c r="K249" s="24" t="str">
        <f aca="false">IF(TRIM(C249)="","ИНН не указан",IF(LEN(C249)&lt;&gt;10,"ИНН: должно быть 10 цифр",IF(NOT(ISNUMBER(IFERROR(VALUE(C249),"x"))),"ИНН: есть нецифровые символы",IF(MOD(MOD(SUMPRODUCT(--MID(C249,{1,2,3,4,5,6,7,8,9},1),{2,4,10,3,5,9,4,6,8}),11),10)=VALUE(RIGHT(C249,1)),"","ИНН: неверная контрольная цифра"))))</f>
        <v/>
      </c>
      <c r="L249" s="24" t="str">
        <f aca="false">IF(TRIM(D249)="","ОГРН не указан",IF(LEN(D249)&lt;&gt;13,"ОГРН: должно быть 13 цифр",IF(NOT(ISNUMBER(IFERROR(VALUE(D249),"x"))),"ОГРН: есть нецифровые символы",IF(MOD(VALUE(LEFT(D249,12))-11*INT(VALUE(LEFT(D249,12))/11),10)=VALUE(RIGHT(D249,1)),"","ОГРН: неверная контрольная цифра"))))</f>
        <v/>
      </c>
      <c r="M249" s="24" t="str">
        <f aca="false">IF(TRIM(E249)="","КПП не указан",IF(LEN(E249)&lt;&gt;9,"КПП: должно быть 9 знаков",IF(NOT(AND(ISNUMBER(IFERROR(VALUE(LEFT(E249,4)),"x")),ISNUMBER(IFERROR(VALUE(RIGHT(E249,3)),"x")))),"КПП: неверный формат",IF(LEFT(E249,2)&lt;&gt;LEFT(C249,2),"КПП: код региона не совпадает с ИНН",""))))</f>
        <v/>
      </c>
      <c r="N249" s="24" t="str">
        <f aca="false">IF(TRIM(C249)="","",IF(COUNTIF($C$2:$C$401,C249)&gt;1,"Дубликат ИНН в реестре",""))</f>
        <v/>
      </c>
      <c r="O249" s="24" t="str">
        <f aca="false">IF(TRIM(H249)="","Email не указан",IF(AND(ISNUMBER(FIND("@",H249)),ISNUMBER(FIND(".",H249,IFERROR(FIND("@",H249),1))),ISERROR(FIND(" ",H249)),LEFT(H249,1)&lt;&gt;"@",RIGHT(H249,1)&lt;&gt;".",LEN(H249)-LEN(SUBSTITUTE(H249,"@",""))=1),"","Email: неверный формат"))</f>
        <v/>
      </c>
      <c r="P249" s="24" t="str">
        <f aca="false">IF(TRIM(I249)="","Телефон не указан",IF(AND(LEN(SUBSTITUTE(SUBSTITUTE(SUBSTITUTE(SUBSTITUTE(SUBSTITUTE(I249," ",""),"-",""),"(",""),")",""),"+",""))=11,OR(LEFT(SUBSTITUTE(SUBSTITUTE(SUBSTITUTE(SUBSTITUTE(SUBSTITUTE(I249," ",""),"-",""),"(",""),")",""),"+",""),1)="7",LEFT(SUBSTITUTE(SUBSTITUTE(SUBSTITUTE(SUBSTITUTE(SUBSTITUTE(I249," ",""),"-",""),"(",""),")",""),"+",""),1)="8"),ISNUMBER(IFERROR(VALUE(SUBSTITUTE(SUBSTITUTE(SUBSTITUTE(SUBSTITUTE(SUBSTITUTE(I249," ",""),"-",""),"(",""),")",""),"+","")),"x"))),"","Телефон: неверный формат"))</f>
        <v/>
      </c>
      <c r="Q249" s="24" t="str">
        <f aca="false">TRIM(IF(TRIM(B249)="","Нет наименования. ","")&amp;IF(TRIM(F249)="","Нет адреса. ","")&amp;IF(TRIM(G249)="","Нет контактного лица.",""))</f>
        <v/>
      </c>
      <c r="R249" s="21" t="n">
        <f aca="false">SUMPRODUCT(--(LEN(K249:Q249)&gt;0))</f>
        <v>0</v>
      </c>
      <c r="S249" s="24" t="str">
        <f aca="false">IF(R249=0,"Готово к передаче","Требует исправления")</f>
        <v>Готово к передаче</v>
      </c>
      <c r="T249" s="24" t="str">
        <f aca="false">IF(R249=0,"",_xlfn.TEXTJOIN("; ",TRUE(),K249:Q249))</f>
        <v/>
      </c>
      <c r="U249" s="24" t="str">
        <f aca="false">IF(R249=0,"","Здравствуйте! В данных организации «"&amp;B249&amp;"» обнаружены ошибки: "&amp;T249&amp;". Просим проверить и прислать исправленную информацию.")</f>
        <v/>
      </c>
      <c r="V249" s="21" t="str">
        <f aca="false">IF(R249&gt;0,COUNTIF($R$2:R249,"&gt;0"),"")</f>
        <v/>
      </c>
      <c r="W249" s="21" t="n">
        <f aca="false">IF(R249=0,COUNTIF($R$2:R249,0),"")</f>
        <v>164</v>
      </c>
    </row>
    <row r="250" customFormat="false" ht="15" hidden="false" customHeight="false" outlineLevel="0" collapsed="false">
      <c r="A250" s="21" t="n">
        <v>249</v>
      </c>
      <c r="B250" s="22" t="s">
        <v>2030</v>
      </c>
      <c r="C250" s="23" t="s">
        <v>2031</v>
      </c>
      <c r="D250" s="23" t="s">
        <v>2032</v>
      </c>
      <c r="E250" s="23" t="s">
        <v>2033</v>
      </c>
      <c r="F250" s="22" t="s">
        <v>2034</v>
      </c>
      <c r="G250" s="22" t="s">
        <v>2035</v>
      </c>
      <c r="H250" s="22" t="s">
        <v>2036</v>
      </c>
      <c r="I250" s="23" t="s">
        <v>2037</v>
      </c>
      <c r="J250" s="24" t="str">
        <f aca="false">IFERROR(VLOOKUP(VALUE(LEFT(C250,2)),Справочники!$A$2:$B$16,2,FALSE()),"не определён")</f>
        <v>г. Москва</v>
      </c>
      <c r="K250" s="24" t="str">
        <f aca="false">IF(TRIM(C250)="","ИНН не указан",IF(LEN(C250)&lt;&gt;10,"ИНН: должно быть 10 цифр",IF(NOT(ISNUMBER(IFERROR(VALUE(C250),"x"))),"ИНН: есть нецифровые символы",IF(MOD(MOD(SUMPRODUCT(--MID(C250,{1,2,3,4,5,6,7,8,9},1),{2,4,10,3,5,9,4,6,8}),11),10)=VALUE(RIGHT(C250,1)),"","ИНН: неверная контрольная цифра"))))</f>
        <v/>
      </c>
      <c r="L250" s="24" t="str">
        <f aca="false">IF(TRIM(D250)="","ОГРН не указан",IF(LEN(D250)&lt;&gt;13,"ОГРН: должно быть 13 цифр",IF(NOT(ISNUMBER(IFERROR(VALUE(D250),"x"))),"ОГРН: есть нецифровые символы",IF(MOD(VALUE(LEFT(D250,12))-11*INT(VALUE(LEFT(D250,12))/11),10)=VALUE(RIGHT(D250,1)),"","ОГРН: неверная контрольная цифра"))))</f>
        <v/>
      </c>
      <c r="M250" s="24" t="str">
        <f aca="false">IF(TRIM(E250)="","КПП не указан",IF(LEN(E250)&lt;&gt;9,"КПП: должно быть 9 знаков",IF(NOT(AND(ISNUMBER(IFERROR(VALUE(LEFT(E250,4)),"x")),ISNUMBER(IFERROR(VALUE(RIGHT(E250,3)),"x")))),"КПП: неверный формат",IF(LEFT(E250,2)&lt;&gt;LEFT(C250,2),"КПП: код региона не совпадает с ИНН",""))))</f>
        <v/>
      </c>
      <c r="N250" s="24" t="str">
        <f aca="false">IF(TRIM(C250)="","",IF(COUNTIF($C$2:$C$401,C250)&gt;1,"Дубликат ИНН в реестре",""))</f>
        <v/>
      </c>
      <c r="O250" s="24" t="str">
        <f aca="false">IF(TRIM(H250)="","Email не указан",IF(AND(ISNUMBER(FIND("@",H250)),ISNUMBER(FIND(".",H250,IFERROR(FIND("@",H250),1))),ISERROR(FIND(" ",H250)),LEFT(H250,1)&lt;&gt;"@",RIGHT(H250,1)&lt;&gt;".",LEN(H250)-LEN(SUBSTITUTE(H250,"@",""))=1),"","Email: неверный формат"))</f>
        <v/>
      </c>
      <c r="P250" s="24" t="str">
        <f aca="false">IF(TRIM(I250)="","Телефон не указан",IF(AND(LEN(SUBSTITUTE(SUBSTITUTE(SUBSTITUTE(SUBSTITUTE(SUBSTITUTE(I250," ",""),"-",""),"(",""),")",""),"+",""))=11,OR(LEFT(SUBSTITUTE(SUBSTITUTE(SUBSTITUTE(SUBSTITUTE(SUBSTITUTE(I250," ",""),"-",""),"(",""),")",""),"+",""),1)="7",LEFT(SUBSTITUTE(SUBSTITUTE(SUBSTITUTE(SUBSTITUTE(SUBSTITUTE(I250," ",""),"-",""),"(",""),")",""),"+",""),1)="8"),ISNUMBER(IFERROR(VALUE(SUBSTITUTE(SUBSTITUTE(SUBSTITUTE(SUBSTITUTE(SUBSTITUTE(I250," ",""),"-",""),"(",""),")",""),"+","")),"x"))),"","Телефон: неверный формат"))</f>
        <v/>
      </c>
      <c r="Q250" s="24" t="str">
        <f aca="false">TRIM(IF(TRIM(B250)="","Нет наименования. ","")&amp;IF(TRIM(F250)="","Нет адреса. ","")&amp;IF(TRIM(G250)="","Нет контактного лица.",""))</f>
        <v/>
      </c>
      <c r="R250" s="21" t="n">
        <f aca="false">SUMPRODUCT(--(LEN(K250:Q250)&gt;0))</f>
        <v>0</v>
      </c>
      <c r="S250" s="24" t="str">
        <f aca="false">IF(R250=0,"Готово к передаче","Требует исправления")</f>
        <v>Готово к передаче</v>
      </c>
      <c r="T250" s="24" t="str">
        <f aca="false">IF(R250=0,"",_xlfn.TEXTJOIN("; ",TRUE(),K250:Q250))</f>
        <v/>
      </c>
      <c r="U250" s="24" t="str">
        <f aca="false">IF(R250=0,"","Здравствуйте! В данных организации «"&amp;B250&amp;"» обнаружены ошибки: "&amp;T250&amp;". Просим проверить и прислать исправленную информацию.")</f>
        <v/>
      </c>
      <c r="V250" s="21" t="str">
        <f aca="false">IF(R250&gt;0,COUNTIF($R$2:R250,"&gt;0"),"")</f>
        <v/>
      </c>
      <c r="W250" s="21" t="n">
        <f aca="false">IF(R250=0,COUNTIF($R$2:R250,0),"")</f>
        <v>165</v>
      </c>
    </row>
    <row r="251" customFormat="false" ht="15" hidden="false" customHeight="false" outlineLevel="0" collapsed="false">
      <c r="A251" s="21" t="n">
        <v>250</v>
      </c>
      <c r="B251" s="22" t="s">
        <v>2038</v>
      </c>
      <c r="C251" s="23" t="s">
        <v>2039</v>
      </c>
      <c r="D251" s="23" t="s">
        <v>2040</v>
      </c>
      <c r="E251" s="23"/>
      <c r="F251" s="22" t="s">
        <v>2041</v>
      </c>
      <c r="G251" s="22" t="s">
        <v>2042</v>
      </c>
      <c r="H251" s="22" t="s">
        <v>2043</v>
      </c>
      <c r="I251" s="23" t="s">
        <v>2044</v>
      </c>
      <c r="J251" s="24" t="str">
        <f aca="false">IFERROR(VLOOKUP(VALUE(LEFT(C251,2)),Справочники!$A$2:$B$16,2,FALSE()),"не определён")</f>
        <v>г. Севастополь</v>
      </c>
      <c r="K251" s="24" t="str">
        <f aca="false">IF(TRIM(C251)="","ИНН не указан",IF(LEN(C251)&lt;&gt;10,"ИНН: должно быть 10 цифр",IF(NOT(ISNUMBER(IFERROR(VALUE(C251),"x"))),"ИНН: есть нецифровые символы",IF(MOD(MOD(SUMPRODUCT(--MID(C251,{1,2,3,4,5,6,7,8,9},1),{2,4,10,3,5,9,4,6,8}),11),10)=VALUE(RIGHT(C251,1)),"","ИНН: неверная контрольная цифра"))))</f>
        <v/>
      </c>
      <c r="L251" s="24" t="str">
        <f aca="false">IF(TRIM(D251)="","ОГРН не указан",IF(LEN(D251)&lt;&gt;13,"ОГРН: должно быть 13 цифр",IF(NOT(ISNUMBER(IFERROR(VALUE(D251),"x"))),"ОГРН: есть нецифровые символы",IF(MOD(VALUE(LEFT(D251,12))-11*INT(VALUE(LEFT(D251,12))/11),10)=VALUE(RIGHT(D251,1)),"","ОГРН: неверная контрольная цифра"))))</f>
        <v/>
      </c>
      <c r="M251" s="24" t="str">
        <f aca="false">IF(TRIM(E251)="","КПП не указан",IF(LEN(E251)&lt;&gt;9,"КПП: должно быть 9 знаков",IF(NOT(AND(ISNUMBER(IFERROR(VALUE(LEFT(E251,4)),"x")),ISNUMBER(IFERROR(VALUE(RIGHT(E251,3)),"x")))),"КПП: неверный формат",IF(LEFT(E251,2)&lt;&gt;LEFT(C251,2),"КПП: код региона не совпадает с ИНН",""))))</f>
        <v>КПП не указан</v>
      </c>
      <c r="N251" s="24" t="str">
        <f aca="false">IF(TRIM(C251)="","",IF(COUNTIF($C$2:$C$401,C251)&gt;1,"Дубликат ИНН в реестре",""))</f>
        <v/>
      </c>
      <c r="O251" s="24" t="str">
        <f aca="false">IF(TRIM(H251)="","Email не указан",IF(AND(ISNUMBER(FIND("@",H251)),ISNUMBER(FIND(".",H251,IFERROR(FIND("@",H251),1))),ISERROR(FIND(" ",H251)),LEFT(H251,1)&lt;&gt;"@",RIGHT(H251,1)&lt;&gt;".",LEN(H251)-LEN(SUBSTITUTE(H251,"@",""))=1),"","Email: неверный формат"))</f>
        <v/>
      </c>
      <c r="P251" s="24" t="str">
        <f aca="false">IF(TRIM(I251)="","Телефон не указан",IF(AND(LEN(SUBSTITUTE(SUBSTITUTE(SUBSTITUTE(SUBSTITUTE(SUBSTITUTE(I251," ",""),"-",""),"(",""),")",""),"+",""))=11,OR(LEFT(SUBSTITUTE(SUBSTITUTE(SUBSTITUTE(SUBSTITUTE(SUBSTITUTE(I251," ",""),"-",""),"(",""),")",""),"+",""),1)="7",LEFT(SUBSTITUTE(SUBSTITUTE(SUBSTITUTE(SUBSTITUTE(SUBSTITUTE(I251," ",""),"-",""),"(",""),")",""),"+",""),1)="8"),ISNUMBER(IFERROR(VALUE(SUBSTITUTE(SUBSTITUTE(SUBSTITUTE(SUBSTITUTE(SUBSTITUTE(I251," ",""),"-",""),"(",""),")",""),"+","")),"x"))),"","Телефон: неверный формат"))</f>
        <v/>
      </c>
      <c r="Q251" s="24" t="str">
        <f aca="false">TRIM(IF(TRIM(B251)="","Нет наименования. ","")&amp;IF(TRIM(F251)="","Нет адреса. ","")&amp;IF(TRIM(G251)="","Нет контактного лица.",""))</f>
        <v/>
      </c>
      <c r="R251" s="21" t="n">
        <f aca="false">SUMPRODUCT(--(LEN(K251:Q251)&gt;0))</f>
        <v>1</v>
      </c>
      <c r="S251" s="24" t="str">
        <f aca="false">IF(R251=0,"Готово к передаче","Требует исправления")</f>
        <v>Требует исправления</v>
      </c>
      <c r="T251" s="24" t="str">
        <f aca="false">IF(R251=0,"",_xlfn.TEXTJOIN("; ",TRUE(),K251:Q251))</f>
        <v>КПП не указан</v>
      </c>
      <c r="U251" s="24" t="str">
        <f aca="false">IF(R251=0,"","Здравствуйте! В данных организации «"&amp;B251&amp;"» обнаружены ошибки: "&amp;T251&amp;". Просим проверить и прислать исправленную информацию.")</f>
        <v>Здравствуйте! В данных организации «ООО «Радуга Групп»» обнаружены ошибки: КПП не указан. Просим проверить и прислать исправленную информацию.</v>
      </c>
      <c r="V251" s="21" t="n">
        <f aca="false">IF(R251&gt;0,COUNTIF($R$2:R251,"&gt;0"),"")</f>
        <v>85</v>
      </c>
      <c r="W251" s="21" t="str">
        <f aca="false">IF(R251=0,COUNTIF($R$2:R251,0),"")</f>
        <v/>
      </c>
    </row>
    <row r="252" customFormat="false" ht="15" hidden="false" customHeight="false" outlineLevel="0" collapsed="false">
      <c r="A252" s="21" t="n">
        <v>251</v>
      </c>
      <c r="B252" s="22" t="s">
        <v>2045</v>
      </c>
      <c r="C252" s="23" t="s">
        <v>2046</v>
      </c>
      <c r="D252" s="23" t="s">
        <v>2047</v>
      </c>
      <c r="E252" s="23" t="s">
        <v>2048</v>
      </c>
      <c r="F252" s="22" t="s">
        <v>2049</v>
      </c>
      <c r="G252" s="22" t="s">
        <v>2050</v>
      </c>
      <c r="H252" s="22" t="s">
        <v>2051</v>
      </c>
      <c r="I252" s="23" t="s">
        <v>2052</v>
      </c>
      <c r="J252" s="24" t="str">
        <f aca="false">IFERROR(VLOOKUP(VALUE(LEFT(C252,2)),Справочники!$A$2:$B$16,2,FALSE()),"не определён")</f>
        <v>г. Севастополь</v>
      </c>
      <c r="K252" s="24" t="str">
        <f aca="false">IF(TRIM(C252)="","ИНН не указан",IF(LEN(C252)&lt;&gt;10,"ИНН: должно быть 10 цифр",IF(NOT(ISNUMBER(IFERROR(VALUE(C252),"x"))),"ИНН: есть нецифровые символы",IF(MOD(MOD(SUMPRODUCT(--MID(C252,{1,2,3,4,5,6,7,8,9},1),{2,4,10,3,5,9,4,6,8}),11),10)=VALUE(RIGHT(C252,1)),"","ИНН: неверная контрольная цифра"))))</f>
        <v/>
      </c>
      <c r="L252" s="24" t="str">
        <f aca="false">IF(TRIM(D252)="","ОГРН не указан",IF(LEN(D252)&lt;&gt;13,"ОГРН: должно быть 13 цифр",IF(NOT(ISNUMBER(IFERROR(VALUE(D252),"x"))),"ОГРН: есть нецифровые символы",IF(MOD(VALUE(LEFT(D252,12))-11*INT(VALUE(LEFT(D252,12))/11),10)=VALUE(RIGHT(D252,1)),"","ОГРН: неверная контрольная цифра"))))</f>
        <v/>
      </c>
      <c r="M252" s="24" t="str">
        <f aca="false">IF(TRIM(E252)="","КПП не указан",IF(LEN(E252)&lt;&gt;9,"КПП: должно быть 9 знаков",IF(NOT(AND(ISNUMBER(IFERROR(VALUE(LEFT(E252,4)),"x")),ISNUMBER(IFERROR(VALUE(RIGHT(E252,3)),"x")))),"КПП: неверный формат",IF(LEFT(E252,2)&lt;&gt;LEFT(C252,2),"КПП: код региона не совпадает с ИНН",""))))</f>
        <v/>
      </c>
      <c r="N252" s="24" t="str">
        <f aca="false">IF(TRIM(C252)="","",IF(COUNTIF($C$2:$C$401,C252)&gt;1,"Дубликат ИНН в реестре",""))</f>
        <v/>
      </c>
      <c r="O252" s="24" t="str">
        <f aca="false">IF(TRIM(H252)="","Email не указан",IF(AND(ISNUMBER(FIND("@",H252)),ISNUMBER(FIND(".",H252,IFERROR(FIND("@",H252),1))),ISERROR(FIND(" ",H252)),LEFT(H252,1)&lt;&gt;"@",RIGHT(H252,1)&lt;&gt;".",LEN(H252)-LEN(SUBSTITUTE(H252,"@",""))=1),"","Email: неверный формат"))</f>
        <v/>
      </c>
      <c r="P252" s="24" t="str">
        <f aca="false">IF(TRIM(I252)="","Телефон не указан",IF(AND(LEN(SUBSTITUTE(SUBSTITUTE(SUBSTITUTE(SUBSTITUTE(SUBSTITUTE(I252," ",""),"-",""),"(",""),")",""),"+",""))=11,OR(LEFT(SUBSTITUTE(SUBSTITUTE(SUBSTITUTE(SUBSTITUTE(SUBSTITUTE(I252," ",""),"-",""),"(",""),")",""),"+",""),1)="7",LEFT(SUBSTITUTE(SUBSTITUTE(SUBSTITUTE(SUBSTITUTE(SUBSTITUTE(I252," ",""),"-",""),"(",""),")",""),"+",""),1)="8"),ISNUMBER(IFERROR(VALUE(SUBSTITUTE(SUBSTITUTE(SUBSTITUTE(SUBSTITUTE(SUBSTITUTE(I252," ",""),"-",""),"(",""),")",""),"+","")),"x"))),"","Телефон: неверный формат"))</f>
        <v/>
      </c>
      <c r="Q252" s="24" t="str">
        <f aca="false">TRIM(IF(TRIM(B252)="","Нет наименования. ","")&amp;IF(TRIM(F252)="","Нет адреса. ","")&amp;IF(TRIM(G252)="","Нет контактного лица.",""))</f>
        <v/>
      </c>
      <c r="R252" s="21" t="n">
        <f aca="false">SUMPRODUCT(--(LEN(K252:Q252)&gt;0))</f>
        <v>0</v>
      </c>
      <c r="S252" s="24" t="str">
        <f aca="false">IF(R252=0,"Готово к передаче","Требует исправления")</f>
        <v>Готово к передаче</v>
      </c>
      <c r="T252" s="24" t="str">
        <f aca="false">IF(R252=0,"",_xlfn.TEXTJOIN("; ",TRUE(),K252:Q252))</f>
        <v/>
      </c>
      <c r="U252" s="24" t="str">
        <f aca="false">IF(R252=0,"","Здравствуйте! В данных организации «"&amp;B252&amp;"» обнаружены ошибки: "&amp;T252&amp;". Просим проверить и прислать исправленную информацию.")</f>
        <v/>
      </c>
      <c r="V252" s="21" t="str">
        <f aca="false">IF(R252&gt;0,COUNTIF($R$2:R252,"&gt;0"),"")</f>
        <v/>
      </c>
      <c r="W252" s="21" t="n">
        <f aca="false">IF(R252=0,COUNTIF($R$2:R252,0),"")</f>
        <v>166</v>
      </c>
    </row>
    <row r="253" customFormat="false" ht="15" hidden="false" customHeight="false" outlineLevel="0" collapsed="false">
      <c r="A253" s="21" t="n">
        <v>252</v>
      </c>
      <c r="B253" s="22" t="s">
        <v>2053</v>
      </c>
      <c r="C253" s="23" t="s">
        <v>2054</v>
      </c>
      <c r="D253" s="23" t="s">
        <v>2055</v>
      </c>
      <c r="E253" s="23" t="s">
        <v>2056</v>
      </c>
      <c r="F253" s="22" t="s">
        <v>2057</v>
      </c>
      <c r="G253" s="22" t="s">
        <v>2058</v>
      </c>
      <c r="H253" s="22" t="s">
        <v>2059</v>
      </c>
      <c r="I253" s="23" t="s">
        <v>2060</v>
      </c>
      <c r="J253" s="24" t="str">
        <f aca="false">IFERROR(VLOOKUP(VALUE(LEFT(C253,2)),Справочники!$A$2:$B$16,2,FALSE()),"не определён")</f>
        <v>Новосибирская область</v>
      </c>
      <c r="K253" s="24" t="str">
        <f aca="false">IF(TRIM(C253)="","ИНН не указан",IF(LEN(C253)&lt;&gt;10,"ИНН: должно быть 10 цифр",IF(NOT(ISNUMBER(IFERROR(VALUE(C253),"x"))),"ИНН: есть нецифровые символы",IF(MOD(MOD(SUMPRODUCT(--MID(C253,{1,2,3,4,5,6,7,8,9},1),{2,4,10,3,5,9,4,6,8}),11),10)=VALUE(RIGHT(C253,1)),"","ИНН: неверная контрольная цифра"))))</f>
        <v/>
      </c>
      <c r="L253" s="24" t="str">
        <f aca="false">IF(TRIM(D253)="","ОГРН не указан",IF(LEN(D253)&lt;&gt;13,"ОГРН: должно быть 13 цифр",IF(NOT(ISNUMBER(IFERROR(VALUE(D253),"x"))),"ОГРН: есть нецифровые символы",IF(MOD(VALUE(LEFT(D253,12))-11*INT(VALUE(LEFT(D253,12))/11),10)=VALUE(RIGHT(D253,1)),"","ОГРН: неверная контрольная цифра"))))</f>
        <v/>
      </c>
      <c r="M253" s="24" t="str">
        <f aca="false">IF(TRIM(E253)="","КПП не указан",IF(LEN(E253)&lt;&gt;9,"КПП: должно быть 9 знаков",IF(NOT(AND(ISNUMBER(IFERROR(VALUE(LEFT(E253,4)),"x")),ISNUMBER(IFERROR(VALUE(RIGHT(E253,3)),"x")))),"КПП: неверный формат",IF(LEFT(E253,2)&lt;&gt;LEFT(C253,2),"КПП: код региона не совпадает с ИНН",""))))</f>
        <v/>
      </c>
      <c r="N253" s="24" t="str">
        <f aca="false">IF(TRIM(C253)="","",IF(COUNTIF($C$2:$C$401,C253)&gt;1,"Дубликат ИНН в реестре",""))</f>
        <v/>
      </c>
      <c r="O253" s="24" t="str">
        <f aca="false">IF(TRIM(H253)="","Email не указан",IF(AND(ISNUMBER(FIND("@",H253)),ISNUMBER(FIND(".",H253,IFERROR(FIND("@",H253),1))),ISERROR(FIND(" ",H253)),LEFT(H253,1)&lt;&gt;"@",RIGHT(H253,1)&lt;&gt;".",LEN(H253)-LEN(SUBSTITUTE(H253,"@",""))=1),"","Email: неверный формат"))</f>
        <v/>
      </c>
      <c r="P253" s="24" t="str">
        <f aca="false">IF(TRIM(I253)="","Телефон не указан",IF(AND(LEN(SUBSTITUTE(SUBSTITUTE(SUBSTITUTE(SUBSTITUTE(SUBSTITUTE(I253," ",""),"-",""),"(",""),")",""),"+",""))=11,OR(LEFT(SUBSTITUTE(SUBSTITUTE(SUBSTITUTE(SUBSTITUTE(SUBSTITUTE(I253," ",""),"-",""),"(",""),")",""),"+",""),1)="7",LEFT(SUBSTITUTE(SUBSTITUTE(SUBSTITUTE(SUBSTITUTE(SUBSTITUTE(I253," ",""),"-",""),"(",""),")",""),"+",""),1)="8"),ISNUMBER(IFERROR(VALUE(SUBSTITUTE(SUBSTITUTE(SUBSTITUTE(SUBSTITUTE(SUBSTITUTE(I253," ",""),"-",""),"(",""),")",""),"+","")),"x"))),"","Телефон: неверный формат"))</f>
        <v/>
      </c>
      <c r="Q253" s="24" t="str">
        <f aca="false">TRIM(IF(TRIM(B253)="","Нет наименования. ","")&amp;IF(TRIM(F253)="","Нет адреса. ","")&amp;IF(TRIM(G253)="","Нет контактного лица.",""))</f>
        <v/>
      </c>
      <c r="R253" s="21" t="n">
        <f aca="false">SUMPRODUCT(--(LEN(K253:Q253)&gt;0))</f>
        <v>0</v>
      </c>
      <c r="S253" s="24" t="str">
        <f aca="false">IF(R253=0,"Готово к передаче","Требует исправления")</f>
        <v>Готово к передаче</v>
      </c>
      <c r="T253" s="24" t="str">
        <f aca="false">IF(R253=0,"",_xlfn.TEXTJOIN("; ",TRUE(),K253:Q253))</f>
        <v/>
      </c>
      <c r="U253" s="24" t="str">
        <f aca="false">IF(R253=0,"","Здравствуйте! В данных организации «"&amp;B253&amp;"» обнаружены ошибки: "&amp;T253&amp;". Просим проверить и прислать исправленную информацию.")</f>
        <v/>
      </c>
      <c r="V253" s="21" t="str">
        <f aca="false">IF(R253&gt;0,COUNTIF($R$2:R253,"&gt;0"),"")</f>
        <v/>
      </c>
      <c r="W253" s="21" t="n">
        <f aca="false">IF(R253=0,COUNTIF($R$2:R253,0),"")</f>
        <v>167</v>
      </c>
    </row>
    <row r="254" customFormat="false" ht="15" hidden="false" customHeight="false" outlineLevel="0" collapsed="false">
      <c r="A254" s="21" t="n">
        <v>253</v>
      </c>
      <c r="B254" s="22" t="s">
        <v>2061</v>
      </c>
      <c r="C254" s="23" t="s">
        <v>2062</v>
      </c>
      <c r="D254" s="23" t="s">
        <v>2063</v>
      </c>
      <c r="E254" s="23" t="s">
        <v>2064</v>
      </c>
      <c r="F254" s="22" t="s">
        <v>2065</v>
      </c>
      <c r="G254" s="22" t="s">
        <v>2066</v>
      </c>
      <c r="H254" s="22" t="s">
        <v>2067</v>
      </c>
      <c r="I254" s="23" t="s">
        <v>2068</v>
      </c>
      <c r="J254" s="24" t="str">
        <f aca="false">IFERROR(VLOOKUP(VALUE(LEFT(C254,2)),Справочники!$A$2:$B$16,2,FALSE()),"не определён")</f>
        <v>Новосибирская область</v>
      </c>
      <c r="K254" s="24" t="str">
        <f aca="false">IF(TRIM(C254)="","ИНН не указан",IF(LEN(C254)&lt;&gt;10,"ИНН: должно быть 10 цифр",IF(NOT(ISNUMBER(IFERROR(VALUE(C254),"x"))),"ИНН: есть нецифровые символы",IF(MOD(MOD(SUMPRODUCT(--MID(C254,{1,2,3,4,5,6,7,8,9},1),{2,4,10,3,5,9,4,6,8}),11),10)=VALUE(RIGHT(C254,1)),"","ИНН: неверная контрольная цифра"))))</f>
        <v/>
      </c>
      <c r="L254" s="24" t="str">
        <f aca="false">IF(TRIM(D254)="","ОГРН не указан",IF(LEN(D254)&lt;&gt;13,"ОГРН: должно быть 13 цифр",IF(NOT(ISNUMBER(IFERROR(VALUE(D254),"x"))),"ОГРН: есть нецифровые символы",IF(MOD(VALUE(LEFT(D254,12))-11*INT(VALUE(LEFT(D254,12))/11),10)=VALUE(RIGHT(D254,1)),"","ОГРН: неверная контрольная цифра"))))</f>
        <v/>
      </c>
      <c r="M254" s="24" t="str">
        <f aca="false">IF(TRIM(E254)="","КПП не указан",IF(LEN(E254)&lt;&gt;9,"КПП: должно быть 9 знаков",IF(NOT(AND(ISNUMBER(IFERROR(VALUE(LEFT(E254,4)),"x")),ISNUMBER(IFERROR(VALUE(RIGHT(E254,3)),"x")))),"КПП: неверный формат",IF(LEFT(E254,2)&lt;&gt;LEFT(C254,2),"КПП: код региона не совпадает с ИНН",""))))</f>
        <v/>
      </c>
      <c r="N254" s="24" t="str">
        <f aca="false">IF(TRIM(C254)="","",IF(COUNTIF($C$2:$C$401,C254)&gt;1,"Дубликат ИНН в реестре",""))</f>
        <v/>
      </c>
      <c r="O254" s="24" t="str">
        <f aca="false">IF(TRIM(H254)="","Email не указан",IF(AND(ISNUMBER(FIND("@",H254)),ISNUMBER(FIND(".",H254,IFERROR(FIND("@",H254),1))),ISERROR(FIND(" ",H254)),LEFT(H254,1)&lt;&gt;"@",RIGHT(H254,1)&lt;&gt;".",LEN(H254)-LEN(SUBSTITUTE(H254,"@",""))=1),"","Email: неверный формат"))</f>
        <v/>
      </c>
      <c r="P254" s="24" t="str">
        <f aca="false">IF(TRIM(I254)="","Телефон не указан",IF(AND(LEN(SUBSTITUTE(SUBSTITUTE(SUBSTITUTE(SUBSTITUTE(SUBSTITUTE(I254," ",""),"-",""),"(",""),")",""),"+",""))=11,OR(LEFT(SUBSTITUTE(SUBSTITUTE(SUBSTITUTE(SUBSTITUTE(SUBSTITUTE(I254," ",""),"-",""),"(",""),")",""),"+",""),1)="7",LEFT(SUBSTITUTE(SUBSTITUTE(SUBSTITUTE(SUBSTITUTE(SUBSTITUTE(I254," ",""),"-",""),"(",""),")",""),"+",""),1)="8"),ISNUMBER(IFERROR(VALUE(SUBSTITUTE(SUBSTITUTE(SUBSTITUTE(SUBSTITUTE(SUBSTITUTE(I254," ",""),"-",""),"(",""),")",""),"+","")),"x"))),"","Телефон: неверный формат"))</f>
        <v/>
      </c>
      <c r="Q254" s="24" t="str">
        <f aca="false">TRIM(IF(TRIM(B254)="","Нет наименования. ","")&amp;IF(TRIM(F254)="","Нет адреса. ","")&amp;IF(TRIM(G254)="","Нет контактного лица.",""))</f>
        <v/>
      </c>
      <c r="R254" s="21" t="n">
        <f aca="false">SUMPRODUCT(--(LEN(K254:Q254)&gt;0))</f>
        <v>0</v>
      </c>
      <c r="S254" s="24" t="str">
        <f aca="false">IF(R254=0,"Готово к передаче","Требует исправления")</f>
        <v>Готово к передаче</v>
      </c>
      <c r="T254" s="24" t="str">
        <f aca="false">IF(R254=0,"",_xlfn.TEXTJOIN("; ",TRUE(),K254:Q254))</f>
        <v/>
      </c>
      <c r="U254" s="24" t="str">
        <f aca="false">IF(R254=0,"","Здравствуйте! В данных организации «"&amp;B254&amp;"» обнаружены ошибки: "&amp;T254&amp;". Просим проверить и прислать исправленную информацию.")</f>
        <v/>
      </c>
      <c r="V254" s="21" t="str">
        <f aca="false">IF(R254&gt;0,COUNTIF($R$2:R254,"&gt;0"),"")</f>
        <v/>
      </c>
      <c r="W254" s="21" t="n">
        <f aca="false">IF(R254=0,COUNTIF($R$2:R254,0),"")</f>
        <v>168</v>
      </c>
    </row>
    <row r="255" customFormat="false" ht="15" hidden="false" customHeight="false" outlineLevel="0" collapsed="false">
      <c r="A255" s="21" t="n">
        <v>254</v>
      </c>
      <c r="B255" s="22" t="s">
        <v>2069</v>
      </c>
      <c r="C255" s="23" t="s">
        <v>2070</v>
      </c>
      <c r="D255" s="23" t="s">
        <v>2071</v>
      </c>
      <c r="E255" s="23" t="s">
        <v>2072</v>
      </c>
      <c r="F255" s="22" t="s">
        <v>2073</v>
      </c>
      <c r="G255" s="22" t="s">
        <v>2074</v>
      </c>
      <c r="H255" s="22" t="s">
        <v>2075</v>
      </c>
      <c r="I255" s="23" t="s">
        <v>2076</v>
      </c>
      <c r="J255" s="24" t="str">
        <f aca="false">IFERROR(VLOOKUP(VALUE(LEFT(C255,2)),Справочники!$A$2:$B$16,2,FALSE()),"не определён")</f>
        <v>Ростовская область</v>
      </c>
      <c r="K255" s="24" t="str">
        <f aca="false">IF(TRIM(C255)="","ИНН не указан",IF(LEN(C255)&lt;&gt;10,"ИНН: должно быть 10 цифр",IF(NOT(ISNUMBER(IFERROR(VALUE(C255),"x"))),"ИНН: есть нецифровые символы",IF(MOD(MOD(SUMPRODUCT(--MID(C255,{1,2,3,4,5,6,7,8,9},1),{2,4,10,3,5,9,4,6,8}),11),10)=VALUE(RIGHT(C255,1)),"","ИНН: неверная контрольная цифра"))))</f>
        <v/>
      </c>
      <c r="L255" s="24" t="str">
        <f aca="false">IF(TRIM(D255)="","ОГРН не указан",IF(LEN(D255)&lt;&gt;13,"ОГРН: должно быть 13 цифр",IF(NOT(ISNUMBER(IFERROR(VALUE(D255),"x"))),"ОГРН: есть нецифровые символы",IF(MOD(VALUE(LEFT(D255,12))-11*INT(VALUE(LEFT(D255,12))/11),10)=VALUE(RIGHT(D255,1)),"","ОГРН: неверная контрольная цифра"))))</f>
        <v/>
      </c>
      <c r="M255" s="24" t="str">
        <f aca="false">IF(TRIM(E255)="","КПП не указан",IF(LEN(E255)&lt;&gt;9,"КПП: должно быть 9 знаков",IF(NOT(AND(ISNUMBER(IFERROR(VALUE(LEFT(E255,4)),"x")),ISNUMBER(IFERROR(VALUE(RIGHT(E255,3)),"x")))),"КПП: неверный формат",IF(LEFT(E255,2)&lt;&gt;LEFT(C255,2),"КПП: код региона не совпадает с ИНН",""))))</f>
        <v/>
      </c>
      <c r="N255" s="24" t="str">
        <f aca="false">IF(TRIM(C255)="","",IF(COUNTIF($C$2:$C$401,C255)&gt;1,"Дубликат ИНН в реестре",""))</f>
        <v/>
      </c>
      <c r="O255" s="24" t="str">
        <f aca="false">IF(TRIM(H255)="","Email не указан",IF(AND(ISNUMBER(FIND("@",H255)),ISNUMBER(FIND(".",H255,IFERROR(FIND("@",H255),1))),ISERROR(FIND(" ",H255)),LEFT(H255,1)&lt;&gt;"@",RIGHT(H255,1)&lt;&gt;".",LEN(H255)-LEN(SUBSTITUTE(H255,"@",""))=1),"","Email: неверный формат"))</f>
        <v/>
      </c>
      <c r="P255" s="24" t="str">
        <f aca="false">IF(TRIM(I255)="","Телефон не указан",IF(AND(LEN(SUBSTITUTE(SUBSTITUTE(SUBSTITUTE(SUBSTITUTE(SUBSTITUTE(I255," ",""),"-",""),"(",""),")",""),"+",""))=11,OR(LEFT(SUBSTITUTE(SUBSTITUTE(SUBSTITUTE(SUBSTITUTE(SUBSTITUTE(I255," ",""),"-",""),"(",""),")",""),"+",""),1)="7",LEFT(SUBSTITUTE(SUBSTITUTE(SUBSTITUTE(SUBSTITUTE(SUBSTITUTE(I255," ",""),"-",""),"(",""),")",""),"+",""),1)="8"),ISNUMBER(IFERROR(VALUE(SUBSTITUTE(SUBSTITUTE(SUBSTITUTE(SUBSTITUTE(SUBSTITUTE(I255," ",""),"-",""),"(",""),")",""),"+","")),"x"))),"","Телефон: неверный формат"))</f>
        <v/>
      </c>
      <c r="Q255" s="24" t="str">
        <f aca="false">TRIM(IF(TRIM(B255)="","Нет наименования. ","")&amp;IF(TRIM(F255)="","Нет адреса. ","")&amp;IF(TRIM(G255)="","Нет контактного лица.",""))</f>
        <v/>
      </c>
      <c r="R255" s="21" t="n">
        <f aca="false">SUMPRODUCT(--(LEN(K255:Q255)&gt;0))</f>
        <v>0</v>
      </c>
      <c r="S255" s="24" t="str">
        <f aca="false">IF(R255=0,"Готово к передаче","Требует исправления")</f>
        <v>Готово к передаче</v>
      </c>
      <c r="T255" s="24" t="str">
        <f aca="false">IF(R255=0,"",_xlfn.TEXTJOIN("; ",TRUE(),K255:Q255))</f>
        <v/>
      </c>
      <c r="U255" s="24" t="str">
        <f aca="false">IF(R255=0,"","Здравствуйте! В данных организации «"&amp;B255&amp;"» обнаружены ошибки: "&amp;T255&amp;". Просим проверить и прислать исправленную информацию.")</f>
        <v/>
      </c>
      <c r="V255" s="21" t="str">
        <f aca="false">IF(R255&gt;0,COUNTIF($R$2:R255,"&gt;0"),"")</f>
        <v/>
      </c>
      <c r="W255" s="21" t="n">
        <f aca="false">IF(R255=0,COUNTIF($R$2:R255,0),"")</f>
        <v>169</v>
      </c>
    </row>
    <row r="256" customFormat="false" ht="15" hidden="false" customHeight="false" outlineLevel="0" collapsed="false">
      <c r="A256" s="21" t="n">
        <v>255</v>
      </c>
      <c r="B256" s="22" t="s">
        <v>2077</v>
      </c>
      <c r="C256" s="23" t="s">
        <v>2078</v>
      </c>
      <c r="D256" s="23" t="s">
        <v>2079</v>
      </c>
      <c r="E256" s="23" t="s">
        <v>2080</v>
      </c>
      <c r="F256" s="22" t="s">
        <v>2081</v>
      </c>
      <c r="G256" s="22" t="s">
        <v>2082</v>
      </c>
      <c r="H256" s="22" t="s">
        <v>2083</v>
      </c>
      <c r="I256" s="23" t="s">
        <v>2084</v>
      </c>
      <c r="J256" s="24" t="str">
        <f aca="false">IFERROR(VLOOKUP(VALUE(LEFT(C256,2)),Справочники!$A$2:$B$16,2,FALSE()),"не определён")</f>
        <v>г. Санкт-Петербург</v>
      </c>
      <c r="K256" s="24" t="str">
        <f aca="false">IF(TRIM(C256)="","ИНН не указан",IF(LEN(C256)&lt;&gt;10,"ИНН: должно быть 10 цифр",IF(NOT(ISNUMBER(IFERROR(VALUE(C256),"x"))),"ИНН: есть нецифровые символы",IF(MOD(MOD(SUMPRODUCT(--MID(C256,{1,2,3,4,5,6,7,8,9},1),{2,4,10,3,5,9,4,6,8}),11),10)=VALUE(RIGHT(C256,1)),"","ИНН: неверная контрольная цифра"))))</f>
        <v>ИНН: должно быть 10 цифр</v>
      </c>
      <c r="L256" s="24" t="str">
        <f aca="false">IF(TRIM(D256)="","ОГРН не указан",IF(LEN(D256)&lt;&gt;13,"ОГРН: должно быть 13 цифр",IF(NOT(ISNUMBER(IFERROR(VALUE(D256),"x"))),"ОГРН: есть нецифровые символы",IF(MOD(VALUE(LEFT(D256,12))-11*INT(VALUE(LEFT(D256,12))/11),10)=VALUE(RIGHT(D256,1)),"","ОГРН: неверная контрольная цифра"))))</f>
        <v/>
      </c>
      <c r="M256" s="24" t="str">
        <f aca="false">IF(TRIM(E256)="","КПП не указан",IF(LEN(E256)&lt;&gt;9,"КПП: должно быть 9 знаков",IF(NOT(AND(ISNUMBER(IFERROR(VALUE(LEFT(E256,4)),"x")),ISNUMBER(IFERROR(VALUE(RIGHT(E256,3)),"x")))),"КПП: неверный формат",IF(LEFT(E256,2)&lt;&gt;LEFT(C256,2),"КПП: код региона не совпадает с ИНН",""))))</f>
        <v/>
      </c>
      <c r="N256" s="24" t="str">
        <f aca="false">IF(TRIM(C256)="","",IF(COUNTIF($C$2:$C$401,C256)&gt;1,"Дубликат ИНН в реестре",""))</f>
        <v/>
      </c>
      <c r="O256" s="24" t="str">
        <f aca="false">IF(TRIM(H256)="","Email не указан",IF(AND(ISNUMBER(FIND("@",H256)),ISNUMBER(FIND(".",H256,IFERROR(FIND("@",H256),1))),ISERROR(FIND(" ",H256)),LEFT(H256,1)&lt;&gt;"@",RIGHT(H256,1)&lt;&gt;".",LEN(H256)-LEN(SUBSTITUTE(H256,"@",""))=1),"","Email: неверный формат"))</f>
        <v/>
      </c>
      <c r="P256" s="24" t="str">
        <f aca="false">IF(TRIM(I256)="","Телефон не указан",IF(AND(LEN(SUBSTITUTE(SUBSTITUTE(SUBSTITUTE(SUBSTITUTE(SUBSTITUTE(I256," ",""),"-",""),"(",""),")",""),"+",""))=11,OR(LEFT(SUBSTITUTE(SUBSTITUTE(SUBSTITUTE(SUBSTITUTE(SUBSTITUTE(I256," ",""),"-",""),"(",""),")",""),"+",""),1)="7",LEFT(SUBSTITUTE(SUBSTITUTE(SUBSTITUTE(SUBSTITUTE(SUBSTITUTE(I256," ",""),"-",""),"(",""),")",""),"+",""),1)="8"),ISNUMBER(IFERROR(VALUE(SUBSTITUTE(SUBSTITUTE(SUBSTITUTE(SUBSTITUTE(SUBSTITUTE(I256," ",""),"-",""),"(",""),")",""),"+","")),"x"))),"","Телефон: неверный формат"))</f>
        <v>Телефон: неверный формат</v>
      </c>
      <c r="Q256" s="24" t="str">
        <f aca="false">TRIM(IF(TRIM(B256)="","Нет наименования. ","")&amp;IF(TRIM(F256)="","Нет адреса. ","")&amp;IF(TRIM(G256)="","Нет контактного лица.",""))</f>
        <v/>
      </c>
      <c r="R256" s="21" t="n">
        <f aca="false">SUMPRODUCT(--(LEN(K256:Q256)&gt;0))</f>
        <v>2</v>
      </c>
      <c r="S256" s="24" t="str">
        <f aca="false">IF(R256=0,"Готово к передаче","Требует исправления")</f>
        <v>Требует исправления</v>
      </c>
      <c r="T256" s="24" t="str">
        <f aca="false">IF(R256=0,"",_xlfn.TEXTJOIN("; ",TRUE(),K256:Q256))</f>
        <v>ИНН: должно быть 10 цифр; Телефон: неверный формат</v>
      </c>
      <c r="U256" s="24" t="str">
        <f aca="false">IF(R256=0,"","Здравствуйте! В данных организации «"&amp;B256&amp;"» обнаружены ошибки: "&amp;T256&amp;". Просим проверить и прислать исправленную информацию.")</f>
        <v>Здравствуйте! В данных организации «ООО «Вектор Энерго»» обнаружены ошибки: ИНН: должно быть 10 цифр; Телефон: неверный формат. Просим проверить и прислать исправленную информацию.</v>
      </c>
      <c r="V256" s="21" t="n">
        <f aca="false">IF(R256&gt;0,COUNTIF($R$2:R256,"&gt;0"),"")</f>
        <v>86</v>
      </c>
      <c r="W256" s="21" t="str">
        <f aca="false">IF(R256=0,COUNTIF($R$2:R256,0),"")</f>
        <v/>
      </c>
    </row>
    <row r="257" customFormat="false" ht="15" hidden="false" customHeight="false" outlineLevel="0" collapsed="false">
      <c r="A257" s="21" t="n">
        <v>256</v>
      </c>
      <c r="B257" s="22" t="s">
        <v>2085</v>
      </c>
      <c r="C257" s="23" t="s">
        <v>2086</v>
      </c>
      <c r="D257" s="23" t="s">
        <v>2087</v>
      </c>
      <c r="E257" s="23" t="s">
        <v>2088</v>
      </c>
      <c r="F257" s="22" t="s">
        <v>2089</v>
      </c>
      <c r="G257" s="22" t="s">
        <v>2090</v>
      </c>
      <c r="H257" s="22" t="s">
        <v>2091</v>
      </c>
      <c r="I257" s="23" t="s">
        <v>2092</v>
      </c>
      <c r="J257" s="24" t="str">
        <f aca="false">IFERROR(VLOOKUP(VALUE(LEFT(C257,2)),Справочники!$A$2:$B$16,2,FALSE()),"не определён")</f>
        <v>г. Москва</v>
      </c>
      <c r="K257" s="24" t="str">
        <f aca="false">IF(TRIM(C257)="","ИНН не указан",IF(LEN(C257)&lt;&gt;10,"ИНН: должно быть 10 цифр",IF(NOT(ISNUMBER(IFERROR(VALUE(C257),"x"))),"ИНН: есть нецифровые символы",IF(MOD(MOD(SUMPRODUCT(--MID(C257,{1,2,3,4,5,6,7,8,9},1),{2,4,10,3,5,9,4,6,8}),11),10)=VALUE(RIGHT(C257,1)),"","ИНН: неверная контрольная цифра"))))</f>
        <v/>
      </c>
      <c r="L257" s="24" t="str">
        <f aca="false">IF(TRIM(D257)="","ОГРН не указан",IF(LEN(D257)&lt;&gt;13,"ОГРН: должно быть 13 цифр",IF(NOT(ISNUMBER(IFERROR(VALUE(D257),"x"))),"ОГРН: есть нецифровые символы",IF(MOD(VALUE(LEFT(D257,12))-11*INT(VALUE(LEFT(D257,12))/11),10)=VALUE(RIGHT(D257,1)),"","ОГРН: неверная контрольная цифра"))))</f>
        <v/>
      </c>
      <c r="M257" s="24" t="str">
        <f aca="false">IF(TRIM(E257)="","КПП не указан",IF(LEN(E257)&lt;&gt;9,"КПП: должно быть 9 знаков",IF(NOT(AND(ISNUMBER(IFERROR(VALUE(LEFT(E257,4)),"x")),ISNUMBER(IFERROR(VALUE(RIGHT(E257,3)),"x")))),"КПП: неверный формат",IF(LEFT(E257,2)&lt;&gt;LEFT(C257,2),"КПП: код региона не совпадает с ИНН",""))))</f>
        <v/>
      </c>
      <c r="N257" s="24" t="str">
        <f aca="false">IF(TRIM(C257)="","",IF(COUNTIF($C$2:$C$401,C257)&gt;1,"Дубликат ИНН в реестре",""))</f>
        <v/>
      </c>
      <c r="O257" s="24" t="str">
        <f aca="false">IF(TRIM(H257)="","Email не указан",IF(AND(ISNUMBER(FIND("@",H257)),ISNUMBER(FIND(".",H257,IFERROR(FIND("@",H257),1))),ISERROR(FIND(" ",H257)),LEFT(H257,1)&lt;&gt;"@",RIGHT(H257,1)&lt;&gt;".",LEN(H257)-LEN(SUBSTITUTE(H257,"@",""))=1),"","Email: неверный формат"))</f>
        <v/>
      </c>
      <c r="P257" s="24" t="str">
        <f aca="false">IF(TRIM(I257)="","Телефон не указан",IF(AND(LEN(SUBSTITUTE(SUBSTITUTE(SUBSTITUTE(SUBSTITUTE(SUBSTITUTE(I257," ",""),"-",""),"(",""),")",""),"+",""))=11,OR(LEFT(SUBSTITUTE(SUBSTITUTE(SUBSTITUTE(SUBSTITUTE(SUBSTITUTE(I257," ",""),"-",""),"(",""),")",""),"+",""),1)="7",LEFT(SUBSTITUTE(SUBSTITUTE(SUBSTITUTE(SUBSTITUTE(SUBSTITUTE(I257," ",""),"-",""),"(",""),")",""),"+",""),1)="8"),ISNUMBER(IFERROR(VALUE(SUBSTITUTE(SUBSTITUTE(SUBSTITUTE(SUBSTITUTE(SUBSTITUTE(I257," ",""),"-",""),"(",""),")",""),"+","")),"x"))),"","Телефон: неверный формат"))</f>
        <v/>
      </c>
      <c r="Q257" s="24" t="str">
        <f aca="false">TRIM(IF(TRIM(B257)="","Нет наименования. ","")&amp;IF(TRIM(F257)="","Нет адреса. ","")&amp;IF(TRIM(G257)="","Нет контактного лица.",""))</f>
        <v/>
      </c>
      <c r="R257" s="21" t="n">
        <f aca="false">SUMPRODUCT(--(LEN(K257:Q257)&gt;0))</f>
        <v>0</v>
      </c>
      <c r="S257" s="24" t="str">
        <f aca="false">IF(R257=0,"Готово к передаче","Требует исправления")</f>
        <v>Готово к передаче</v>
      </c>
      <c r="T257" s="24" t="str">
        <f aca="false">IF(R257=0,"",_xlfn.TEXTJOIN("; ",TRUE(),K257:Q257))</f>
        <v/>
      </c>
      <c r="U257" s="24" t="str">
        <f aca="false">IF(R257=0,"","Здравствуйте! В данных организации «"&amp;B257&amp;"» обнаружены ошибки: "&amp;T257&amp;". Просим проверить и прислать исправленную информацию.")</f>
        <v/>
      </c>
      <c r="V257" s="21" t="str">
        <f aca="false">IF(R257&gt;0,COUNTIF($R$2:R257,"&gt;0"),"")</f>
        <v/>
      </c>
      <c r="W257" s="21" t="n">
        <f aca="false">IF(R257=0,COUNTIF($R$2:R257,0),"")</f>
        <v>170</v>
      </c>
    </row>
    <row r="258" customFormat="false" ht="15" hidden="false" customHeight="false" outlineLevel="0" collapsed="false">
      <c r="A258" s="21" t="n">
        <v>257</v>
      </c>
      <c r="B258" s="22" t="s">
        <v>2093</v>
      </c>
      <c r="C258" s="23" t="s">
        <v>2094</v>
      </c>
      <c r="D258" s="23" t="s">
        <v>2095</v>
      </c>
      <c r="E258" s="23" t="s">
        <v>2096</v>
      </c>
      <c r="F258" s="22" t="s">
        <v>2097</v>
      </c>
      <c r="G258" s="22" t="s">
        <v>2098</v>
      </c>
      <c r="H258" s="22" t="s">
        <v>2099</v>
      </c>
      <c r="I258" s="23" t="s">
        <v>2100</v>
      </c>
      <c r="J258" s="24" t="str">
        <f aca="false">IFERROR(VLOOKUP(VALUE(LEFT(C258,2)),Справочники!$A$2:$B$16,2,FALSE()),"не определён")</f>
        <v>г. Севастополь</v>
      </c>
      <c r="K258" s="24" t="str">
        <f aca="false">IF(TRIM(C258)="","ИНН не указан",IF(LEN(C258)&lt;&gt;10,"ИНН: должно быть 10 цифр",IF(NOT(ISNUMBER(IFERROR(VALUE(C258),"x"))),"ИНН: есть нецифровые символы",IF(MOD(MOD(SUMPRODUCT(--MID(C258,{1,2,3,4,5,6,7,8,9},1),{2,4,10,3,5,9,4,6,8}),11),10)=VALUE(RIGHT(C258,1)),"","ИНН: неверная контрольная цифра"))))</f>
        <v/>
      </c>
      <c r="L258" s="24" t="str">
        <f aca="false">IF(TRIM(D258)="","ОГРН не указан",IF(LEN(D258)&lt;&gt;13,"ОГРН: должно быть 13 цифр",IF(NOT(ISNUMBER(IFERROR(VALUE(D258),"x"))),"ОГРН: есть нецифровые символы",IF(MOD(VALUE(LEFT(D258,12))-11*INT(VALUE(LEFT(D258,12))/11),10)=VALUE(RIGHT(D258,1)),"","ОГРН: неверная контрольная цифра"))))</f>
        <v/>
      </c>
      <c r="M258" s="24" t="str">
        <f aca="false">IF(TRIM(E258)="","КПП не указан",IF(LEN(E258)&lt;&gt;9,"КПП: должно быть 9 знаков",IF(NOT(AND(ISNUMBER(IFERROR(VALUE(LEFT(E258,4)),"x")),ISNUMBER(IFERROR(VALUE(RIGHT(E258,3)),"x")))),"КПП: неверный формат",IF(LEFT(E258,2)&lt;&gt;LEFT(C258,2),"КПП: код региона не совпадает с ИНН",""))))</f>
        <v/>
      </c>
      <c r="N258" s="24" t="str">
        <f aca="false">IF(TRIM(C258)="","",IF(COUNTIF($C$2:$C$401,C258)&gt;1,"Дубликат ИНН в реестре",""))</f>
        <v/>
      </c>
      <c r="O258" s="24" t="str">
        <f aca="false">IF(TRIM(H258)="","Email не указан",IF(AND(ISNUMBER(FIND("@",H258)),ISNUMBER(FIND(".",H258,IFERROR(FIND("@",H258),1))),ISERROR(FIND(" ",H258)),LEFT(H258,1)&lt;&gt;"@",RIGHT(H258,1)&lt;&gt;".",LEN(H258)-LEN(SUBSTITUTE(H258,"@",""))=1),"","Email: неверный формат"))</f>
        <v/>
      </c>
      <c r="P258" s="24" t="str">
        <f aca="false">IF(TRIM(I258)="","Телефон не указан",IF(AND(LEN(SUBSTITUTE(SUBSTITUTE(SUBSTITUTE(SUBSTITUTE(SUBSTITUTE(I258," ",""),"-",""),"(",""),")",""),"+",""))=11,OR(LEFT(SUBSTITUTE(SUBSTITUTE(SUBSTITUTE(SUBSTITUTE(SUBSTITUTE(I258," ",""),"-",""),"(",""),")",""),"+",""),1)="7",LEFT(SUBSTITUTE(SUBSTITUTE(SUBSTITUTE(SUBSTITUTE(SUBSTITUTE(I258," ",""),"-",""),"(",""),")",""),"+",""),1)="8"),ISNUMBER(IFERROR(VALUE(SUBSTITUTE(SUBSTITUTE(SUBSTITUTE(SUBSTITUTE(SUBSTITUTE(I258," ",""),"-",""),"(",""),")",""),"+","")),"x"))),"","Телефон: неверный формат"))</f>
        <v/>
      </c>
      <c r="Q258" s="24" t="str">
        <f aca="false">TRIM(IF(TRIM(B258)="","Нет наименования. ","")&amp;IF(TRIM(F258)="","Нет адреса. ","")&amp;IF(TRIM(G258)="","Нет контактного лица.",""))</f>
        <v/>
      </c>
      <c r="R258" s="21" t="n">
        <f aca="false">SUMPRODUCT(--(LEN(K258:Q258)&gt;0))</f>
        <v>0</v>
      </c>
      <c r="S258" s="24" t="str">
        <f aca="false">IF(R258=0,"Готово к передаче","Требует исправления")</f>
        <v>Готово к передаче</v>
      </c>
      <c r="T258" s="24" t="str">
        <f aca="false">IF(R258=0,"",_xlfn.TEXTJOIN("; ",TRUE(),K258:Q258))</f>
        <v/>
      </c>
      <c r="U258" s="24" t="str">
        <f aca="false">IF(R258=0,"","Здравствуйте! В данных организации «"&amp;B258&amp;"» обнаружены ошибки: "&amp;T258&amp;". Просим проверить и прислать исправленную информацию.")</f>
        <v/>
      </c>
      <c r="V258" s="21" t="str">
        <f aca="false">IF(R258&gt;0,COUNTIF($R$2:R258,"&gt;0"),"")</f>
        <v/>
      </c>
      <c r="W258" s="21" t="n">
        <f aca="false">IF(R258=0,COUNTIF($R$2:R258,0),"")</f>
        <v>171</v>
      </c>
    </row>
    <row r="259" customFormat="false" ht="15" hidden="false" customHeight="false" outlineLevel="0" collapsed="false">
      <c r="A259" s="21" t="n">
        <v>258</v>
      </c>
      <c r="B259" s="22" t="s">
        <v>2101</v>
      </c>
      <c r="C259" s="23" t="s">
        <v>2102</v>
      </c>
      <c r="D259" s="23" t="s">
        <v>2103</v>
      </c>
      <c r="E259" s="23" t="s">
        <v>2104</v>
      </c>
      <c r="F259" s="22" t="s">
        <v>2105</v>
      </c>
      <c r="G259" s="22" t="s">
        <v>2106</v>
      </c>
      <c r="H259" s="22" t="s">
        <v>2107</v>
      </c>
      <c r="I259" s="23" t="s">
        <v>2108</v>
      </c>
      <c r="J259" s="24" t="str">
        <f aca="false">IFERROR(VLOOKUP(VALUE(LEFT(C259,2)),Справочники!$A$2:$B$16,2,FALSE()),"не определён")</f>
        <v>г. Севастополь</v>
      </c>
      <c r="K259" s="24" t="str">
        <f aca="false">IF(TRIM(C259)="","ИНН не указан",IF(LEN(C259)&lt;&gt;10,"ИНН: должно быть 10 цифр",IF(NOT(ISNUMBER(IFERROR(VALUE(C259),"x"))),"ИНН: есть нецифровые символы",IF(MOD(MOD(SUMPRODUCT(--MID(C259,{1,2,3,4,5,6,7,8,9},1),{2,4,10,3,5,9,4,6,8}),11),10)=VALUE(RIGHT(C259,1)),"","ИНН: неверная контрольная цифра"))))</f>
        <v/>
      </c>
      <c r="L259" s="24" t="str">
        <f aca="false">IF(TRIM(D259)="","ОГРН не указан",IF(LEN(D259)&lt;&gt;13,"ОГРН: должно быть 13 цифр",IF(NOT(ISNUMBER(IFERROR(VALUE(D259),"x"))),"ОГРН: есть нецифровые символы",IF(MOD(VALUE(LEFT(D259,12))-11*INT(VALUE(LEFT(D259,12))/11),10)=VALUE(RIGHT(D259,1)),"","ОГРН: неверная контрольная цифра"))))</f>
        <v/>
      </c>
      <c r="M259" s="24" t="str">
        <f aca="false">IF(TRIM(E259)="","КПП не указан",IF(LEN(E259)&lt;&gt;9,"КПП: должно быть 9 знаков",IF(NOT(AND(ISNUMBER(IFERROR(VALUE(LEFT(E259,4)),"x")),ISNUMBER(IFERROR(VALUE(RIGHT(E259,3)),"x")))),"КПП: неверный формат",IF(LEFT(E259,2)&lt;&gt;LEFT(C259,2),"КПП: код региона не совпадает с ИНН",""))))</f>
        <v/>
      </c>
      <c r="N259" s="24" t="str">
        <f aca="false">IF(TRIM(C259)="","",IF(COUNTIF($C$2:$C$401,C259)&gt;1,"Дубликат ИНН в реестре",""))</f>
        <v/>
      </c>
      <c r="O259" s="24" t="str">
        <f aca="false">IF(TRIM(H259)="","Email не указан",IF(AND(ISNUMBER(FIND("@",H259)),ISNUMBER(FIND(".",H259,IFERROR(FIND("@",H259),1))),ISERROR(FIND(" ",H259)),LEFT(H259,1)&lt;&gt;"@",RIGHT(H259,1)&lt;&gt;".",LEN(H259)-LEN(SUBSTITUTE(H259,"@",""))=1),"","Email: неверный формат"))</f>
        <v/>
      </c>
      <c r="P259" s="24" t="str">
        <f aca="false">IF(TRIM(I259)="","Телефон не указан",IF(AND(LEN(SUBSTITUTE(SUBSTITUTE(SUBSTITUTE(SUBSTITUTE(SUBSTITUTE(I259," ",""),"-",""),"(",""),")",""),"+",""))=11,OR(LEFT(SUBSTITUTE(SUBSTITUTE(SUBSTITUTE(SUBSTITUTE(SUBSTITUTE(I259," ",""),"-",""),"(",""),")",""),"+",""),1)="7",LEFT(SUBSTITUTE(SUBSTITUTE(SUBSTITUTE(SUBSTITUTE(SUBSTITUTE(I259," ",""),"-",""),"(",""),")",""),"+",""),1)="8"),ISNUMBER(IFERROR(VALUE(SUBSTITUTE(SUBSTITUTE(SUBSTITUTE(SUBSTITUTE(SUBSTITUTE(I259," ",""),"-",""),"(",""),")",""),"+","")),"x"))),"","Телефон: неверный формат"))</f>
        <v/>
      </c>
      <c r="Q259" s="24" t="str">
        <f aca="false">TRIM(IF(TRIM(B259)="","Нет наименования. ","")&amp;IF(TRIM(F259)="","Нет адреса. ","")&amp;IF(TRIM(G259)="","Нет контактного лица.",""))</f>
        <v/>
      </c>
      <c r="R259" s="21" t="n">
        <f aca="false">SUMPRODUCT(--(LEN(K259:Q259)&gt;0))</f>
        <v>0</v>
      </c>
      <c r="S259" s="24" t="str">
        <f aca="false">IF(R259=0,"Готово к передаче","Требует исправления")</f>
        <v>Готово к передаче</v>
      </c>
      <c r="T259" s="24" t="str">
        <f aca="false">IF(R259=0,"",_xlfn.TEXTJOIN("; ",TRUE(),K259:Q259))</f>
        <v/>
      </c>
      <c r="U259" s="24" t="str">
        <f aca="false">IF(R259=0,"","Здравствуйте! В данных организации «"&amp;B259&amp;"» обнаружены ошибки: "&amp;T259&amp;". Просим проверить и прислать исправленную информацию.")</f>
        <v/>
      </c>
      <c r="V259" s="21" t="str">
        <f aca="false">IF(R259&gt;0,COUNTIF($R$2:R259,"&gt;0"),"")</f>
        <v/>
      </c>
      <c r="W259" s="21" t="n">
        <f aca="false">IF(R259=0,COUNTIF($R$2:R259,0),"")</f>
        <v>172</v>
      </c>
    </row>
    <row r="260" customFormat="false" ht="15" hidden="false" customHeight="false" outlineLevel="0" collapsed="false">
      <c r="A260" s="21" t="n">
        <v>259</v>
      </c>
      <c r="B260" s="22" t="s">
        <v>2109</v>
      </c>
      <c r="C260" s="23" t="s">
        <v>2110</v>
      </c>
      <c r="D260" s="23" t="s">
        <v>2111</v>
      </c>
      <c r="E260" s="23" t="s">
        <v>2112</v>
      </c>
      <c r="F260" s="22" t="s">
        <v>2113</v>
      </c>
      <c r="G260" s="22" t="s">
        <v>2114</v>
      </c>
      <c r="H260" s="22" t="s">
        <v>2115</v>
      </c>
      <c r="I260" s="23" t="s">
        <v>2116</v>
      </c>
      <c r="J260" s="24" t="str">
        <f aca="false">IFERROR(VLOOKUP(VALUE(LEFT(C260,2)),Справочники!$A$2:$B$16,2,FALSE()),"не определён")</f>
        <v>Республика Крым</v>
      </c>
      <c r="K260" s="24" t="str">
        <f aca="false">IF(TRIM(C260)="","ИНН не указан",IF(LEN(C260)&lt;&gt;10,"ИНН: должно быть 10 цифр",IF(NOT(ISNUMBER(IFERROR(VALUE(C260),"x"))),"ИНН: есть нецифровые символы",IF(MOD(MOD(SUMPRODUCT(--MID(C260,{1,2,3,4,5,6,7,8,9},1),{2,4,10,3,5,9,4,6,8}),11),10)=VALUE(RIGHT(C260,1)),"","ИНН: неверная контрольная цифра"))))</f>
        <v>ИНН: есть нецифровые символы</v>
      </c>
      <c r="L260" s="24" t="str">
        <f aca="false">IF(TRIM(D260)="","ОГРН не указан",IF(LEN(D260)&lt;&gt;13,"ОГРН: должно быть 13 цифр",IF(NOT(ISNUMBER(IFERROR(VALUE(D260),"x"))),"ОГРН: есть нецифровые символы",IF(MOD(VALUE(LEFT(D260,12))-11*INT(VALUE(LEFT(D260,12))/11),10)=VALUE(RIGHT(D260,1)),"","ОГРН: неверная контрольная цифра"))))</f>
        <v/>
      </c>
      <c r="M260" s="24" t="str">
        <f aca="false">IF(TRIM(E260)="","КПП не указан",IF(LEN(E260)&lt;&gt;9,"КПП: должно быть 9 знаков",IF(NOT(AND(ISNUMBER(IFERROR(VALUE(LEFT(E260,4)),"x")),ISNUMBER(IFERROR(VALUE(RIGHT(E260,3)),"x")))),"КПП: неверный формат",IF(LEFT(E260,2)&lt;&gt;LEFT(C260,2),"КПП: код региона не совпадает с ИНН",""))))</f>
        <v/>
      </c>
      <c r="N260" s="24" t="str">
        <f aca="false">IF(TRIM(C260)="","",IF(COUNTIF($C$2:$C$401,C260)&gt;1,"Дубликат ИНН в реестре",""))</f>
        <v/>
      </c>
      <c r="O260" s="24" t="str">
        <f aca="false">IF(TRIM(H260)="","Email не указан",IF(AND(ISNUMBER(FIND("@",H260)),ISNUMBER(FIND(".",H260,IFERROR(FIND("@",H260),1))),ISERROR(FIND(" ",H260)),LEFT(H260,1)&lt;&gt;"@",RIGHT(H260,1)&lt;&gt;".",LEN(H260)-LEN(SUBSTITUTE(H260,"@",""))=1),"","Email: неверный формат"))</f>
        <v/>
      </c>
      <c r="P260" s="24" t="str">
        <f aca="false">IF(TRIM(I260)="","Телефон не указан",IF(AND(LEN(SUBSTITUTE(SUBSTITUTE(SUBSTITUTE(SUBSTITUTE(SUBSTITUTE(I260," ",""),"-",""),"(",""),")",""),"+",""))=11,OR(LEFT(SUBSTITUTE(SUBSTITUTE(SUBSTITUTE(SUBSTITUTE(SUBSTITUTE(I260," ",""),"-",""),"(",""),")",""),"+",""),1)="7",LEFT(SUBSTITUTE(SUBSTITUTE(SUBSTITUTE(SUBSTITUTE(SUBSTITUTE(I260," ",""),"-",""),"(",""),")",""),"+",""),1)="8"),ISNUMBER(IFERROR(VALUE(SUBSTITUTE(SUBSTITUTE(SUBSTITUTE(SUBSTITUTE(SUBSTITUTE(I260," ",""),"-",""),"(",""),")",""),"+","")),"x"))),"","Телефон: неверный формат"))</f>
        <v/>
      </c>
      <c r="Q260" s="24" t="str">
        <f aca="false">TRIM(IF(TRIM(B260)="","Нет наименования. ","")&amp;IF(TRIM(F260)="","Нет адреса. ","")&amp;IF(TRIM(G260)="","Нет контактного лица.",""))</f>
        <v/>
      </c>
      <c r="R260" s="21" t="n">
        <f aca="false">SUMPRODUCT(--(LEN(K260:Q260)&gt;0))</f>
        <v>1</v>
      </c>
      <c r="S260" s="24" t="str">
        <f aca="false">IF(R260=0,"Готово к передаче","Требует исправления")</f>
        <v>Требует исправления</v>
      </c>
      <c r="T260" s="24" t="str">
        <f aca="false">IF(R260=0,"",_xlfn.TEXTJOIN("; ",TRUE(),K260:Q260))</f>
        <v>ИНН: есть нецифровые символы</v>
      </c>
      <c r="U260" s="24" t="str">
        <f aca="false">IF(R260=0,"","Здравствуйте! В данных организации «"&amp;B260&amp;"» обнаружены ошибки: "&amp;T260&amp;". Просим проверить и прислать исправленную информацию.")</f>
        <v>Здравствуйте! В данных организации «АО «Тандем Софт»» обнаружены ошибки: ИНН: есть нецифровые символы. Просим проверить и прислать исправленную информацию.</v>
      </c>
      <c r="V260" s="21" t="n">
        <f aca="false">IF(R260&gt;0,COUNTIF($R$2:R260,"&gt;0"),"")</f>
        <v>87</v>
      </c>
      <c r="W260" s="21" t="str">
        <f aca="false">IF(R260=0,COUNTIF($R$2:R260,0),"")</f>
        <v/>
      </c>
    </row>
    <row r="261" customFormat="false" ht="15" hidden="false" customHeight="false" outlineLevel="0" collapsed="false">
      <c r="A261" s="21" t="n">
        <v>260</v>
      </c>
      <c r="B261" s="22" t="s">
        <v>2117</v>
      </c>
      <c r="C261" s="23" t="s">
        <v>2118</v>
      </c>
      <c r="D261" s="23" t="s">
        <v>2119</v>
      </c>
      <c r="E261" s="23" t="s">
        <v>2120</v>
      </c>
      <c r="F261" s="22" t="s">
        <v>2121</v>
      </c>
      <c r="G261" s="22" t="s">
        <v>2122</v>
      </c>
      <c r="H261" s="22" t="s">
        <v>2123</v>
      </c>
      <c r="I261" s="23" t="s">
        <v>2124</v>
      </c>
      <c r="J261" s="24" t="str">
        <f aca="false">IFERROR(VLOOKUP(VALUE(LEFT(C261,2)),Справочники!$A$2:$B$16,2,FALSE()),"не определён")</f>
        <v>Новосибирская область</v>
      </c>
      <c r="K261" s="24" t="str">
        <f aca="false">IF(TRIM(C261)="","ИНН не указан",IF(LEN(C261)&lt;&gt;10,"ИНН: должно быть 10 цифр",IF(NOT(ISNUMBER(IFERROR(VALUE(C261),"x"))),"ИНН: есть нецифровые символы",IF(MOD(MOD(SUMPRODUCT(--MID(C261,{1,2,3,4,5,6,7,8,9},1),{2,4,10,3,5,9,4,6,8}),11),10)=VALUE(RIGHT(C261,1)),"","ИНН: неверная контрольная цифра"))))</f>
        <v/>
      </c>
      <c r="L261" s="24" t="str">
        <f aca="false">IF(TRIM(D261)="","ОГРН не указан",IF(LEN(D261)&lt;&gt;13,"ОГРН: должно быть 13 цифр",IF(NOT(ISNUMBER(IFERROR(VALUE(D261),"x"))),"ОГРН: есть нецифровые символы",IF(MOD(VALUE(LEFT(D261,12))-11*INT(VALUE(LEFT(D261,12))/11),10)=VALUE(RIGHT(D261,1)),"","ОГРН: неверная контрольная цифра"))))</f>
        <v>ОГРН: неверная контрольная цифра</v>
      </c>
      <c r="M261" s="24" t="str">
        <f aca="false">IF(TRIM(E261)="","КПП не указан",IF(LEN(E261)&lt;&gt;9,"КПП: должно быть 9 знаков",IF(NOT(AND(ISNUMBER(IFERROR(VALUE(LEFT(E261,4)),"x")),ISNUMBER(IFERROR(VALUE(RIGHT(E261,3)),"x")))),"КПП: неверный формат",IF(LEFT(E261,2)&lt;&gt;LEFT(C261,2),"КПП: код региона не совпадает с ИНН",""))))</f>
        <v/>
      </c>
      <c r="N261" s="24" t="str">
        <f aca="false">IF(TRIM(C261)="","",IF(COUNTIF($C$2:$C$401,C261)&gt;1,"Дубликат ИНН в реестре",""))</f>
        <v/>
      </c>
      <c r="O261" s="24" t="str">
        <f aca="false">IF(TRIM(H261)="","Email не указан",IF(AND(ISNUMBER(FIND("@",H261)),ISNUMBER(FIND(".",H261,IFERROR(FIND("@",H261),1))),ISERROR(FIND(" ",H261)),LEFT(H261,1)&lt;&gt;"@",RIGHT(H261,1)&lt;&gt;".",LEN(H261)-LEN(SUBSTITUTE(H261,"@",""))=1),"","Email: неверный формат"))</f>
        <v/>
      </c>
      <c r="P261" s="24" t="str">
        <f aca="false">IF(TRIM(I261)="","Телефон не указан",IF(AND(LEN(SUBSTITUTE(SUBSTITUTE(SUBSTITUTE(SUBSTITUTE(SUBSTITUTE(I261," ",""),"-",""),"(",""),")",""),"+",""))=11,OR(LEFT(SUBSTITUTE(SUBSTITUTE(SUBSTITUTE(SUBSTITUTE(SUBSTITUTE(I261," ",""),"-",""),"(",""),")",""),"+",""),1)="7",LEFT(SUBSTITUTE(SUBSTITUTE(SUBSTITUTE(SUBSTITUTE(SUBSTITUTE(I261," ",""),"-",""),"(",""),")",""),"+",""),1)="8"),ISNUMBER(IFERROR(VALUE(SUBSTITUTE(SUBSTITUTE(SUBSTITUTE(SUBSTITUTE(SUBSTITUTE(I261," ",""),"-",""),"(",""),")",""),"+","")),"x"))),"","Телефон: неверный формат"))</f>
        <v/>
      </c>
      <c r="Q261" s="24" t="str">
        <f aca="false">TRIM(IF(TRIM(B261)="","Нет наименования. ","")&amp;IF(TRIM(F261)="","Нет адреса. ","")&amp;IF(TRIM(G261)="","Нет контактного лица.",""))</f>
        <v/>
      </c>
      <c r="R261" s="21" t="n">
        <f aca="false">SUMPRODUCT(--(LEN(K261:Q261)&gt;0))</f>
        <v>1</v>
      </c>
      <c r="S261" s="24" t="str">
        <f aca="false">IF(R261=0,"Готово к передаче","Требует исправления")</f>
        <v>Требует исправления</v>
      </c>
      <c r="T261" s="24" t="str">
        <f aca="false">IF(R261=0,"",_xlfn.TEXTJOIN("; ",TRUE(),K261:Q261))</f>
        <v>ОГРН: неверная контрольная цифра</v>
      </c>
      <c r="U261" s="24" t="str">
        <f aca="false">IF(R261=0,"","Здравствуйте! В данных организации «"&amp;B261&amp;"» обнаружены ошибки: "&amp;T261&amp;". Просим проверить и прислать исправленную информацию.")</f>
        <v>Здравствуйте! В данных организации «ООО «Альфа Строй»» обнаружены ошибки: ОГРН: неверная контрольная цифра. Просим проверить и прислать исправленную информацию.</v>
      </c>
      <c r="V261" s="21" t="n">
        <f aca="false">IF(R261&gt;0,COUNTIF($R$2:R261,"&gt;0"),"")</f>
        <v>88</v>
      </c>
      <c r="W261" s="21" t="str">
        <f aca="false">IF(R261=0,COUNTIF($R$2:R261,0),"")</f>
        <v/>
      </c>
    </row>
    <row r="262" customFormat="false" ht="15" hidden="false" customHeight="false" outlineLevel="0" collapsed="false">
      <c r="A262" s="21" t="n">
        <v>261</v>
      </c>
      <c r="B262" s="22" t="s">
        <v>2125</v>
      </c>
      <c r="C262" s="23" t="s">
        <v>2126</v>
      </c>
      <c r="D262" s="23" t="s">
        <v>2127</v>
      </c>
      <c r="E262" s="23" t="s">
        <v>2128</v>
      </c>
      <c r="F262" s="22" t="s">
        <v>2129</v>
      </c>
      <c r="G262" s="22" t="s">
        <v>2130</v>
      </c>
      <c r="H262" s="22" t="s">
        <v>2131</v>
      </c>
      <c r="I262" s="23" t="s">
        <v>2132</v>
      </c>
      <c r="J262" s="24" t="str">
        <f aca="false">IFERROR(VLOOKUP(VALUE(LEFT(C262,2)),Справочники!$A$2:$B$16,2,FALSE()),"не определён")</f>
        <v>Республика Татарстан</v>
      </c>
      <c r="K262" s="24" t="str">
        <f aca="false">IF(TRIM(C262)="","ИНН не указан",IF(LEN(C262)&lt;&gt;10,"ИНН: должно быть 10 цифр",IF(NOT(ISNUMBER(IFERROR(VALUE(C262),"x"))),"ИНН: есть нецифровые символы",IF(MOD(MOD(SUMPRODUCT(--MID(C262,{1,2,3,4,5,6,7,8,9},1),{2,4,10,3,5,9,4,6,8}),11),10)=VALUE(RIGHT(C262,1)),"","ИНН: неверная контрольная цифра"))))</f>
        <v/>
      </c>
      <c r="L262" s="24" t="str">
        <f aca="false">IF(TRIM(D262)="","ОГРН не указан",IF(LEN(D262)&lt;&gt;13,"ОГРН: должно быть 13 цифр",IF(NOT(ISNUMBER(IFERROR(VALUE(D262),"x"))),"ОГРН: есть нецифровые символы",IF(MOD(VALUE(LEFT(D262,12))-11*INT(VALUE(LEFT(D262,12))/11),10)=VALUE(RIGHT(D262,1)),"","ОГРН: неверная контрольная цифра"))))</f>
        <v/>
      </c>
      <c r="M262" s="24" t="str">
        <f aca="false">IF(TRIM(E262)="","КПП не указан",IF(LEN(E262)&lt;&gt;9,"КПП: должно быть 9 знаков",IF(NOT(AND(ISNUMBER(IFERROR(VALUE(LEFT(E262,4)),"x")),ISNUMBER(IFERROR(VALUE(RIGHT(E262,3)),"x")))),"КПП: неверный формат",IF(LEFT(E262,2)&lt;&gt;LEFT(C262,2),"КПП: код региона не совпадает с ИНН",""))))</f>
        <v/>
      </c>
      <c r="N262" s="24" t="str">
        <f aca="false">IF(TRIM(C262)="","",IF(COUNTIF($C$2:$C$401,C262)&gt;1,"Дубликат ИНН в реестре",""))</f>
        <v/>
      </c>
      <c r="O262" s="24" t="str">
        <f aca="false">IF(TRIM(H262)="","Email не указан",IF(AND(ISNUMBER(FIND("@",H262)),ISNUMBER(FIND(".",H262,IFERROR(FIND("@",H262),1))),ISERROR(FIND(" ",H262)),LEFT(H262,1)&lt;&gt;"@",RIGHT(H262,1)&lt;&gt;".",LEN(H262)-LEN(SUBSTITUTE(H262,"@",""))=1),"","Email: неверный формат"))</f>
        <v/>
      </c>
      <c r="P262" s="24" t="str">
        <f aca="false">IF(TRIM(I262)="","Телефон не указан",IF(AND(LEN(SUBSTITUTE(SUBSTITUTE(SUBSTITUTE(SUBSTITUTE(SUBSTITUTE(I262," ",""),"-",""),"(",""),")",""),"+",""))=11,OR(LEFT(SUBSTITUTE(SUBSTITUTE(SUBSTITUTE(SUBSTITUTE(SUBSTITUTE(I262," ",""),"-",""),"(",""),")",""),"+",""),1)="7",LEFT(SUBSTITUTE(SUBSTITUTE(SUBSTITUTE(SUBSTITUTE(SUBSTITUTE(I262," ",""),"-",""),"(",""),")",""),"+",""),1)="8"),ISNUMBER(IFERROR(VALUE(SUBSTITUTE(SUBSTITUTE(SUBSTITUTE(SUBSTITUTE(SUBSTITUTE(I262," ",""),"-",""),"(",""),")",""),"+","")),"x"))),"","Телефон: неверный формат"))</f>
        <v/>
      </c>
      <c r="Q262" s="24" t="str">
        <f aca="false">TRIM(IF(TRIM(B262)="","Нет наименования. ","")&amp;IF(TRIM(F262)="","Нет адреса. ","")&amp;IF(TRIM(G262)="","Нет контактного лица.",""))</f>
        <v/>
      </c>
      <c r="R262" s="21" t="n">
        <f aca="false">SUMPRODUCT(--(LEN(K262:Q262)&gt;0))</f>
        <v>0</v>
      </c>
      <c r="S262" s="24" t="str">
        <f aca="false">IF(R262=0,"Готово к передаче","Требует исправления")</f>
        <v>Готово к передаче</v>
      </c>
      <c r="T262" s="24" t="str">
        <f aca="false">IF(R262=0,"",_xlfn.TEXTJOIN("; ",TRUE(),K262:Q262))</f>
        <v/>
      </c>
      <c r="U262" s="24" t="str">
        <f aca="false">IF(R262=0,"","Здравствуйте! В данных организации «"&amp;B262&amp;"» обнаружены ошибки: "&amp;T262&amp;". Просим проверить и прислать исправленную информацию.")</f>
        <v/>
      </c>
      <c r="V262" s="21" t="str">
        <f aca="false">IF(R262&gt;0,COUNTIF($R$2:R262,"&gt;0"),"")</f>
        <v/>
      </c>
      <c r="W262" s="21" t="n">
        <f aca="false">IF(R262=0,COUNTIF($R$2:R262,0),"")</f>
        <v>173</v>
      </c>
    </row>
    <row r="263" customFormat="false" ht="15" hidden="false" customHeight="false" outlineLevel="0" collapsed="false">
      <c r="A263" s="21" t="n">
        <v>262</v>
      </c>
      <c r="B263" s="22" t="s">
        <v>2133</v>
      </c>
      <c r="C263" s="23" t="s">
        <v>2134</v>
      </c>
      <c r="D263" s="23" t="s">
        <v>2135</v>
      </c>
      <c r="E263" s="23" t="s">
        <v>2136</v>
      </c>
      <c r="F263" s="22" t="s">
        <v>2137</v>
      </c>
      <c r="G263" s="22" t="s">
        <v>2138</v>
      </c>
      <c r="H263" s="22" t="s">
        <v>2139</v>
      </c>
      <c r="I263" s="23" t="s">
        <v>2140</v>
      </c>
      <c r="J263" s="24" t="str">
        <f aca="false">IFERROR(VLOOKUP(VALUE(LEFT(C263,2)),Справочники!$A$2:$B$16,2,FALSE()),"не определён")</f>
        <v>Новосибирская область</v>
      </c>
      <c r="K263" s="24" t="str">
        <f aca="false">IF(TRIM(C263)="","ИНН не указан",IF(LEN(C263)&lt;&gt;10,"ИНН: должно быть 10 цифр",IF(NOT(ISNUMBER(IFERROR(VALUE(C263),"x"))),"ИНН: есть нецифровые символы",IF(MOD(MOD(SUMPRODUCT(--MID(C263,{1,2,3,4,5,6,7,8,9},1),{2,4,10,3,5,9,4,6,8}),11),10)=VALUE(RIGHT(C263,1)),"","ИНН: неверная контрольная цифра"))))</f>
        <v/>
      </c>
      <c r="L263" s="24" t="str">
        <f aca="false">IF(TRIM(D263)="","ОГРН не указан",IF(LEN(D263)&lt;&gt;13,"ОГРН: должно быть 13 цифр",IF(NOT(ISNUMBER(IFERROR(VALUE(D263),"x"))),"ОГРН: есть нецифровые символы",IF(MOD(VALUE(LEFT(D263,12))-11*INT(VALUE(LEFT(D263,12))/11),10)=VALUE(RIGHT(D263,1)),"","ОГРН: неверная контрольная цифра"))))</f>
        <v/>
      </c>
      <c r="M263" s="24" t="str">
        <f aca="false">IF(TRIM(E263)="","КПП не указан",IF(LEN(E263)&lt;&gt;9,"КПП: должно быть 9 знаков",IF(NOT(AND(ISNUMBER(IFERROR(VALUE(LEFT(E263,4)),"x")),ISNUMBER(IFERROR(VALUE(RIGHT(E263,3)),"x")))),"КПП: неверный формат",IF(LEFT(E263,2)&lt;&gt;LEFT(C263,2),"КПП: код региона не совпадает с ИНН",""))))</f>
        <v/>
      </c>
      <c r="N263" s="24" t="str">
        <f aca="false">IF(TRIM(C263)="","",IF(COUNTIF($C$2:$C$401,C263)&gt;1,"Дубликат ИНН в реестре",""))</f>
        <v/>
      </c>
      <c r="O263" s="24" t="str">
        <f aca="false">IF(TRIM(H263)="","Email не указан",IF(AND(ISNUMBER(FIND("@",H263)),ISNUMBER(FIND(".",H263,IFERROR(FIND("@",H263),1))),ISERROR(FIND(" ",H263)),LEFT(H263,1)&lt;&gt;"@",RIGHT(H263,1)&lt;&gt;".",LEN(H263)-LEN(SUBSTITUTE(H263,"@",""))=1),"","Email: неверный формат"))</f>
        <v/>
      </c>
      <c r="P263" s="24" t="str">
        <f aca="false">IF(TRIM(I263)="","Телефон не указан",IF(AND(LEN(SUBSTITUTE(SUBSTITUTE(SUBSTITUTE(SUBSTITUTE(SUBSTITUTE(I263," ",""),"-",""),"(",""),")",""),"+",""))=11,OR(LEFT(SUBSTITUTE(SUBSTITUTE(SUBSTITUTE(SUBSTITUTE(SUBSTITUTE(I263," ",""),"-",""),"(",""),")",""),"+",""),1)="7",LEFT(SUBSTITUTE(SUBSTITUTE(SUBSTITUTE(SUBSTITUTE(SUBSTITUTE(I263," ",""),"-",""),"(",""),")",""),"+",""),1)="8"),ISNUMBER(IFERROR(VALUE(SUBSTITUTE(SUBSTITUTE(SUBSTITUTE(SUBSTITUTE(SUBSTITUTE(I263," ",""),"-",""),"(",""),")",""),"+","")),"x"))),"","Телефон: неверный формат"))</f>
        <v/>
      </c>
      <c r="Q263" s="24" t="str">
        <f aca="false">TRIM(IF(TRIM(B263)="","Нет наименования. ","")&amp;IF(TRIM(F263)="","Нет адреса. ","")&amp;IF(TRIM(G263)="","Нет контактного лица.",""))</f>
        <v/>
      </c>
      <c r="R263" s="21" t="n">
        <f aca="false">SUMPRODUCT(--(LEN(K263:Q263)&gt;0))</f>
        <v>0</v>
      </c>
      <c r="S263" s="24" t="str">
        <f aca="false">IF(R263=0,"Готово к передаче","Требует исправления")</f>
        <v>Готово к передаче</v>
      </c>
      <c r="T263" s="24" t="str">
        <f aca="false">IF(R263=0,"",_xlfn.TEXTJOIN("; ",TRUE(),K263:Q263))</f>
        <v/>
      </c>
      <c r="U263" s="24" t="str">
        <f aca="false">IF(R263=0,"","Здравствуйте! В данных организации «"&amp;B263&amp;"» обнаружены ошибки: "&amp;T263&amp;". Просим проверить и прислать исправленную информацию.")</f>
        <v/>
      </c>
      <c r="V263" s="21" t="str">
        <f aca="false">IF(R263&gt;0,COUNTIF($R$2:R263,"&gt;0"),"")</f>
        <v/>
      </c>
      <c r="W263" s="21" t="n">
        <f aca="false">IF(R263=0,COUNTIF($R$2:R263,0),"")</f>
        <v>174</v>
      </c>
    </row>
    <row r="264" customFormat="false" ht="15" hidden="false" customHeight="false" outlineLevel="0" collapsed="false">
      <c r="A264" s="21" t="n">
        <v>263</v>
      </c>
      <c r="B264" s="22" t="s">
        <v>2141</v>
      </c>
      <c r="C264" s="23" t="s">
        <v>2142</v>
      </c>
      <c r="D264" s="23" t="s">
        <v>2143</v>
      </c>
      <c r="E264" s="23" t="s">
        <v>2144</v>
      </c>
      <c r="F264" s="22" t="s">
        <v>2145</v>
      </c>
      <c r="G264" s="22" t="s">
        <v>2146</v>
      </c>
      <c r="H264" s="22" t="s">
        <v>2147</v>
      </c>
      <c r="I264" s="23" t="s">
        <v>2148</v>
      </c>
      <c r="J264" s="24" t="str">
        <f aca="false">IFERROR(VLOOKUP(VALUE(LEFT(C264,2)),Справочники!$A$2:$B$16,2,FALSE()),"не определён")</f>
        <v>г. Санкт-Петербург</v>
      </c>
      <c r="K264" s="24" t="str">
        <f aca="false">IF(TRIM(C264)="","ИНН не указан",IF(LEN(C264)&lt;&gt;10,"ИНН: должно быть 10 цифр",IF(NOT(ISNUMBER(IFERROR(VALUE(C264),"x"))),"ИНН: есть нецифровые символы",IF(MOD(MOD(SUMPRODUCT(--MID(C264,{1,2,3,4,5,6,7,8,9},1),{2,4,10,3,5,9,4,6,8}),11),10)=VALUE(RIGHT(C264,1)),"","ИНН: неверная контрольная цифра"))))</f>
        <v/>
      </c>
      <c r="L264" s="24" t="str">
        <f aca="false">IF(TRIM(D264)="","ОГРН не указан",IF(LEN(D264)&lt;&gt;13,"ОГРН: должно быть 13 цифр",IF(NOT(ISNUMBER(IFERROR(VALUE(D264),"x"))),"ОГРН: есть нецифровые символы",IF(MOD(VALUE(LEFT(D264,12))-11*INT(VALUE(LEFT(D264,12))/11),10)=VALUE(RIGHT(D264,1)),"","ОГРН: неверная контрольная цифра"))))</f>
        <v/>
      </c>
      <c r="M264" s="24" t="str">
        <f aca="false">IF(TRIM(E264)="","КПП не указан",IF(LEN(E264)&lt;&gt;9,"КПП: должно быть 9 знаков",IF(NOT(AND(ISNUMBER(IFERROR(VALUE(LEFT(E264,4)),"x")),ISNUMBER(IFERROR(VALUE(RIGHT(E264,3)),"x")))),"КПП: неверный формат",IF(LEFT(E264,2)&lt;&gt;LEFT(C264,2),"КПП: код региона не совпадает с ИНН",""))))</f>
        <v/>
      </c>
      <c r="N264" s="24" t="str">
        <f aca="false">IF(TRIM(C264)="","",IF(COUNTIF($C$2:$C$401,C264)&gt;1,"Дубликат ИНН в реестре",""))</f>
        <v/>
      </c>
      <c r="O264" s="24" t="str">
        <f aca="false">IF(TRIM(H264)="","Email не указан",IF(AND(ISNUMBER(FIND("@",H264)),ISNUMBER(FIND(".",H264,IFERROR(FIND("@",H264),1))),ISERROR(FIND(" ",H264)),LEFT(H264,1)&lt;&gt;"@",RIGHT(H264,1)&lt;&gt;".",LEN(H264)-LEN(SUBSTITUTE(H264,"@",""))=1),"","Email: неверный формат"))</f>
        <v/>
      </c>
      <c r="P264" s="24" t="str">
        <f aca="false">IF(TRIM(I264)="","Телефон не указан",IF(AND(LEN(SUBSTITUTE(SUBSTITUTE(SUBSTITUTE(SUBSTITUTE(SUBSTITUTE(I264," ",""),"-",""),"(",""),")",""),"+",""))=11,OR(LEFT(SUBSTITUTE(SUBSTITUTE(SUBSTITUTE(SUBSTITUTE(SUBSTITUTE(I264," ",""),"-",""),"(",""),")",""),"+",""),1)="7",LEFT(SUBSTITUTE(SUBSTITUTE(SUBSTITUTE(SUBSTITUTE(SUBSTITUTE(I264," ",""),"-",""),"(",""),")",""),"+",""),1)="8"),ISNUMBER(IFERROR(VALUE(SUBSTITUTE(SUBSTITUTE(SUBSTITUTE(SUBSTITUTE(SUBSTITUTE(I264," ",""),"-",""),"(",""),")",""),"+","")),"x"))),"","Телефон: неверный формат"))</f>
        <v/>
      </c>
      <c r="Q264" s="24" t="str">
        <f aca="false">TRIM(IF(TRIM(B264)="","Нет наименования. ","")&amp;IF(TRIM(F264)="","Нет адреса. ","")&amp;IF(TRIM(G264)="","Нет контактного лица.",""))</f>
        <v/>
      </c>
      <c r="R264" s="21" t="n">
        <f aca="false">SUMPRODUCT(--(LEN(K264:Q264)&gt;0))</f>
        <v>0</v>
      </c>
      <c r="S264" s="24" t="str">
        <f aca="false">IF(R264=0,"Готово к передаче","Требует исправления")</f>
        <v>Готово к передаче</v>
      </c>
      <c r="T264" s="24" t="str">
        <f aca="false">IF(R264=0,"",_xlfn.TEXTJOIN("; ",TRUE(),K264:Q264))</f>
        <v/>
      </c>
      <c r="U264" s="24" t="str">
        <f aca="false">IF(R264=0,"","Здравствуйте! В данных организации «"&amp;B264&amp;"» обнаружены ошибки: "&amp;T264&amp;". Просим проверить и прислать исправленную информацию.")</f>
        <v/>
      </c>
      <c r="V264" s="21" t="str">
        <f aca="false">IF(R264&gt;0,COUNTIF($R$2:R264,"&gt;0"),"")</f>
        <v/>
      </c>
      <c r="W264" s="21" t="n">
        <f aca="false">IF(R264=0,COUNTIF($R$2:R264,0),"")</f>
        <v>175</v>
      </c>
    </row>
    <row r="265" customFormat="false" ht="15" hidden="false" customHeight="false" outlineLevel="0" collapsed="false">
      <c r="A265" s="21" t="n">
        <v>264</v>
      </c>
      <c r="B265" s="22" t="s">
        <v>2149</v>
      </c>
      <c r="C265" s="23" t="s">
        <v>2150</v>
      </c>
      <c r="D265" s="23" t="s">
        <v>2151</v>
      </c>
      <c r="E265" s="23" t="s">
        <v>2152</v>
      </c>
      <c r="F265" s="22" t="s">
        <v>2153</v>
      </c>
      <c r="G265" s="22" t="s">
        <v>2154</v>
      </c>
      <c r="H265" s="22" t="s">
        <v>2155</v>
      </c>
      <c r="I265" s="23" t="s">
        <v>2156</v>
      </c>
      <c r="J265" s="24" t="str">
        <f aca="false">IFERROR(VLOOKUP(VALUE(LEFT(C265,2)),Справочники!$A$2:$B$16,2,FALSE()),"не определён")</f>
        <v>г. Санкт-Петербург</v>
      </c>
      <c r="K265" s="24" t="str">
        <f aca="false">IF(TRIM(C265)="","ИНН не указан",IF(LEN(C265)&lt;&gt;10,"ИНН: должно быть 10 цифр",IF(NOT(ISNUMBER(IFERROR(VALUE(C265),"x"))),"ИНН: есть нецифровые символы",IF(MOD(MOD(SUMPRODUCT(--MID(C265,{1,2,3,4,5,6,7,8,9},1),{2,4,10,3,5,9,4,6,8}),11),10)=VALUE(RIGHT(C265,1)),"","ИНН: неверная контрольная цифра"))))</f>
        <v/>
      </c>
      <c r="L265" s="24" t="str">
        <f aca="false">IF(TRIM(D265)="","ОГРН не указан",IF(LEN(D265)&lt;&gt;13,"ОГРН: должно быть 13 цифр",IF(NOT(ISNUMBER(IFERROR(VALUE(D265),"x"))),"ОГРН: есть нецифровые символы",IF(MOD(VALUE(LEFT(D265,12))-11*INT(VALUE(LEFT(D265,12))/11),10)=VALUE(RIGHT(D265,1)),"","ОГРН: неверная контрольная цифра"))))</f>
        <v/>
      </c>
      <c r="M265" s="24" t="str">
        <f aca="false">IF(TRIM(E265)="","КПП не указан",IF(LEN(E265)&lt;&gt;9,"КПП: должно быть 9 знаков",IF(NOT(AND(ISNUMBER(IFERROR(VALUE(LEFT(E265,4)),"x")),ISNUMBER(IFERROR(VALUE(RIGHT(E265,3)),"x")))),"КПП: неверный формат",IF(LEFT(E265,2)&lt;&gt;LEFT(C265,2),"КПП: код региона не совпадает с ИНН",""))))</f>
        <v/>
      </c>
      <c r="N265" s="24" t="str">
        <f aca="false">IF(TRIM(C265)="","",IF(COUNTIF($C$2:$C$401,C265)&gt;1,"Дубликат ИНН в реестре",""))</f>
        <v/>
      </c>
      <c r="O265" s="24" t="str">
        <f aca="false">IF(TRIM(H265)="","Email не указан",IF(AND(ISNUMBER(FIND("@",H265)),ISNUMBER(FIND(".",H265,IFERROR(FIND("@",H265),1))),ISERROR(FIND(" ",H265)),LEFT(H265,1)&lt;&gt;"@",RIGHT(H265,1)&lt;&gt;".",LEN(H265)-LEN(SUBSTITUTE(H265,"@",""))=1),"","Email: неверный формат"))</f>
        <v/>
      </c>
      <c r="P265" s="24" t="str">
        <f aca="false">IF(TRIM(I265)="","Телефон не указан",IF(AND(LEN(SUBSTITUTE(SUBSTITUTE(SUBSTITUTE(SUBSTITUTE(SUBSTITUTE(I265," ",""),"-",""),"(",""),")",""),"+",""))=11,OR(LEFT(SUBSTITUTE(SUBSTITUTE(SUBSTITUTE(SUBSTITUTE(SUBSTITUTE(I265," ",""),"-",""),"(",""),")",""),"+",""),1)="7",LEFT(SUBSTITUTE(SUBSTITUTE(SUBSTITUTE(SUBSTITUTE(SUBSTITUTE(I265," ",""),"-",""),"(",""),")",""),"+",""),1)="8"),ISNUMBER(IFERROR(VALUE(SUBSTITUTE(SUBSTITUTE(SUBSTITUTE(SUBSTITUTE(SUBSTITUTE(I265," ",""),"-",""),"(",""),")",""),"+","")),"x"))),"","Телефон: неверный формат"))</f>
        <v/>
      </c>
      <c r="Q265" s="24" t="str">
        <f aca="false">TRIM(IF(TRIM(B265)="","Нет наименования. ","")&amp;IF(TRIM(F265)="","Нет адреса. ","")&amp;IF(TRIM(G265)="","Нет контактного лица.",""))</f>
        <v/>
      </c>
      <c r="R265" s="21" t="n">
        <f aca="false">SUMPRODUCT(--(LEN(K265:Q265)&gt;0))</f>
        <v>0</v>
      </c>
      <c r="S265" s="24" t="str">
        <f aca="false">IF(R265=0,"Готово к передаче","Требует исправления")</f>
        <v>Готово к передаче</v>
      </c>
      <c r="T265" s="24" t="str">
        <f aca="false">IF(R265=0,"",_xlfn.TEXTJOIN("; ",TRUE(),K265:Q265))</f>
        <v/>
      </c>
      <c r="U265" s="24" t="str">
        <f aca="false">IF(R265=0,"","Здравствуйте! В данных организации «"&amp;B265&amp;"» обнаружены ошибки: "&amp;T265&amp;". Просим проверить и прислать исправленную информацию.")</f>
        <v/>
      </c>
      <c r="V265" s="21" t="str">
        <f aca="false">IF(R265&gt;0,COUNTIF($R$2:R265,"&gt;0"),"")</f>
        <v/>
      </c>
      <c r="W265" s="21" t="n">
        <f aca="false">IF(R265=0,COUNTIF($R$2:R265,0),"")</f>
        <v>176</v>
      </c>
    </row>
    <row r="266" customFormat="false" ht="15" hidden="false" customHeight="false" outlineLevel="0" collapsed="false">
      <c r="A266" s="21" t="n">
        <v>265</v>
      </c>
      <c r="B266" s="22" t="s">
        <v>2157</v>
      </c>
      <c r="C266" s="23" t="s">
        <v>2158</v>
      </c>
      <c r="D266" s="23" t="s">
        <v>2159</v>
      </c>
      <c r="E266" s="23" t="s">
        <v>2160</v>
      </c>
      <c r="F266" s="22" t="s">
        <v>2161</v>
      </c>
      <c r="G266" s="22" t="s">
        <v>2162</v>
      </c>
      <c r="H266" s="22" t="s">
        <v>2163</v>
      </c>
      <c r="I266" s="23" t="s">
        <v>2164</v>
      </c>
      <c r="J266" s="24" t="str">
        <f aca="false">IFERROR(VLOOKUP(VALUE(LEFT(C266,2)),Справочники!$A$2:$B$16,2,FALSE()),"не определён")</f>
        <v>Челябинская область</v>
      </c>
      <c r="K266" s="24" t="str">
        <f aca="false">IF(TRIM(C266)="","ИНН не указан",IF(LEN(C266)&lt;&gt;10,"ИНН: должно быть 10 цифр",IF(NOT(ISNUMBER(IFERROR(VALUE(C266),"x"))),"ИНН: есть нецифровые символы",IF(MOD(MOD(SUMPRODUCT(--MID(C266,{1,2,3,4,5,6,7,8,9},1),{2,4,10,3,5,9,4,6,8}),11),10)=VALUE(RIGHT(C266,1)),"","ИНН: неверная контрольная цифра"))))</f>
        <v/>
      </c>
      <c r="L266" s="24" t="str">
        <f aca="false">IF(TRIM(D266)="","ОГРН не указан",IF(LEN(D266)&lt;&gt;13,"ОГРН: должно быть 13 цифр",IF(NOT(ISNUMBER(IFERROR(VALUE(D266),"x"))),"ОГРН: есть нецифровые символы",IF(MOD(VALUE(LEFT(D266,12))-11*INT(VALUE(LEFT(D266,12))/11),10)=VALUE(RIGHT(D266,1)),"","ОГРН: неверная контрольная цифра"))))</f>
        <v/>
      </c>
      <c r="M266" s="24" t="str">
        <f aca="false">IF(TRIM(E266)="","КПП не указан",IF(LEN(E266)&lt;&gt;9,"КПП: должно быть 9 знаков",IF(NOT(AND(ISNUMBER(IFERROR(VALUE(LEFT(E266,4)),"x")),ISNUMBER(IFERROR(VALUE(RIGHT(E266,3)),"x")))),"КПП: неверный формат",IF(LEFT(E266,2)&lt;&gt;LEFT(C266,2),"КПП: код региона не совпадает с ИНН",""))))</f>
        <v/>
      </c>
      <c r="N266" s="24" t="str">
        <f aca="false">IF(TRIM(C266)="","",IF(COUNTIF($C$2:$C$401,C266)&gt;1,"Дубликат ИНН в реестре",""))</f>
        <v/>
      </c>
      <c r="O266" s="24" t="str">
        <f aca="false">IF(TRIM(H266)="","Email не указан",IF(AND(ISNUMBER(FIND("@",H266)),ISNUMBER(FIND(".",H266,IFERROR(FIND("@",H266),1))),ISERROR(FIND(" ",H266)),LEFT(H266,1)&lt;&gt;"@",RIGHT(H266,1)&lt;&gt;".",LEN(H266)-LEN(SUBSTITUTE(H266,"@",""))=1),"","Email: неверный формат"))</f>
        <v/>
      </c>
      <c r="P266" s="24" t="str">
        <f aca="false">IF(TRIM(I266)="","Телефон не указан",IF(AND(LEN(SUBSTITUTE(SUBSTITUTE(SUBSTITUTE(SUBSTITUTE(SUBSTITUTE(I266," ",""),"-",""),"(",""),")",""),"+",""))=11,OR(LEFT(SUBSTITUTE(SUBSTITUTE(SUBSTITUTE(SUBSTITUTE(SUBSTITUTE(I266," ",""),"-",""),"(",""),")",""),"+",""),1)="7",LEFT(SUBSTITUTE(SUBSTITUTE(SUBSTITUTE(SUBSTITUTE(SUBSTITUTE(I266," ",""),"-",""),"(",""),")",""),"+",""),1)="8"),ISNUMBER(IFERROR(VALUE(SUBSTITUTE(SUBSTITUTE(SUBSTITUTE(SUBSTITUTE(SUBSTITUTE(I266," ",""),"-",""),"(",""),")",""),"+","")),"x"))),"","Телефон: неверный формат"))</f>
        <v/>
      </c>
      <c r="Q266" s="24" t="str">
        <f aca="false">TRIM(IF(TRIM(B266)="","Нет наименования. ","")&amp;IF(TRIM(F266)="","Нет адреса. ","")&amp;IF(TRIM(G266)="","Нет контактного лица.",""))</f>
        <v/>
      </c>
      <c r="R266" s="21" t="n">
        <f aca="false">SUMPRODUCT(--(LEN(K266:Q266)&gt;0))</f>
        <v>0</v>
      </c>
      <c r="S266" s="24" t="str">
        <f aca="false">IF(R266=0,"Готово к передаче","Требует исправления")</f>
        <v>Готово к передаче</v>
      </c>
      <c r="T266" s="24" t="str">
        <f aca="false">IF(R266=0,"",_xlfn.TEXTJOIN("; ",TRUE(),K266:Q266))</f>
        <v/>
      </c>
      <c r="U266" s="24" t="str">
        <f aca="false">IF(R266=0,"","Здравствуйте! В данных организации «"&amp;B266&amp;"» обнаружены ошибки: "&amp;T266&amp;". Просим проверить и прислать исправленную информацию.")</f>
        <v/>
      </c>
      <c r="V266" s="21" t="str">
        <f aca="false">IF(R266&gt;0,COUNTIF($R$2:R266,"&gt;0"),"")</f>
        <v/>
      </c>
      <c r="W266" s="21" t="n">
        <f aca="false">IF(R266=0,COUNTIF($R$2:R266,0),"")</f>
        <v>177</v>
      </c>
    </row>
    <row r="267" customFormat="false" ht="15" hidden="false" customHeight="false" outlineLevel="0" collapsed="false">
      <c r="A267" s="21" t="n">
        <v>266</v>
      </c>
      <c r="B267" s="22" t="s">
        <v>2165</v>
      </c>
      <c r="C267" s="23" t="s">
        <v>2166</v>
      </c>
      <c r="D267" s="23" t="s">
        <v>2167</v>
      </c>
      <c r="E267" s="23" t="s">
        <v>2168</v>
      </c>
      <c r="F267" s="22" t="s">
        <v>2169</v>
      </c>
      <c r="G267" s="22" t="s">
        <v>2170</v>
      </c>
      <c r="H267" s="22" t="s">
        <v>2171</v>
      </c>
      <c r="I267" s="23" t="s">
        <v>2172</v>
      </c>
      <c r="J267" s="24" t="str">
        <f aca="false">IFERROR(VLOOKUP(VALUE(LEFT(C267,2)),Справочники!$A$2:$B$16,2,FALSE()),"не определён")</f>
        <v>Краснодарский край</v>
      </c>
      <c r="K267" s="24" t="str">
        <f aca="false">IF(TRIM(C267)="","ИНН не указан",IF(LEN(C267)&lt;&gt;10,"ИНН: должно быть 10 цифр",IF(NOT(ISNUMBER(IFERROR(VALUE(C267),"x"))),"ИНН: есть нецифровые символы",IF(MOD(MOD(SUMPRODUCT(--MID(C267,{1,2,3,4,5,6,7,8,9},1),{2,4,10,3,5,9,4,6,8}),11),10)=VALUE(RIGHT(C267,1)),"","ИНН: неверная контрольная цифра"))))</f>
        <v/>
      </c>
      <c r="L267" s="24" t="str">
        <f aca="false">IF(TRIM(D267)="","ОГРН не указан",IF(LEN(D267)&lt;&gt;13,"ОГРН: должно быть 13 цифр",IF(NOT(ISNUMBER(IFERROR(VALUE(D267),"x"))),"ОГРН: есть нецифровые символы",IF(MOD(VALUE(LEFT(D267,12))-11*INT(VALUE(LEFT(D267,12))/11),10)=VALUE(RIGHT(D267,1)),"","ОГРН: неверная контрольная цифра"))))</f>
        <v/>
      </c>
      <c r="M267" s="24" t="str">
        <f aca="false">IF(TRIM(E267)="","КПП не указан",IF(LEN(E267)&lt;&gt;9,"КПП: должно быть 9 знаков",IF(NOT(AND(ISNUMBER(IFERROR(VALUE(LEFT(E267,4)),"x")),ISNUMBER(IFERROR(VALUE(RIGHT(E267,3)),"x")))),"КПП: неверный формат",IF(LEFT(E267,2)&lt;&gt;LEFT(C267,2),"КПП: код региона не совпадает с ИНН",""))))</f>
        <v/>
      </c>
      <c r="N267" s="24" t="str">
        <f aca="false">IF(TRIM(C267)="","",IF(COUNTIF($C$2:$C$401,C267)&gt;1,"Дубликат ИНН в реестре",""))</f>
        <v/>
      </c>
      <c r="O267" s="24" t="str">
        <f aca="false">IF(TRIM(H267)="","Email не указан",IF(AND(ISNUMBER(FIND("@",H267)),ISNUMBER(FIND(".",H267,IFERROR(FIND("@",H267),1))),ISERROR(FIND(" ",H267)),LEFT(H267,1)&lt;&gt;"@",RIGHT(H267,1)&lt;&gt;".",LEN(H267)-LEN(SUBSTITUTE(H267,"@",""))=1),"","Email: неверный формат"))</f>
        <v/>
      </c>
      <c r="P267" s="24" t="str">
        <f aca="false">IF(TRIM(I267)="","Телефон не указан",IF(AND(LEN(SUBSTITUTE(SUBSTITUTE(SUBSTITUTE(SUBSTITUTE(SUBSTITUTE(I267," ",""),"-",""),"(",""),")",""),"+",""))=11,OR(LEFT(SUBSTITUTE(SUBSTITUTE(SUBSTITUTE(SUBSTITUTE(SUBSTITUTE(I267," ",""),"-",""),"(",""),")",""),"+",""),1)="7",LEFT(SUBSTITUTE(SUBSTITUTE(SUBSTITUTE(SUBSTITUTE(SUBSTITUTE(I267," ",""),"-",""),"(",""),")",""),"+",""),1)="8"),ISNUMBER(IFERROR(VALUE(SUBSTITUTE(SUBSTITUTE(SUBSTITUTE(SUBSTITUTE(SUBSTITUTE(I267," ",""),"-",""),"(",""),")",""),"+","")),"x"))),"","Телефон: неверный формат"))</f>
        <v/>
      </c>
      <c r="Q267" s="24" t="str">
        <f aca="false">TRIM(IF(TRIM(B267)="","Нет наименования. ","")&amp;IF(TRIM(F267)="","Нет адреса. ","")&amp;IF(TRIM(G267)="","Нет контактного лица.",""))</f>
        <v/>
      </c>
      <c r="R267" s="21" t="n">
        <f aca="false">SUMPRODUCT(--(LEN(K267:Q267)&gt;0))</f>
        <v>0</v>
      </c>
      <c r="S267" s="24" t="str">
        <f aca="false">IF(R267=0,"Готово к передаче","Требует исправления")</f>
        <v>Готово к передаче</v>
      </c>
      <c r="T267" s="24" t="str">
        <f aca="false">IF(R267=0,"",_xlfn.TEXTJOIN("; ",TRUE(),K267:Q267))</f>
        <v/>
      </c>
      <c r="U267" s="24" t="str">
        <f aca="false">IF(R267=0,"","Здравствуйте! В данных организации «"&amp;B267&amp;"» обнаружены ошибки: "&amp;T267&amp;". Просим проверить и прислать исправленную информацию.")</f>
        <v/>
      </c>
      <c r="V267" s="21" t="str">
        <f aca="false">IF(R267&gt;0,COUNTIF($R$2:R267,"&gt;0"),"")</f>
        <v/>
      </c>
      <c r="W267" s="21" t="n">
        <f aca="false">IF(R267=0,COUNTIF($R$2:R267,0),"")</f>
        <v>178</v>
      </c>
    </row>
    <row r="268" customFormat="false" ht="15" hidden="false" customHeight="false" outlineLevel="0" collapsed="false">
      <c r="A268" s="21" t="n">
        <v>267</v>
      </c>
      <c r="B268" s="22" t="s">
        <v>2173</v>
      </c>
      <c r="C268" s="23" t="s">
        <v>2174</v>
      </c>
      <c r="D268" s="23" t="s">
        <v>2175</v>
      </c>
      <c r="E268" s="23" t="s">
        <v>2176</v>
      </c>
      <c r="F268" s="22" t="s">
        <v>2177</v>
      </c>
      <c r="G268" s="22" t="s">
        <v>2178</v>
      </c>
      <c r="H268" s="22" t="s">
        <v>2179</v>
      </c>
      <c r="I268" s="23" t="s">
        <v>2180</v>
      </c>
      <c r="J268" s="24" t="str">
        <f aca="false">IFERROR(VLOOKUP(VALUE(LEFT(C268,2)),Справочники!$A$2:$B$16,2,FALSE()),"не определён")</f>
        <v>Нижегородская область</v>
      </c>
      <c r="K268" s="24" t="str">
        <f aca="false">IF(TRIM(C268)="","ИНН не указан",IF(LEN(C268)&lt;&gt;10,"ИНН: должно быть 10 цифр",IF(NOT(ISNUMBER(IFERROR(VALUE(C268),"x"))),"ИНН: есть нецифровые символы",IF(MOD(MOD(SUMPRODUCT(--MID(C268,{1,2,3,4,5,6,7,8,9},1),{2,4,10,3,5,9,4,6,8}),11),10)=VALUE(RIGHT(C268,1)),"","ИНН: неверная контрольная цифра"))))</f>
        <v/>
      </c>
      <c r="L268" s="24" t="str">
        <f aca="false">IF(TRIM(D268)="","ОГРН не указан",IF(LEN(D268)&lt;&gt;13,"ОГРН: должно быть 13 цифр",IF(NOT(ISNUMBER(IFERROR(VALUE(D268),"x"))),"ОГРН: есть нецифровые символы",IF(MOD(VALUE(LEFT(D268,12))-11*INT(VALUE(LEFT(D268,12))/11),10)=VALUE(RIGHT(D268,1)),"","ОГРН: неверная контрольная цифра"))))</f>
        <v/>
      </c>
      <c r="M268" s="24" t="str">
        <f aca="false">IF(TRIM(E268)="","КПП не указан",IF(LEN(E268)&lt;&gt;9,"КПП: должно быть 9 знаков",IF(NOT(AND(ISNUMBER(IFERROR(VALUE(LEFT(E268,4)),"x")),ISNUMBER(IFERROR(VALUE(RIGHT(E268,3)),"x")))),"КПП: неверный формат",IF(LEFT(E268,2)&lt;&gt;LEFT(C268,2),"КПП: код региона не совпадает с ИНН",""))))</f>
        <v/>
      </c>
      <c r="N268" s="24" t="str">
        <f aca="false">IF(TRIM(C268)="","",IF(COUNTIF($C$2:$C$401,C268)&gt;1,"Дубликат ИНН в реестре",""))</f>
        <v/>
      </c>
      <c r="O268" s="24" t="str">
        <f aca="false">IF(TRIM(H268)="","Email не указан",IF(AND(ISNUMBER(FIND("@",H268)),ISNUMBER(FIND(".",H268,IFERROR(FIND("@",H268),1))),ISERROR(FIND(" ",H268)),LEFT(H268,1)&lt;&gt;"@",RIGHT(H268,1)&lt;&gt;".",LEN(H268)-LEN(SUBSTITUTE(H268,"@",""))=1),"","Email: неверный формат"))</f>
        <v/>
      </c>
      <c r="P268" s="24" t="str">
        <f aca="false">IF(TRIM(I268)="","Телефон не указан",IF(AND(LEN(SUBSTITUTE(SUBSTITUTE(SUBSTITUTE(SUBSTITUTE(SUBSTITUTE(I268," ",""),"-",""),"(",""),")",""),"+",""))=11,OR(LEFT(SUBSTITUTE(SUBSTITUTE(SUBSTITUTE(SUBSTITUTE(SUBSTITUTE(I268," ",""),"-",""),"(",""),")",""),"+",""),1)="7",LEFT(SUBSTITUTE(SUBSTITUTE(SUBSTITUTE(SUBSTITUTE(SUBSTITUTE(I268," ",""),"-",""),"(",""),")",""),"+",""),1)="8"),ISNUMBER(IFERROR(VALUE(SUBSTITUTE(SUBSTITUTE(SUBSTITUTE(SUBSTITUTE(SUBSTITUTE(I268," ",""),"-",""),"(",""),")",""),"+","")),"x"))),"","Телефон: неверный формат"))</f>
        <v/>
      </c>
      <c r="Q268" s="24" t="str">
        <f aca="false">TRIM(IF(TRIM(B268)="","Нет наименования. ","")&amp;IF(TRIM(F268)="","Нет адреса. ","")&amp;IF(TRIM(G268)="","Нет контактного лица.",""))</f>
        <v/>
      </c>
      <c r="R268" s="21" t="n">
        <f aca="false">SUMPRODUCT(--(LEN(K268:Q268)&gt;0))</f>
        <v>0</v>
      </c>
      <c r="S268" s="24" t="str">
        <f aca="false">IF(R268=0,"Готово к передаче","Требует исправления")</f>
        <v>Готово к передаче</v>
      </c>
      <c r="T268" s="24" t="str">
        <f aca="false">IF(R268=0,"",_xlfn.TEXTJOIN("; ",TRUE(),K268:Q268))</f>
        <v/>
      </c>
      <c r="U268" s="24" t="str">
        <f aca="false">IF(R268=0,"","Здравствуйте! В данных организации «"&amp;B268&amp;"» обнаружены ошибки: "&amp;T268&amp;". Просим проверить и прислать исправленную информацию.")</f>
        <v/>
      </c>
      <c r="V268" s="21" t="str">
        <f aca="false">IF(R268&gt;0,COUNTIF($R$2:R268,"&gt;0"),"")</f>
        <v/>
      </c>
      <c r="W268" s="21" t="n">
        <f aca="false">IF(R268=0,COUNTIF($R$2:R268,0),"")</f>
        <v>179</v>
      </c>
    </row>
    <row r="269" customFormat="false" ht="15" hidden="false" customHeight="false" outlineLevel="0" collapsed="false">
      <c r="A269" s="21" t="n">
        <v>268</v>
      </c>
      <c r="B269" s="22" t="s">
        <v>2181</v>
      </c>
      <c r="C269" s="23" t="s">
        <v>2182</v>
      </c>
      <c r="D269" s="23" t="s">
        <v>2183</v>
      </c>
      <c r="E269" s="23" t="s">
        <v>2184</v>
      </c>
      <c r="F269" s="22" t="s">
        <v>2185</v>
      </c>
      <c r="G269" s="22" t="s">
        <v>2186</v>
      </c>
      <c r="H269" s="22" t="s">
        <v>2187</v>
      </c>
      <c r="I269" s="23" t="s">
        <v>2188</v>
      </c>
      <c r="J269" s="24" t="str">
        <f aca="false">IFERROR(VLOOKUP(VALUE(LEFT(C269,2)),Справочники!$A$2:$B$16,2,FALSE()),"не определён")</f>
        <v>г. Санкт-Петербург</v>
      </c>
      <c r="K269" s="24" t="str">
        <f aca="false">IF(TRIM(C269)="","ИНН не указан",IF(LEN(C269)&lt;&gt;10,"ИНН: должно быть 10 цифр",IF(NOT(ISNUMBER(IFERROR(VALUE(C269),"x"))),"ИНН: есть нецифровые символы",IF(MOD(MOD(SUMPRODUCT(--MID(C269,{1,2,3,4,5,6,7,8,9},1),{2,4,10,3,5,9,4,6,8}),11),10)=VALUE(RIGHT(C269,1)),"","ИНН: неверная контрольная цифра"))))</f>
        <v/>
      </c>
      <c r="L269" s="24" t="str">
        <f aca="false">IF(TRIM(D269)="","ОГРН не указан",IF(LEN(D269)&lt;&gt;13,"ОГРН: должно быть 13 цифр",IF(NOT(ISNUMBER(IFERROR(VALUE(D269),"x"))),"ОГРН: есть нецифровые символы",IF(MOD(VALUE(LEFT(D269,12))-11*INT(VALUE(LEFT(D269,12))/11),10)=VALUE(RIGHT(D269,1)),"","ОГРН: неверная контрольная цифра"))))</f>
        <v/>
      </c>
      <c r="M269" s="24" t="str">
        <f aca="false">IF(TRIM(E269)="","КПП не указан",IF(LEN(E269)&lt;&gt;9,"КПП: должно быть 9 знаков",IF(NOT(AND(ISNUMBER(IFERROR(VALUE(LEFT(E269,4)),"x")),ISNUMBER(IFERROR(VALUE(RIGHT(E269,3)),"x")))),"КПП: неверный формат",IF(LEFT(E269,2)&lt;&gt;LEFT(C269,2),"КПП: код региона не совпадает с ИНН",""))))</f>
        <v/>
      </c>
      <c r="N269" s="24" t="str">
        <f aca="false">IF(TRIM(C269)="","",IF(COUNTIF($C$2:$C$401,C269)&gt;1,"Дубликат ИНН в реестре",""))</f>
        <v/>
      </c>
      <c r="O269" s="24" t="str">
        <f aca="false">IF(TRIM(H269)="","Email не указан",IF(AND(ISNUMBER(FIND("@",H269)),ISNUMBER(FIND(".",H269,IFERROR(FIND("@",H269),1))),ISERROR(FIND(" ",H269)),LEFT(H269,1)&lt;&gt;"@",RIGHT(H269,1)&lt;&gt;".",LEN(H269)-LEN(SUBSTITUTE(H269,"@",""))=1),"","Email: неверный формат"))</f>
        <v/>
      </c>
      <c r="P269" s="24" t="str">
        <f aca="false">IF(TRIM(I269)="","Телефон не указан",IF(AND(LEN(SUBSTITUTE(SUBSTITUTE(SUBSTITUTE(SUBSTITUTE(SUBSTITUTE(I269," ",""),"-",""),"(",""),")",""),"+",""))=11,OR(LEFT(SUBSTITUTE(SUBSTITUTE(SUBSTITUTE(SUBSTITUTE(SUBSTITUTE(I269," ",""),"-",""),"(",""),")",""),"+",""),1)="7",LEFT(SUBSTITUTE(SUBSTITUTE(SUBSTITUTE(SUBSTITUTE(SUBSTITUTE(I269," ",""),"-",""),"(",""),")",""),"+",""),1)="8"),ISNUMBER(IFERROR(VALUE(SUBSTITUTE(SUBSTITUTE(SUBSTITUTE(SUBSTITUTE(SUBSTITUTE(I269," ",""),"-",""),"(",""),")",""),"+","")),"x"))),"","Телефон: неверный формат"))</f>
        <v/>
      </c>
      <c r="Q269" s="24" t="str">
        <f aca="false">TRIM(IF(TRIM(B269)="","Нет наименования. ","")&amp;IF(TRIM(F269)="","Нет адреса. ","")&amp;IF(TRIM(G269)="","Нет контактного лица.",""))</f>
        <v/>
      </c>
      <c r="R269" s="21" t="n">
        <f aca="false">SUMPRODUCT(--(LEN(K269:Q269)&gt;0))</f>
        <v>0</v>
      </c>
      <c r="S269" s="24" t="str">
        <f aca="false">IF(R269=0,"Готово к передаче","Требует исправления")</f>
        <v>Готово к передаче</v>
      </c>
      <c r="T269" s="24" t="str">
        <f aca="false">IF(R269=0,"",_xlfn.TEXTJOIN("; ",TRUE(),K269:Q269))</f>
        <v/>
      </c>
      <c r="U269" s="24" t="str">
        <f aca="false">IF(R269=0,"","Здравствуйте! В данных организации «"&amp;B269&amp;"» обнаружены ошибки: "&amp;T269&amp;". Просим проверить и прислать исправленную информацию.")</f>
        <v/>
      </c>
      <c r="V269" s="21" t="str">
        <f aca="false">IF(R269&gt;0,COUNTIF($R$2:R269,"&gt;0"),"")</f>
        <v/>
      </c>
      <c r="W269" s="21" t="n">
        <f aca="false">IF(R269=0,COUNTIF($R$2:R269,0),"")</f>
        <v>180</v>
      </c>
    </row>
    <row r="270" customFormat="false" ht="15" hidden="false" customHeight="false" outlineLevel="0" collapsed="false">
      <c r="A270" s="21" t="n">
        <v>269</v>
      </c>
      <c r="B270" s="22" t="s">
        <v>2189</v>
      </c>
      <c r="C270" s="23" t="s">
        <v>2190</v>
      </c>
      <c r="D270" s="23" t="s">
        <v>2191</v>
      </c>
      <c r="E270" s="23" t="s">
        <v>2192</v>
      </c>
      <c r="F270" s="22" t="s">
        <v>2193</v>
      </c>
      <c r="G270" s="22" t="s">
        <v>2194</v>
      </c>
      <c r="H270" s="22" t="s">
        <v>2195</v>
      </c>
      <c r="I270" s="23" t="s">
        <v>2196</v>
      </c>
      <c r="J270" s="24" t="str">
        <f aca="false">IFERROR(VLOOKUP(VALUE(LEFT(C270,2)),Справочники!$A$2:$B$16,2,FALSE()),"не определён")</f>
        <v>г. Санкт-Петербург</v>
      </c>
      <c r="K270" s="24" t="str">
        <f aca="false">IF(TRIM(C270)="","ИНН не указан",IF(LEN(C270)&lt;&gt;10,"ИНН: должно быть 10 цифр",IF(NOT(ISNUMBER(IFERROR(VALUE(C270),"x"))),"ИНН: есть нецифровые символы",IF(MOD(MOD(SUMPRODUCT(--MID(C270,{1,2,3,4,5,6,7,8,9},1),{2,4,10,3,5,9,4,6,8}),11),10)=VALUE(RIGHT(C270,1)),"","ИНН: неверная контрольная цифра"))))</f>
        <v/>
      </c>
      <c r="L270" s="24" t="str">
        <f aca="false">IF(TRIM(D270)="","ОГРН не указан",IF(LEN(D270)&lt;&gt;13,"ОГРН: должно быть 13 цифр",IF(NOT(ISNUMBER(IFERROR(VALUE(D270),"x"))),"ОГРН: есть нецифровые символы",IF(MOD(VALUE(LEFT(D270,12))-11*INT(VALUE(LEFT(D270,12))/11),10)=VALUE(RIGHT(D270,1)),"","ОГРН: неверная контрольная цифра"))))</f>
        <v/>
      </c>
      <c r="M270" s="24" t="str">
        <f aca="false">IF(TRIM(E270)="","КПП не указан",IF(LEN(E270)&lt;&gt;9,"КПП: должно быть 9 знаков",IF(NOT(AND(ISNUMBER(IFERROR(VALUE(LEFT(E270,4)),"x")),ISNUMBER(IFERROR(VALUE(RIGHT(E270,3)),"x")))),"КПП: неверный формат",IF(LEFT(E270,2)&lt;&gt;LEFT(C270,2),"КПП: код региона не совпадает с ИНН",""))))</f>
        <v/>
      </c>
      <c r="N270" s="24" t="str">
        <f aca="false">IF(TRIM(C270)="","",IF(COUNTIF($C$2:$C$401,C270)&gt;1,"Дубликат ИНН в реестре",""))</f>
        <v/>
      </c>
      <c r="O270" s="24" t="str">
        <f aca="false">IF(TRIM(H270)="","Email не указан",IF(AND(ISNUMBER(FIND("@",H270)),ISNUMBER(FIND(".",H270,IFERROR(FIND("@",H270),1))),ISERROR(FIND(" ",H270)),LEFT(H270,1)&lt;&gt;"@",RIGHT(H270,1)&lt;&gt;".",LEN(H270)-LEN(SUBSTITUTE(H270,"@",""))=1),"","Email: неверный формат"))</f>
        <v/>
      </c>
      <c r="P270" s="24" t="str">
        <f aca="false">IF(TRIM(I270)="","Телефон не указан",IF(AND(LEN(SUBSTITUTE(SUBSTITUTE(SUBSTITUTE(SUBSTITUTE(SUBSTITUTE(I270," ",""),"-",""),"(",""),")",""),"+",""))=11,OR(LEFT(SUBSTITUTE(SUBSTITUTE(SUBSTITUTE(SUBSTITUTE(SUBSTITUTE(I270," ",""),"-",""),"(",""),")",""),"+",""),1)="7",LEFT(SUBSTITUTE(SUBSTITUTE(SUBSTITUTE(SUBSTITUTE(SUBSTITUTE(I270," ",""),"-",""),"(",""),")",""),"+",""),1)="8"),ISNUMBER(IFERROR(VALUE(SUBSTITUTE(SUBSTITUTE(SUBSTITUTE(SUBSTITUTE(SUBSTITUTE(I270," ",""),"-",""),"(",""),")",""),"+","")),"x"))),"","Телефон: неверный формат"))</f>
        <v/>
      </c>
      <c r="Q270" s="24" t="str">
        <f aca="false">TRIM(IF(TRIM(B270)="","Нет наименования. ","")&amp;IF(TRIM(F270)="","Нет адреса. ","")&amp;IF(TRIM(G270)="","Нет контактного лица.",""))</f>
        <v/>
      </c>
      <c r="R270" s="21" t="n">
        <f aca="false">SUMPRODUCT(--(LEN(K270:Q270)&gt;0))</f>
        <v>0</v>
      </c>
      <c r="S270" s="24" t="str">
        <f aca="false">IF(R270=0,"Готово к передаче","Требует исправления")</f>
        <v>Готово к передаче</v>
      </c>
      <c r="T270" s="24" t="str">
        <f aca="false">IF(R270=0,"",_xlfn.TEXTJOIN("; ",TRUE(),K270:Q270))</f>
        <v/>
      </c>
      <c r="U270" s="24" t="str">
        <f aca="false">IF(R270=0,"","Здравствуйте! В данных организации «"&amp;B270&amp;"» обнаружены ошибки: "&amp;T270&amp;". Просим проверить и прислать исправленную информацию.")</f>
        <v/>
      </c>
      <c r="V270" s="21" t="str">
        <f aca="false">IF(R270&gt;0,COUNTIF($R$2:R270,"&gt;0"),"")</f>
        <v/>
      </c>
      <c r="W270" s="21" t="n">
        <f aca="false">IF(R270=0,COUNTIF($R$2:R270,0),"")</f>
        <v>181</v>
      </c>
    </row>
    <row r="271" customFormat="false" ht="15" hidden="false" customHeight="false" outlineLevel="0" collapsed="false">
      <c r="A271" s="21" t="n">
        <v>270</v>
      </c>
      <c r="B271" s="22" t="s">
        <v>2197</v>
      </c>
      <c r="C271" s="23" t="s">
        <v>2198</v>
      </c>
      <c r="D271" s="23" t="s">
        <v>2199</v>
      </c>
      <c r="E271" s="23" t="s">
        <v>2200</v>
      </c>
      <c r="F271" s="22" t="s">
        <v>2201</v>
      </c>
      <c r="G271" s="22" t="s">
        <v>2202</v>
      </c>
      <c r="H271" s="22" t="s">
        <v>2203</v>
      </c>
      <c r="I271" s="23" t="s">
        <v>2204</v>
      </c>
      <c r="J271" s="24" t="str">
        <f aca="false">IFERROR(VLOOKUP(VALUE(LEFT(C271,2)),Справочники!$A$2:$B$16,2,FALSE()),"не определён")</f>
        <v>г. Санкт-Петербург</v>
      </c>
      <c r="K271" s="24" t="str">
        <f aca="false">IF(TRIM(C271)="","ИНН не указан",IF(LEN(C271)&lt;&gt;10,"ИНН: должно быть 10 цифр",IF(NOT(ISNUMBER(IFERROR(VALUE(C271),"x"))),"ИНН: есть нецифровые символы",IF(MOD(MOD(SUMPRODUCT(--MID(C271,{1,2,3,4,5,6,7,8,9},1),{2,4,10,3,5,9,4,6,8}),11),10)=VALUE(RIGHT(C271,1)),"","ИНН: неверная контрольная цифра"))))</f>
        <v>ИНН: неверная контрольная цифра</v>
      </c>
      <c r="L271" s="24" t="str">
        <f aca="false">IF(TRIM(D271)="","ОГРН не указан",IF(LEN(D271)&lt;&gt;13,"ОГРН: должно быть 13 цифр",IF(NOT(ISNUMBER(IFERROR(VALUE(D271),"x"))),"ОГРН: есть нецифровые символы",IF(MOD(VALUE(LEFT(D271,12))-11*INT(VALUE(LEFT(D271,12))/11),10)=VALUE(RIGHT(D271,1)),"","ОГРН: неверная контрольная цифра"))))</f>
        <v/>
      </c>
      <c r="M271" s="24" t="str">
        <f aca="false">IF(TRIM(E271)="","КПП не указан",IF(LEN(E271)&lt;&gt;9,"КПП: должно быть 9 знаков",IF(NOT(AND(ISNUMBER(IFERROR(VALUE(LEFT(E271,4)),"x")),ISNUMBER(IFERROR(VALUE(RIGHT(E271,3)),"x")))),"КПП: неверный формат",IF(LEFT(E271,2)&lt;&gt;LEFT(C271,2),"КПП: код региона не совпадает с ИНН",""))))</f>
        <v/>
      </c>
      <c r="N271" s="24" t="str">
        <f aca="false">IF(TRIM(C271)="","",IF(COUNTIF($C$2:$C$401,C271)&gt;1,"Дубликат ИНН в реестре",""))</f>
        <v/>
      </c>
      <c r="O271" s="24" t="str">
        <f aca="false">IF(TRIM(H271)="","Email не указан",IF(AND(ISNUMBER(FIND("@",H271)),ISNUMBER(FIND(".",H271,IFERROR(FIND("@",H271),1))),ISERROR(FIND(" ",H271)),LEFT(H271,1)&lt;&gt;"@",RIGHT(H271,1)&lt;&gt;".",LEN(H271)-LEN(SUBSTITUTE(H271,"@",""))=1),"","Email: неверный формат"))</f>
        <v/>
      </c>
      <c r="P271" s="24" t="str">
        <f aca="false">IF(TRIM(I271)="","Телефон не указан",IF(AND(LEN(SUBSTITUTE(SUBSTITUTE(SUBSTITUTE(SUBSTITUTE(SUBSTITUTE(I271," ",""),"-",""),"(",""),")",""),"+",""))=11,OR(LEFT(SUBSTITUTE(SUBSTITUTE(SUBSTITUTE(SUBSTITUTE(SUBSTITUTE(I271," ",""),"-",""),"(",""),")",""),"+",""),1)="7",LEFT(SUBSTITUTE(SUBSTITUTE(SUBSTITUTE(SUBSTITUTE(SUBSTITUTE(I271," ",""),"-",""),"(",""),")",""),"+",""),1)="8"),ISNUMBER(IFERROR(VALUE(SUBSTITUTE(SUBSTITUTE(SUBSTITUTE(SUBSTITUTE(SUBSTITUTE(I271," ",""),"-",""),"(",""),")",""),"+","")),"x"))),"","Телефон: неверный формат"))</f>
        <v/>
      </c>
      <c r="Q271" s="24" t="str">
        <f aca="false">TRIM(IF(TRIM(B271)="","Нет наименования. ","")&amp;IF(TRIM(F271)="","Нет адреса. ","")&amp;IF(TRIM(G271)="","Нет контактного лица.",""))</f>
        <v/>
      </c>
      <c r="R271" s="21" t="n">
        <f aca="false">SUMPRODUCT(--(LEN(K271:Q271)&gt;0))</f>
        <v>1</v>
      </c>
      <c r="S271" s="24" t="str">
        <f aca="false">IF(R271=0,"Готово к передаче","Требует исправления")</f>
        <v>Требует исправления</v>
      </c>
      <c r="T271" s="24" t="str">
        <f aca="false">IF(R271=0,"",_xlfn.TEXTJOIN("; ",TRUE(),K271:Q271))</f>
        <v>ИНН: неверная контрольная цифра</v>
      </c>
      <c r="U271" s="24" t="str">
        <f aca="false">IF(R271=0,"","Здравствуйте! В данных организации «"&amp;B271&amp;"» обнаружены ошибки: "&amp;T271&amp;". Просим проверить и прислать исправленную информацию.")</f>
        <v>Здравствуйте! В данных организации «АО «Квант Фуд»» обнаружены ошибки: ИНН: неверная контрольная цифра. Просим проверить и прислать исправленную информацию.</v>
      </c>
      <c r="V271" s="21" t="n">
        <f aca="false">IF(R271&gt;0,COUNTIF($R$2:R271,"&gt;0"),"")</f>
        <v>89</v>
      </c>
      <c r="W271" s="21" t="str">
        <f aca="false">IF(R271=0,COUNTIF($R$2:R271,0),"")</f>
        <v/>
      </c>
    </row>
    <row r="272" customFormat="false" ht="15" hidden="false" customHeight="false" outlineLevel="0" collapsed="false">
      <c r="A272" s="21" t="n">
        <v>271</v>
      </c>
      <c r="B272" s="22" t="s">
        <v>2205</v>
      </c>
      <c r="C272" s="23" t="s">
        <v>2206</v>
      </c>
      <c r="D272" s="23" t="s">
        <v>2207</v>
      </c>
      <c r="E272" s="23" t="s">
        <v>2208</v>
      </c>
      <c r="F272" s="22" t="s">
        <v>2209</v>
      </c>
      <c r="G272" s="22" t="s">
        <v>2210</v>
      </c>
      <c r="H272" s="22" t="s">
        <v>2211</v>
      </c>
      <c r="I272" s="23" t="s">
        <v>2212</v>
      </c>
      <c r="J272" s="24" t="str">
        <f aca="false">IFERROR(VLOOKUP(VALUE(LEFT(C272,2)),Справочники!$A$2:$B$16,2,FALSE()),"не определён")</f>
        <v>Красноярский край</v>
      </c>
      <c r="K272" s="24" t="str">
        <f aca="false">IF(TRIM(C272)="","ИНН не указан",IF(LEN(C272)&lt;&gt;10,"ИНН: должно быть 10 цифр",IF(NOT(ISNUMBER(IFERROR(VALUE(C272),"x"))),"ИНН: есть нецифровые символы",IF(MOD(MOD(SUMPRODUCT(--MID(C272,{1,2,3,4,5,6,7,8,9},1),{2,4,10,3,5,9,4,6,8}),11),10)=VALUE(RIGHT(C272,1)),"","ИНН: неверная контрольная цифра"))))</f>
        <v/>
      </c>
      <c r="L272" s="24" t="str">
        <f aca="false">IF(TRIM(D272)="","ОГРН не указан",IF(LEN(D272)&lt;&gt;13,"ОГРН: должно быть 13 цифр",IF(NOT(ISNUMBER(IFERROR(VALUE(D272),"x"))),"ОГРН: есть нецифровые символы",IF(MOD(VALUE(LEFT(D272,12))-11*INT(VALUE(LEFT(D272,12))/11),10)=VALUE(RIGHT(D272,1)),"","ОГРН: неверная контрольная цифра"))))</f>
        <v/>
      </c>
      <c r="M272" s="24" t="str">
        <f aca="false">IF(TRIM(E272)="","КПП не указан",IF(LEN(E272)&lt;&gt;9,"КПП: должно быть 9 знаков",IF(NOT(AND(ISNUMBER(IFERROR(VALUE(LEFT(E272,4)),"x")),ISNUMBER(IFERROR(VALUE(RIGHT(E272,3)),"x")))),"КПП: неверный формат",IF(LEFT(E272,2)&lt;&gt;LEFT(C272,2),"КПП: код региона не совпадает с ИНН",""))))</f>
        <v/>
      </c>
      <c r="N272" s="24" t="str">
        <f aca="false">IF(TRIM(C272)="","",IF(COUNTIF($C$2:$C$401,C272)&gt;1,"Дубликат ИНН в реестре",""))</f>
        <v/>
      </c>
      <c r="O272" s="24" t="str">
        <f aca="false">IF(TRIM(H272)="","Email не указан",IF(AND(ISNUMBER(FIND("@",H272)),ISNUMBER(FIND(".",H272,IFERROR(FIND("@",H272),1))),ISERROR(FIND(" ",H272)),LEFT(H272,1)&lt;&gt;"@",RIGHT(H272,1)&lt;&gt;".",LEN(H272)-LEN(SUBSTITUTE(H272,"@",""))=1),"","Email: неверный формат"))</f>
        <v/>
      </c>
      <c r="P272" s="24" t="str">
        <f aca="false">IF(TRIM(I272)="","Телефон не указан",IF(AND(LEN(SUBSTITUTE(SUBSTITUTE(SUBSTITUTE(SUBSTITUTE(SUBSTITUTE(I272," ",""),"-",""),"(",""),")",""),"+",""))=11,OR(LEFT(SUBSTITUTE(SUBSTITUTE(SUBSTITUTE(SUBSTITUTE(SUBSTITUTE(I272," ",""),"-",""),"(",""),")",""),"+",""),1)="7",LEFT(SUBSTITUTE(SUBSTITUTE(SUBSTITUTE(SUBSTITUTE(SUBSTITUTE(I272," ",""),"-",""),"(",""),")",""),"+",""),1)="8"),ISNUMBER(IFERROR(VALUE(SUBSTITUTE(SUBSTITUTE(SUBSTITUTE(SUBSTITUTE(SUBSTITUTE(I272," ",""),"-",""),"(",""),")",""),"+","")),"x"))),"","Телефон: неверный формат"))</f>
        <v/>
      </c>
      <c r="Q272" s="24" t="str">
        <f aca="false">TRIM(IF(TRIM(B272)="","Нет наименования. ","")&amp;IF(TRIM(F272)="","Нет адреса. ","")&amp;IF(TRIM(G272)="","Нет контактного лица.",""))</f>
        <v/>
      </c>
      <c r="R272" s="21" t="n">
        <f aca="false">SUMPRODUCT(--(LEN(K272:Q272)&gt;0))</f>
        <v>0</v>
      </c>
      <c r="S272" s="24" t="str">
        <f aca="false">IF(R272=0,"Готово к передаче","Требует исправления")</f>
        <v>Готово к передаче</v>
      </c>
      <c r="T272" s="24" t="str">
        <f aca="false">IF(R272=0,"",_xlfn.TEXTJOIN("; ",TRUE(),K272:Q272))</f>
        <v/>
      </c>
      <c r="U272" s="24" t="str">
        <f aca="false">IF(R272=0,"","Здравствуйте! В данных организации «"&amp;B272&amp;"» обнаружены ошибки: "&amp;T272&amp;". Просим проверить и прислать исправленную информацию.")</f>
        <v/>
      </c>
      <c r="V272" s="21" t="str">
        <f aca="false">IF(R272&gt;0,COUNTIF($R$2:R272,"&gt;0"),"")</f>
        <v/>
      </c>
      <c r="W272" s="21" t="n">
        <f aca="false">IF(R272=0,COUNTIF($R$2:R272,0),"")</f>
        <v>182</v>
      </c>
    </row>
    <row r="273" customFormat="false" ht="15" hidden="false" customHeight="false" outlineLevel="0" collapsed="false">
      <c r="A273" s="21" t="n">
        <v>272</v>
      </c>
      <c r="B273" s="22" t="s">
        <v>2213</v>
      </c>
      <c r="C273" s="23" t="s">
        <v>2214</v>
      </c>
      <c r="D273" s="23" t="s">
        <v>2215</v>
      </c>
      <c r="E273" s="23" t="s">
        <v>2216</v>
      </c>
      <c r="F273" s="22"/>
      <c r="G273" s="22" t="s">
        <v>2217</v>
      </c>
      <c r="H273" s="22" t="s">
        <v>2218</v>
      </c>
      <c r="I273" s="23" t="s">
        <v>2219</v>
      </c>
      <c r="J273" s="24" t="str">
        <f aca="false">IFERROR(VLOOKUP(VALUE(LEFT(C273,2)),Справочники!$A$2:$B$16,2,FALSE()),"не определён")</f>
        <v>Нижегородская область</v>
      </c>
      <c r="K273" s="24" t="str">
        <f aca="false">IF(TRIM(C273)="","ИНН не указан",IF(LEN(C273)&lt;&gt;10,"ИНН: должно быть 10 цифр",IF(NOT(ISNUMBER(IFERROR(VALUE(C273),"x"))),"ИНН: есть нецифровые символы",IF(MOD(MOD(SUMPRODUCT(--MID(C273,{1,2,3,4,5,6,7,8,9},1),{2,4,10,3,5,9,4,6,8}),11),10)=VALUE(RIGHT(C273,1)),"","ИНН: неверная контрольная цифра"))))</f>
        <v/>
      </c>
      <c r="L273" s="24" t="str">
        <f aca="false">IF(TRIM(D273)="","ОГРН не указан",IF(LEN(D273)&lt;&gt;13,"ОГРН: должно быть 13 цифр",IF(NOT(ISNUMBER(IFERROR(VALUE(D273),"x"))),"ОГРН: есть нецифровые символы",IF(MOD(VALUE(LEFT(D273,12))-11*INT(VALUE(LEFT(D273,12))/11),10)=VALUE(RIGHT(D273,1)),"","ОГРН: неверная контрольная цифра"))))</f>
        <v/>
      </c>
      <c r="M273" s="24" t="str">
        <f aca="false">IF(TRIM(E273)="","КПП не указан",IF(LEN(E273)&lt;&gt;9,"КПП: должно быть 9 знаков",IF(NOT(AND(ISNUMBER(IFERROR(VALUE(LEFT(E273,4)),"x")),ISNUMBER(IFERROR(VALUE(RIGHT(E273,3)),"x")))),"КПП: неверный формат",IF(LEFT(E273,2)&lt;&gt;LEFT(C273,2),"КПП: код региона не совпадает с ИНН",""))))</f>
        <v/>
      </c>
      <c r="N273" s="24" t="str">
        <f aca="false">IF(TRIM(C273)="","",IF(COUNTIF($C$2:$C$401,C273)&gt;1,"Дубликат ИНН в реестре",""))</f>
        <v/>
      </c>
      <c r="O273" s="24" t="str">
        <f aca="false">IF(TRIM(H273)="","Email не указан",IF(AND(ISNUMBER(FIND("@",H273)),ISNUMBER(FIND(".",H273,IFERROR(FIND("@",H273),1))),ISERROR(FIND(" ",H273)),LEFT(H273,1)&lt;&gt;"@",RIGHT(H273,1)&lt;&gt;".",LEN(H273)-LEN(SUBSTITUTE(H273,"@",""))=1),"","Email: неверный формат"))</f>
        <v/>
      </c>
      <c r="P273" s="24" t="str">
        <f aca="false">IF(TRIM(I273)="","Телефон не указан",IF(AND(LEN(SUBSTITUTE(SUBSTITUTE(SUBSTITUTE(SUBSTITUTE(SUBSTITUTE(I273," ",""),"-",""),"(",""),")",""),"+",""))=11,OR(LEFT(SUBSTITUTE(SUBSTITUTE(SUBSTITUTE(SUBSTITUTE(SUBSTITUTE(I273," ",""),"-",""),"(",""),")",""),"+",""),1)="7",LEFT(SUBSTITUTE(SUBSTITUTE(SUBSTITUTE(SUBSTITUTE(SUBSTITUTE(I273," ",""),"-",""),"(",""),")",""),"+",""),1)="8"),ISNUMBER(IFERROR(VALUE(SUBSTITUTE(SUBSTITUTE(SUBSTITUTE(SUBSTITUTE(SUBSTITUTE(I273," ",""),"-",""),"(",""),")",""),"+","")),"x"))),"","Телефон: неверный формат"))</f>
        <v/>
      </c>
      <c r="Q273" s="24" t="str">
        <f aca="false">TRIM(IF(TRIM(B273)="","Нет наименования. ","")&amp;IF(TRIM(F273)="","Нет адреса. ","")&amp;IF(TRIM(G273)="","Нет контактного лица.",""))</f>
        <v>Нет адреса.</v>
      </c>
      <c r="R273" s="21" t="n">
        <f aca="false">SUMPRODUCT(--(LEN(K273:Q273)&gt;0))</f>
        <v>1</v>
      </c>
      <c r="S273" s="24" t="str">
        <f aca="false">IF(R273=0,"Готово к передаче","Требует исправления")</f>
        <v>Требует исправления</v>
      </c>
      <c r="T273" s="24" t="str">
        <f aca="false">IF(R273=0,"",_xlfn.TEXTJOIN("; ",TRUE(),K273:Q273))</f>
        <v>Нет адреса.</v>
      </c>
      <c r="U273" s="24" t="str">
        <f aca="false">IF(R273=0,"","Здравствуйте! В данных организации «"&amp;B273&amp;"» обнаружены ошибки: "&amp;T273&amp;". Просим проверить и прислать исправленную информацию.")</f>
        <v>Здравствуйте! В данных организации «АО «Эталон Трейд»» обнаружены ошибки: Нет адреса.. Просим проверить и прислать исправленную информацию.</v>
      </c>
      <c r="V273" s="21" t="n">
        <f aca="false">IF(R273&gt;0,COUNTIF($R$2:R273,"&gt;0"),"")</f>
        <v>90</v>
      </c>
      <c r="W273" s="21" t="str">
        <f aca="false">IF(R273=0,COUNTIF($R$2:R273,0),"")</f>
        <v/>
      </c>
    </row>
    <row r="274" customFormat="false" ht="15" hidden="false" customHeight="false" outlineLevel="0" collapsed="false">
      <c r="A274" s="21" t="n">
        <v>273</v>
      </c>
      <c r="B274" s="22" t="s">
        <v>2220</v>
      </c>
      <c r="C274" s="23" t="s">
        <v>1588</v>
      </c>
      <c r="D274" s="23" t="s">
        <v>2221</v>
      </c>
      <c r="E274" s="23" t="s">
        <v>2222</v>
      </c>
      <c r="F274" s="22" t="s">
        <v>2223</v>
      </c>
      <c r="G274" s="22" t="s">
        <v>2224</v>
      </c>
      <c r="H274" s="22"/>
      <c r="I274" s="23" t="s">
        <v>2225</v>
      </c>
      <c r="J274" s="24" t="str">
        <f aca="false">IFERROR(VLOOKUP(VALUE(LEFT(C274,2)),Справочники!$A$2:$B$16,2,FALSE()),"не определён")</f>
        <v>Краснодарский край</v>
      </c>
      <c r="K274" s="24" t="str">
        <f aca="false">IF(TRIM(C274)="","ИНН не указан",IF(LEN(C274)&lt;&gt;10,"ИНН: должно быть 10 цифр",IF(NOT(ISNUMBER(IFERROR(VALUE(C274),"x"))),"ИНН: есть нецифровые символы",IF(MOD(MOD(SUMPRODUCT(--MID(C274,{1,2,3,4,5,6,7,8,9},1),{2,4,10,3,5,9,4,6,8}),11),10)=VALUE(RIGHT(C274,1)),"","ИНН: неверная контрольная цифра"))))</f>
        <v/>
      </c>
      <c r="L274" s="24" t="str">
        <f aca="false">IF(TRIM(D274)="","ОГРН не указан",IF(LEN(D274)&lt;&gt;13,"ОГРН: должно быть 13 цифр",IF(NOT(ISNUMBER(IFERROR(VALUE(D274),"x"))),"ОГРН: есть нецифровые символы",IF(MOD(VALUE(LEFT(D274,12))-11*INT(VALUE(LEFT(D274,12))/11),10)=VALUE(RIGHT(D274,1)),"","ОГРН: неверная контрольная цифра"))))</f>
        <v/>
      </c>
      <c r="M274" s="24" t="str">
        <f aca="false">IF(TRIM(E274)="","КПП не указан",IF(LEN(E274)&lt;&gt;9,"КПП: должно быть 9 знаков",IF(NOT(AND(ISNUMBER(IFERROR(VALUE(LEFT(E274,4)),"x")),ISNUMBER(IFERROR(VALUE(RIGHT(E274,3)),"x")))),"КПП: неверный формат",IF(LEFT(E274,2)&lt;&gt;LEFT(C274,2),"КПП: код региона не совпадает с ИНН",""))))</f>
        <v/>
      </c>
      <c r="N274" s="24" t="str">
        <f aca="false">IF(TRIM(C274)="","",IF(COUNTIF($C$2:$C$401,C274)&gt;1,"Дубликат ИНН в реестре",""))</f>
        <v>Дубликат ИНН в реестре</v>
      </c>
      <c r="O274" s="24" t="str">
        <f aca="false">IF(TRIM(H274)="","Email не указан",IF(AND(ISNUMBER(FIND("@",H274)),ISNUMBER(FIND(".",H274,IFERROR(FIND("@",H274),1))),ISERROR(FIND(" ",H274)),LEFT(H274,1)&lt;&gt;"@",RIGHT(H274,1)&lt;&gt;".",LEN(H274)-LEN(SUBSTITUTE(H274,"@",""))=1),"","Email: неверный формат"))</f>
        <v>Email не указан</v>
      </c>
      <c r="P274" s="24" t="str">
        <f aca="false">IF(TRIM(I274)="","Телефон не указан",IF(AND(LEN(SUBSTITUTE(SUBSTITUTE(SUBSTITUTE(SUBSTITUTE(SUBSTITUTE(I274," ",""),"-",""),"(",""),")",""),"+",""))=11,OR(LEFT(SUBSTITUTE(SUBSTITUTE(SUBSTITUTE(SUBSTITUTE(SUBSTITUTE(I274," ",""),"-",""),"(",""),")",""),"+",""),1)="7",LEFT(SUBSTITUTE(SUBSTITUTE(SUBSTITUTE(SUBSTITUTE(SUBSTITUTE(I274," ",""),"-",""),"(",""),")",""),"+",""),1)="8"),ISNUMBER(IFERROR(VALUE(SUBSTITUTE(SUBSTITUTE(SUBSTITUTE(SUBSTITUTE(SUBSTITUTE(I274," ",""),"-",""),"(",""),")",""),"+","")),"x"))),"","Телефон: неверный формат"))</f>
        <v/>
      </c>
      <c r="Q274" s="24" t="str">
        <f aca="false">TRIM(IF(TRIM(B274)="","Нет наименования. ","")&amp;IF(TRIM(F274)="","Нет адреса. ","")&amp;IF(TRIM(G274)="","Нет контактного лица.",""))</f>
        <v/>
      </c>
      <c r="R274" s="21" t="n">
        <f aca="false">SUMPRODUCT(--(LEN(K274:Q274)&gt;0))</f>
        <v>2</v>
      </c>
      <c r="S274" s="24" t="str">
        <f aca="false">IF(R274=0,"Готово к передаче","Требует исправления")</f>
        <v>Требует исправления</v>
      </c>
      <c r="T274" s="24" t="str">
        <f aca="false">IF(R274=0,"",_xlfn.TEXTJOIN("; ",TRUE(),K274:Q274))</f>
        <v>Дубликат ИНН в реестре; Email не указан</v>
      </c>
      <c r="U274" s="24" t="str">
        <f aca="false">IF(R274=0,"","Здравствуйте! В данных организации «"&amp;B274&amp;"» обнаружены ошибки: "&amp;T274&amp;". Просим проверить и прислать исправленную информацию.")</f>
        <v>Здравствуйте! В данных организации «АО «Юпитер Принт»» обнаружены ошибки: Дубликат ИНН в реестре; Email не указан. Просим проверить и прислать исправленную информацию.</v>
      </c>
      <c r="V274" s="21" t="n">
        <f aca="false">IF(R274&gt;0,COUNTIF($R$2:R274,"&gt;0"),"")</f>
        <v>91</v>
      </c>
      <c r="W274" s="21" t="str">
        <f aca="false">IF(R274=0,COUNTIF($R$2:R274,0),"")</f>
        <v/>
      </c>
    </row>
    <row r="275" customFormat="false" ht="15" hidden="false" customHeight="false" outlineLevel="0" collapsed="false">
      <c r="A275" s="21" t="n">
        <v>274</v>
      </c>
      <c r="B275" s="22" t="s">
        <v>2226</v>
      </c>
      <c r="C275" s="23" t="s">
        <v>2227</v>
      </c>
      <c r="D275" s="23" t="s">
        <v>2228</v>
      </c>
      <c r="E275" s="23" t="s">
        <v>2229</v>
      </c>
      <c r="F275" s="22" t="s">
        <v>2230</v>
      </c>
      <c r="G275" s="22" t="s">
        <v>2231</v>
      </c>
      <c r="H275" s="22" t="s">
        <v>2232</v>
      </c>
      <c r="I275" s="23" t="s">
        <v>2233</v>
      </c>
      <c r="J275" s="24" t="str">
        <f aca="false">IFERROR(VLOOKUP(VALUE(LEFT(C275,2)),Справочники!$A$2:$B$16,2,FALSE()),"не определён")</f>
        <v>г. Севастополь</v>
      </c>
      <c r="K275" s="24" t="str">
        <f aca="false">IF(TRIM(C275)="","ИНН не указан",IF(LEN(C275)&lt;&gt;10,"ИНН: должно быть 10 цифр",IF(NOT(ISNUMBER(IFERROR(VALUE(C275),"x"))),"ИНН: есть нецифровые символы",IF(MOD(MOD(SUMPRODUCT(--MID(C275,{1,2,3,4,5,6,7,8,9},1),{2,4,10,3,5,9,4,6,8}),11),10)=VALUE(RIGHT(C275,1)),"","ИНН: неверная контрольная цифра"))))</f>
        <v/>
      </c>
      <c r="L275" s="24" t="str">
        <f aca="false">IF(TRIM(D275)="","ОГРН не указан",IF(LEN(D275)&lt;&gt;13,"ОГРН: должно быть 13 цифр",IF(NOT(ISNUMBER(IFERROR(VALUE(D275),"x"))),"ОГРН: есть нецифровые символы",IF(MOD(VALUE(LEFT(D275,12))-11*INT(VALUE(LEFT(D275,12))/11),10)=VALUE(RIGHT(D275,1)),"","ОГРН: неверная контрольная цифра"))))</f>
        <v/>
      </c>
      <c r="M275" s="24" t="str">
        <f aca="false">IF(TRIM(E275)="","КПП не указан",IF(LEN(E275)&lt;&gt;9,"КПП: должно быть 9 знаков",IF(NOT(AND(ISNUMBER(IFERROR(VALUE(LEFT(E275,4)),"x")),ISNUMBER(IFERROR(VALUE(RIGHT(E275,3)),"x")))),"КПП: неверный формат",IF(LEFT(E275,2)&lt;&gt;LEFT(C275,2),"КПП: код региона не совпадает с ИНН",""))))</f>
        <v/>
      </c>
      <c r="N275" s="24" t="str">
        <f aca="false">IF(TRIM(C275)="","",IF(COUNTIF($C$2:$C$401,C275)&gt;1,"Дубликат ИНН в реестре",""))</f>
        <v/>
      </c>
      <c r="O275" s="24" t="str">
        <f aca="false">IF(TRIM(H275)="","Email не указан",IF(AND(ISNUMBER(FIND("@",H275)),ISNUMBER(FIND(".",H275,IFERROR(FIND("@",H275),1))),ISERROR(FIND(" ",H275)),LEFT(H275,1)&lt;&gt;"@",RIGHT(H275,1)&lt;&gt;".",LEN(H275)-LEN(SUBSTITUTE(H275,"@",""))=1),"","Email: неверный формат"))</f>
        <v/>
      </c>
      <c r="P275" s="24" t="str">
        <f aca="false">IF(TRIM(I275)="","Телефон не указан",IF(AND(LEN(SUBSTITUTE(SUBSTITUTE(SUBSTITUTE(SUBSTITUTE(SUBSTITUTE(I275," ",""),"-",""),"(",""),")",""),"+",""))=11,OR(LEFT(SUBSTITUTE(SUBSTITUTE(SUBSTITUTE(SUBSTITUTE(SUBSTITUTE(I275," ",""),"-",""),"(",""),")",""),"+",""),1)="7",LEFT(SUBSTITUTE(SUBSTITUTE(SUBSTITUTE(SUBSTITUTE(SUBSTITUTE(I275," ",""),"-",""),"(",""),")",""),"+",""),1)="8"),ISNUMBER(IFERROR(VALUE(SUBSTITUTE(SUBSTITUTE(SUBSTITUTE(SUBSTITUTE(SUBSTITUTE(I275," ",""),"-",""),"(",""),")",""),"+","")),"x"))),"","Телефон: неверный формат"))</f>
        <v/>
      </c>
      <c r="Q275" s="24" t="str">
        <f aca="false">TRIM(IF(TRIM(B275)="","Нет наименования. ","")&amp;IF(TRIM(F275)="","Нет адреса. ","")&amp;IF(TRIM(G275)="","Нет контактного лица.",""))</f>
        <v/>
      </c>
      <c r="R275" s="21" t="n">
        <f aca="false">SUMPRODUCT(--(LEN(K275:Q275)&gt;0))</f>
        <v>0</v>
      </c>
      <c r="S275" s="24" t="str">
        <f aca="false">IF(R275=0,"Готово к передаче","Требует исправления")</f>
        <v>Готово к передаче</v>
      </c>
      <c r="T275" s="24" t="str">
        <f aca="false">IF(R275=0,"",_xlfn.TEXTJOIN("; ",TRUE(),K275:Q275))</f>
        <v/>
      </c>
      <c r="U275" s="24" t="str">
        <f aca="false">IF(R275=0,"","Здравствуйте! В данных организации «"&amp;B275&amp;"» обнаружены ошибки: "&amp;T275&amp;". Просим проверить и прислать исправленную информацию.")</f>
        <v/>
      </c>
      <c r="V275" s="21" t="str">
        <f aca="false">IF(R275&gt;0,COUNTIF($R$2:R275,"&gt;0"),"")</f>
        <v/>
      </c>
      <c r="W275" s="21" t="n">
        <f aca="false">IF(R275=0,COUNTIF($R$2:R275,0),"")</f>
        <v>183</v>
      </c>
    </row>
    <row r="276" customFormat="false" ht="15" hidden="false" customHeight="false" outlineLevel="0" collapsed="false">
      <c r="A276" s="21" t="n">
        <v>275</v>
      </c>
      <c r="B276" s="22" t="s">
        <v>2234</v>
      </c>
      <c r="C276" s="23" t="s">
        <v>2235</v>
      </c>
      <c r="D276" s="23" t="s">
        <v>2236</v>
      </c>
      <c r="E276" s="23" t="s">
        <v>2237</v>
      </c>
      <c r="F276" s="22" t="s">
        <v>2238</v>
      </c>
      <c r="G276" s="22" t="s">
        <v>2239</v>
      </c>
      <c r="H276" s="22" t="s">
        <v>2240</v>
      </c>
      <c r="I276" s="23" t="s">
        <v>2241</v>
      </c>
      <c r="J276" s="24" t="str">
        <f aca="false">IFERROR(VLOOKUP(VALUE(LEFT(C276,2)),Справочники!$A$2:$B$16,2,FALSE()),"не определён")</f>
        <v>Ростовская область</v>
      </c>
      <c r="K276" s="24" t="str">
        <f aca="false">IF(TRIM(C276)="","ИНН не указан",IF(LEN(C276)&lt;&gt;10,"ИНН: должно быть 10 цифр",IF(NOT(ISNUMBER(IFERROR(VALUE(C276),"x"))),"ИНН: есть нецифровые символы",IF(MOD(MOD(SUMPRODUCT(--MID(C276,{1,2,3,4,5,6,7,8,9},1),{2,4,10,3,5,9,4,6,8}),11),10)=VALUE(RIGHT(C276,1)),"","ИНН: неверная контрольная цифра"))))</f>
        <v/>
      </c>
      <c r="L276" s="24" t="str">
        <f aca="false">IF(TRIM(D276)="","ОГРН не указан",IF(LEN(D276)&lt;&gt;13,"ОГРН: должно быть 13 цифр",IF(NOT(ISNUMBER(IFERROR(VALUE(D276),"x"))),"ОГРН: есть нецифровые символы",IF(MOD(VALUE(LEFT(D276,12))-11*INT(VALUE(LEFT(D276,12))/11),10)=VALUE(RIGHT(D276,1)),"","ОГРН: неверная контрольная цифра"))))</f>
        <v/>
      </c>
      <c r="M276" s="24" t="str">
        <f aca="false">IF(TRIM(E276)="","КПП не указан",IF(LEN(E276)&lt;&gt;9,"КПП: должно быть 9 знаков",IF(NOT(AND(ISNUMBER(IFERROR(VALUE(LEFT(E276,4)),"x")),ISNUMBER(IFERROR(VALUE(RIGHT(E276,3)),"x")))),"КПП: неверный формат",IF(LEFT(E276,2)&lt;&gt;LEFT(C276,2),"КПП: код региона не совпадает с ИНН",""))))</f>
        <v/>
      </c>
      <c r="N276" s="24" t="str">
        <f aca="false">IF(TRIM(C276)="","",IF(COUNTIF($C$2:$C$401,C276)&gt;1,"Дубликат ИНН в реестре",""))</f>
        <v/>
      </c>
      <c r="O276" s="24" t="str">
        <f aca="false">IF(TRIM(H276)="","Email не указан",IF(AND(ISNUMBER(FIND("@",H276)),ISNUMBER(FIND(".",H276,IFERROR(FIND("@",H276),1))),ISERROR(FIND(" ",H276)),LEFT(H276,1)&lt;&gt;"@",RIGHT(H276,1)&lt;&gt;".",LEN(H276)-LEN(SUBSTITUTE(H276,"@",""))=1),"","Email: неверный формат"))</f>
        <v/>
      </c>
      <c r="P276" s="24" t="str">
        <f aca="false">IF(TRIM(I276)="","Телефон не указан",IF(AND(LEN(SUBSTITUTE(SUBSTITUTE(SUBSTITUTE(SUBSTITUTE(SUBSTITUTE(I276," ",""),"-",""),"(",""),")",""),"+",""))=11,OR(LEFT(SUBSTITUTE(SUBSTITUTE(SUBSTITUTE(SUBSTITUTE(SUBSTITUTE(I276," ",""),"-",""),"(",""),")",""),"+",""),1)="7",LEFT(SUBSTITUTE(SUBSTITUTE(SUBSTITUTE(SUBSTITUTE(SUBSTITUTE(I276," ",""),"-",""),"(",""),")",""),"+",""),1)="8"),ISNUMBER(IFERROR(VALUE(SUBSTITUTE(SUBSTITUTE(SUBSTITUTE(SUBSTITUTE(SUBSTITUTE(I276," ",""),"-",""),"(",""),")",""),"+","")),"x"))),"","Телефон: неверный формат"))</f>
        <v/>
      </c>
      <c r="Q276" s="24" t="str">
        <f aca="false">TRIM(IF(TRIM(B276)="","Нет наименования. ","")&amp;IF(TRIM(F276)="","Нет адреса. ","")&amp;IF(TRIM(G276)="","Нет контактного лица.",""))</f>
        <v/>
      </c>
      <c r="R276" s="21" t="n">
        <f aca="false">SUMPRODUCT(--(LEN(K276:Q276)&gt;0))</f>
        <v>0</v>
      </c>
      <c r="S276" s="24" t="str">
        <f aca="false">IF(R276=0,"Готово к передаче","Требует исправления")</f>
        <v>Готово к передаче</v>
      </c>
      <c r="T276" s="24" t="str">
        <f aca="false">IF(R276=0,"",_xlfn.TEXTJOIN("; ",TRUE(),K276:Q276))</f>
        <v/>
      </c>
      <c r="U276" s="24" t="str">
        <f aca="false">IF(R276=0,"","Здравствуйте! В данных организации «"&amp;B276&amp;"» обнаружены ошибки: "&amp;T276&amp;". Просим проверить и прислать исправленную информацию.")</f>
        <v/>
      </c>
      <c r="V276" s="21" t="str">
        <f aca="false">IF(R276&gt;0,COUNTIF($R$2:R276,"&gt;0"),"")</f>
        <v/>
      </c>
      <c r="W276" s="21" t="n">
        <f aca="false">IF(R276=0,COUNTIF($R$2:R276,0),"")</f>
        <v>184</v>
      </c>
    </row>
    <row r="277" customFormat="false" ht="15" hidden="false" customHeight="false" outlineLevel="0" collapsed="false">
      <c r="A277" s="21" t="n">
        <v>276</v>
      </c>
      <c r="B277" s="22" t="s">
        <v>2242</v>
      </c>
      <c r="C277" s="23" t="s">
        <v>2243</v>
      </c>
      <c r="D277" s="23" t="s">
        <v>2244</v>
      </c>
      <c r="E277" s="23" t="s">
        <v>2245</v>
      </c>
      <c r="F277" s="22" t="s">
        <v>2246</v>
      </c>
      <c r="G277" s="22" t="s">
        <v>2247</v>
      </c>
      <c r="H277" s="22" t="s">
        <v>2248</v>
      </c>
      <c r="I277" s="23" t="s">
        <v>2249</v>
      </c>
      <c r="J277" s="24" t="str">
        <f aca="false">IFERROR(VLOOKUP(VALUE(LEFT(C277,2)),Справочники!$A$2:$B$16,2,FALSE()),"не определён")</f>
        <v>Ростовская область</v>
      </c>
      <c r="K277" s="24" t="str">
        <f aca="false">IF(TRIM(C277)="","ИНН не указан",IF(LEN(C277)&lt;&gt;10,"ИНН: должно быть 10 цифр",IF(NOT(ISNUMBER(IFERROR(VALUE(C277),"x"))),"ИНН: есть нецифровые символы",IF(MOD(MOD(SUMPRODUCT(--MID(C277,{1,2,3,4,5,6,7,8,9},1),{2,4,10,3,5,9,4,6,8}),11),10)=VALUE(RIGHT(C277,1)),"","ИНН: неверная контрольная цифра"))))</f>
        <v/>
      </c>
      <c r="L277" s="24" t="str">
        <f aca="false">IF(TRIM(D277)="","ОГРН не указан",IF(LEN(D277)&lt;&gt;13,"ОГРН: должно быть 13 цифр",IF(NOT(ISNUMBER(IFERROR(VALUE(D277),"x"))),"ОГРН: есть нецифровые символы",IF(MOD(VALUE(LEFT(D277,12))-11*INT(VALUE(LEFT(D277,12))/11),10)=VALUE(RIGHT(D277,1)),"","ОГРН: неверная контрольная цифра"))))</f>
        <v/>
      </c>
      <c r="M277" s="24" t="str">
        <f aca="false">IF(TRIM(E277)="","КПП не указан",IF(LEN(E277)&lt;&gt;9,"КПП: должно быть 9 знаков",IF(NOT(AND(ISNUMBER(IFERROR(VALUE(LEFT(E277,4)),"x")),ISNUMBER(IFERROR(VALUE(RIGHT(E277,3)),"x")))),"КПП: неверный формат",IF(LEFT(E277,2)&lt;&gt;LEFT(C277,2),"КПП: код региона не совпадает с ИНН",""))))</f>
        <v/>
      </c>
      <c r="N277" s="24" t="str">
        <f aca="false">IF(TRIM(C277)="","",IF(COUNTIF($C$2:$C$401,C277)&gt;1,"Дубликат ИНН в реестре",""))</f>
        <v/>
      </c>
      <c r="O277" s="24" t="str">
        <f aca="false">IF(TRIM(H277)="","Email не указан",IF(AND(ISNUMBER(FIND("@",H277)),ISNUMBER(FIND(".",H277,IFERROR(FIND("@",H277),1))),ISERROR(FIND(" ",H277)),LEFT(H277,1)&lt;&gt;"@",RIGHT(H277,1)&lt;&gt;".",LEN(H277)-LEN(SUBSTITUTE(H277,"@",""))=1),"","Email: неверный формат"))</f>
        <v/>
      </c>
      <c r="P277" s="24" t="str">
        <f aca="false">IF(TRIM(I277)="","Телефон не указан",IF(AND(LEN(SUBSTITUTE(SUBSTITUTE(SUBSTITUTE(SUBSTITUTE(SUBSTITUTE(I277," ",""),"-",""),"(",""),")",""),"+",""))=11,OR(LEFT(SUBSTITUTE(SUBSTITUTE(SUBSTITUTE(SUBSTITUTE(SUBSTITUTE(I277," ",""),"-",""),"(",""),")",""),"+",""),1)="7",LEFT(SUBSTITUTE(SUBSTITUTE(SUBSTITUTE(SUBSTITUTE(SUBSTITUTE(I277," ",""),"-",""),"(",""),")",""),"+",""),1)="8"),ISNUMBER(IFERROR(VALUE(SUBSTITUTE(SUBSTITUTE(SUBSTITUTE(SUBSTITUTE(SUBSTITUTE(I277," ",""),"-",""),"(",""),")",""),"+","")),"x"))),"","Телефон: неверный формат"))</f>
        <v/>
      </c>
      <c r="Q277" s="24" t="str">
        <f aca="false">TRIM(IF(TRIM(B277)="","Нет наименования. ","")&amp;IF(TRIM(F277)="","Нет адреса. ","")&amp;IF(TRIM(G277)="","Нет контактного лица.",""))</f>
        <v/>
      </c>
      <c r="R277" s="21" t="n">
        <f aca="false">SUMPRODUCT(--(LEN(K277:Q277)&gt;0))</f>
        <v>0</v>
      </c>
      <c r="S277" s="24" t="str">
        <f aca="false">IF(R277=0,"Готово к передаче","Требует исправления")</f>
        <v>Готово к передаче</v>
      </c>
      <c r="T277" s="24" t="str">
        <f aca="false">IF(R277=0,"",_xlfn.TEXTJOIN("; ",TRUE(),K277:Q277))</f>
        <v/>
      </c>
      <c r="U277" s="24" t="str">
        <f aca="false">IF(R277=0,"","Здравствуйте! В данных организации «"&amp;B277&amp;"» обнаружены ошибки: "&amp;T277&amp;". Просим проверить и прислать исправленную информацию.")</f>
        <v/>
      </c>
      <c r="V277" s="21" t="str">
        <f aca="false">IF(R277&gt;0,COUNTIF($R$2:R277,"&gt;0"),"")</f>
        <v/>
      </c>
      <c r="W277" s="21" t="n">
        <f aca="false">IF(R277=0,COUNTIF($R$2:R277,0),"")</f>
        <v>185</v>
      </c>
    </row>
    <row r="278" customFormat="false" ht="15" hidden="false" customHeight="false" outlineLevel="0" collapsed="false">
      <c r="A278" s="21" t="n">
        <v>277</v>
      </c>
      <c r="B278" s="22" t="s">
        <v>2250</v>
      </c>
      <c r="C278" s="23" t="s">
        <v>2251</v>
      </c>
      <c r="D278" s="23" t="s">
        <v>2252</v>
      </c>
      <c r="E278" s="23" t="s">
        <v>2253</v>
      </c>
      <c r="F278" s="22" t="s">
        <v>2254</v>
      </c>
      <c r="G278" s="22" t="s">
        <v>1064</v>
      </c>
      <c r="H278" s="22" t="s">
        <v>2255</v>
      </c>
      <c r="I278" s="23" t="s">
        <v>2256</v>
      </c>
      <c r="J278" s="24" t="str">
        <f aca="false">IFERROR(VLOOKUP(VALUE(LEFT(C278,2)),Справочники!$A$2:$B$16,2,FALSE()),"не определён")</f>
        <v>Самарская область</v>
      </c>
      <c r="K278" s="24" t="str">
        <f aca="false">IF(TRIM(C278)="","ИНН не указан",IF(LEN(C278)&lt;&gt;10,"ИНН: должно быть 10 цифр",IF(NOT(ISNUMBER(IFERROR(VALUE(C278),"x"))),"ИНН: есть нецифровые символы",IF(MOD(MOD(SUMPRODUCT(--MID(C278,{1,2,3,4,5,6,7,8,9},1),{2,4,10,3,5,9,4,6,8}),11),10)=VALUE(RIGHT(C278,1)),"","ИНН: неверная контрольная цифра"))))</f>
        <v/>
      </c>
      <c r="L278" s="24" t="str">
        <f aca="false">IF(TRIM(D278)="","ОГРН не указан",IF(LEN(D278)&lt;&gt;13,"ОГРН: должно быть 13 цифр",IF(NOT(ISNUMBER(IFERROR(VALUE(D278),"x"))),"ОГРН: есть нецифровые символы",IF(MOD(VALUE(LEFT(D278,12))-11*INT(VALUE(LEFT(D278,12))/11),10)=VALUE(RIGHT(D278,1)),"","ОГРН: неверная контрольная цифра"))))</f>
        <v/>
      </c>
      <c r="M278" s="24" t="str">
        <f aca="false">IF(TRIM(E278)="","КПП не указан",IF(LEN(E278)&lt;&gt;9,"КПП: должно быть 9 знаков",IF(NOT(AND(ISNUMBER(IFERROR(VALUE(LEFT(E278,4)),"x")),ISNUMBER(IFERROR(VALUE(RIGHT(E278,3)),"x")))),"КПП: неверный формат",IF(LEFT(E278,2)&lt;&gt;LEFT(C278,2),"КПП: код региона не совпадает с ИНН",""))))</f>
        <v/>
      </c>
      <c r="N278" s="24" t="str">
        <f aca="false">IF(TRIM(C278)="","",IF(COUNTIF($C$2:$C$401,C278)&gt;1,"Дубликат ИНН в реестре",""))</f>
        <v/>
      </c>
      <c r="O278" s="24" t="str">
        <f aca="false">IF(TRIM(H278)="","Email не указан",IF(AND(ISNUMBER(FIND("@",H278)),ISNUMBER(FIND(".",H278,IFERROR(FIND("@",H278),1))),ISERROR(FIND(" ",H278)),LEFT(H278,1)&lt;&gt;"@",RIGHT(H278,1)&lt;&gt;".",LEN(H278)-LEN(SUBSTITUTE(H278,"@",""))=1),"","Email: неверный формат"))</f>
        <v/>
      </c>
      <c r="P278" s="24" t="str">
        <f aca="false">IF(TRIM(I278)="","Телефон не указан",IF(AND(LEN(SUBSTITUTE(SUBSTITUTE(SUBSTITUTE(SUBSTITUTE(SUBSTITUTE(I278," ",""),"-",""),"(",""),")",""),"+",""))=11,OR(LEFT(SUBSTITUTE(SUBSTITUTE(SUBSTITUTE(SUBSTITUTE(SUBSTITUTE(I278," ",""),"-",""),"(",""),")",""),"+",""),1)="7",LEFT(SUBSTITUTE(SUBSTITUTE(SUBSTITUTE(SUBSTITUTE(SUBSTITUTE(I278," ",""),"-",""),"(",""),")",""),"+",""),1)="8"),ISNUMBER(IFERROR(VALUE(SUBSTITUTE(SUBSTITUTE(SUBSTITUTE(SUBSTITUTE(SUBSTITUTE(I278," ",""),"-",""),"(",""),")",""),"+","")),"x"))),"","Телефон: неверный формат"))</f>
        <v/>
      </c>
      <c r="Q278" s="24" t="str">
        <f aca="false">TRIM(IF(TRIM(B278)="","Нет наименования. ","")&amp;IF(TRIM(F278)="","Нет адреса. ","")&amp;IF(TRIM(G278)="","Нет контактного лица.",""))</f>
        <v/>
      </c>
      <c r="R278" s="21" t="n">
        <f aca="false">SUMPRODUCT(--(LEN(K278:Q278)&gt;0))</f>
        <v>0</v>
      </c>
      <c r="S278" s="24" t="str">
        <f aca="false">IF(R278=0,"Готово к передаче","Требует исправления")</f>
        <v>Готово к передаче</v>
      </c>
      <c r="T278" s="24" t="str">
        <f aca="false">IF(R278=0,"",_xlfn.TEXTJOIN("; ",TRUE(),K278:Q278))</f>
        <v/>
      </c>
      <c r="U278" s="24" t="str">
        <f aca="false">IF(R278=0,"","Здравствуйте! В данных организации «"&amp;B278&amp;"» обнаружены ошибки: "&amp;T278&amp;". Просим проверить и прислать исправленную информацию.")</f>
        <v/>
      </c>
      <c r="V278" s="21" t="str">
        <f aca="false">IF(R278&gt;0,COUNTIF($R$2:R278,"&gt;0"),"")</f>
        <v/>
      </c>
      <c r="W278" s="21" t="n">
        <f aca="false">IF(R278=0,COUNTIF($R$2:R278,0),"")</f>
        <v>186</v>
      </c>
    </row>
    <row r="279" customFormat="false" ht="15" hidden="false" customHeight="false" outlineLevel="0" collapsed="false">
      <c r="A279" s="21" t="n">
        <v>278</v>
      </c>
      <c r="B279" s="22" t="s">
        <v>2257</v>
      </c>
      <c r="C279" s="23" t="s">
        <v>2258</v>
      </c>
      <c r="D279" s="23" t="s">
        <v>2259</v>
      </c>
      <c r="E279" s="23" t="s">
        <v>2260</v>
      </c>
      <c r="F279" s="22" t="s">
        <v>2261</v>
      </c>
      <c r="G279" s="22" t="s">
        <v>169</v>
      </c>
      <c r="H279" s="22" t="s">
        <v>2262</v>
      </c>
      <c r="I279" s="23" t="s">
        <v>2263</v>
      </c>
      <c r="J279" s="24" t="str">
        <f aca="false">IFERROR(VLOOKUP(VALUE(LEFT(C279,2)),Справочники!$A$2:$B$16,2,FALSE()),"не определён")</f>
        <v>Московская область</v>
      </c>
      <c r="K279" s="24" t="str">
        <f aca="false">IF(TRIM(C279)="","ИНН не указан",IF(LEN(C279)&lt;&gt;10,"ИНН: должно быть 10 цифр",IF(NOT(ISNUMBER(IFERROR(VALUE(C279),"x"))),"ИНН: есть нецифровые символы",IF(MOD(MOD(SUMPRODUCT(--MID(C279,{1,2,3,4,5,6,7,8,9},1),{2,4,10,3,5,9,4,6,8}),11),10)=VALUE(RIGHT(C279,1)),"","ИНН: неверная контрольная цифра"))))</f>
        <v/>
      </c>
      <c r="L279" s="24" t="str">
        <f aca="false">IF(TRIM(D279)="","ОГРН не указан",IF(LEN(D279)&lt;&gt;13,"ОГРН: должно быть 13 цифр",IF(NOT(ISNUMBER(IFERROR(VALUE(D279),"x"))),"ОГРН: есть нецифровые символы",IF(MOD(VALUE(LEFT(D279,12))-11*INT(VALUE(LEFT(D279,12))/11),10)=VALUE(RIGHT(D279,1)),"","ОГРН: неверная контрольная цифра"))))</f>
        <v/>
      </c>
      <c r="M279" s="24" t="str">
        <f aca="false">IF(TRIM(E279)="","КПП не указан",IF(LEN(E279)&lt;&gt;9,"КПП: должно быть 9 знаков",IF(NOT(AND(ISNUMBER(IFERROR(VALUE(LEFT(E279,4)),"x")),ISNUMBER(IFERROR(VALUE(RIGHT(E279,3)),"x")))),"КПП: неверный формат",IF(LEFT(E279,2)&lt;&gt;LEFT(C279,2),"КПП: код региона не совпадает с ИНН",""))))</f>
        <v/>
      </c>
      <c r="N279" s="24" t="str">
        <f aca="false">IF(TRIM(C279)="","",IF(COUNTIF($C$2:$C$401,C279)&gt;1,"Дубликат ИНН в реестре",""))</f>
        <v/>
      </c>
      <c r="O279" s="24" t="str">
        <f aca="false">IF(TRIM(H279)="","Email не указан",IF(AND(ISNUMBER(FIND("@",H279)),ISNUMBER(FIND(".",H279,IFERROR(FIND("@",H279),1))),ISERROR(FIND(" ",H279)),LEFT(H279,1)&lt;&gt;"@",RIGHT(H279,1)&lt;&gt;".",LEN(H279)-LEN(SUBSTITUTE(H279,"@",""))=1),"","Email: неверный формат"))</f>
        <v/>
      </c>
      <c r="P279" s="24" t="str">
        <f aca="false">IF(TRIM(I279)="","Телефон не указан",IF(AND(LEN(SUBSTITUTE(SUBSTITUTE(SUBSTITUTE(SUBSTITUTE(SUBSTITUTE(I279," ",""),"-",""),"(",""),")",""),"+",""))=11,OR(LEFT(SUBSTITUTE(SUBSTITUTE(SUBSTITUTE(SUBSTITUTE(SUBSTITUTE(I279," ",""),"-",""),"(",""),")",""),"+",""),1)="7",LEFT(SUBSTITUTE(SUBSTITUTE(SUBSTITUTE(SUBSTITUTE(SUBSTITUTE(I279," ",""),"-",""),"(",""),")",""),"+",""),1)="8"),ISNUMBER(IFERROR(VALUE(SUBSTITUTE(SUBSTITUTE(SUBSTITUTE(SUBSTITUTE(SUBSTITUTE(I279," ",""),"-",""),"(",""),")",""),"+","")),"x"))),"","Телефон: неверный формат"))</f>
        <v/>
      </c>
      <c r="Q279" s="24" t="str">
        <f aca="false">TRIM(IF(TRIM(B279)="","Нет наименования. ","")&amp;IF(TRIM(F279)="","Нет адреса. ","")&amp;IF(TRIM(G279)="","Нет контактного лица.",""))</f>
        <v/>
      </c>
      <c r="R279" s="21" t="n">
        <f aca="false">SUMPRODUCT(--(LEN(K279:Q279)&gt;0))</f>
        <v>0</v>
      </c>
      <c r="S279" s="24" t="str">
        <f aca="false">IF(R279=0,"Готово к передаче","Требует исправления")</f>
        <v>Готово к передаче</v>
      </c>
      <c r="T279" s="24" t="str">
        <f aca="false">IF(R279=0,"",_xlfn.TEXTJOIN("; ",TRUE(),K279:Q279))</f>
        <v/>
      </c>
      <c r="U279" s="24" t="str">
        <f aca="false">IF(R279=0,"","Здравствуйте! В данных организации «"&amp;B279&amp;"» обнаружены ошибки: "&amp;T279&amp;". Просим проверить и прислать исправленную информацию.")</f>
        <v/>
      </c>
      <c r="V279" s="21" t="str">
        <f aca="false">IF(R279&gt;0,COUNTIF($R$2:R279,"&gt;0"),"")</f>
        <v/>
      </c>
      <c r="W279" s="21" t="n">
        <f aca="false">IF(R279=0,COUNTIF($R$2:R279,0),"")</f>
        <v>187</v>
      </c>
    </row>
    <row r="280" customFormat="false" ht="15" hidden="false" customHeight="false" outlineLevel="0" collapsed="false">
      <c r="A280" s="21" t="n">
        <v>279</v>
      </c>
      <c r="B280" s="22" t="s">
        <v>2264</v>
      </c>
      <c r="C280" s="23" t="s">
        <v>2265</v>
      </c>
      <c r="D280" s="23" t="s">
        <v>2266</v>
      </c>
      <c r="E280" s="23" t="s">
        <v>2267</v>
      </c>
      <c r="F280" s="22" t="s">
        <v>2268</v>
      </c>
      <c r="G280" s="22" t="s">
        <v>2269</v>
      </c>
      <c r="H280" s="22" t="s">
        <v>2270</v>
      </c>
      <c r="I280" s="23" t="s">
        <v>2271</v>
      </c>
      <c r="J280" s="24" t="str">
        <f aca="false">IFERROR(VLOOKUP(VALUE(LEFT(C280,2)),Справочники!$A$2:$B$16,2,FALSE()),"не определён")</f>
        <v>Краснодарский край</v>
      </c>
      <c r="K280" s="24" t="str">
        <f aca="false">IF(TRIM(C280)="","ИНН не указан",IF(LEN(C280)&lt;&gt;10,"ИНН: должно быть 10 цифр",IF(NOT(ISNUMBER(IFERROR(VALUE(C280),"x"))),"ИНН: есть нецифровые символы",IF(MOD(MOD(SUMPRODUCT(--MID(C280,{1,2,3,4,5,6,7,8,9},1),{2,4,10,3,5,9,4,6,8}),11),10)=VALUE(RIGHT(C280,1)),"","ИНН: неверная контрольная цифра"))))</f>
        <v/>
      </c>
      <c r="L280" s="24" t="str">
        <f aca="false">IF(TRIM(D280)="","ОГРН не указан",IF(LEN(D280)&lt;&gt;13,"ОГРН: должно быть 13 цифр",IF(NOT(ISNUMBER(IFERROR(VALUE(D280),"x"))),"ОГРН: есть нецифровые символы",IF(MOD(VALUE(LEFT(D280,12))-11*INT(VALUE(LEFT(D280,12))/11),10)=VALUE(RIGHT(D280,1)),"","ОГРН: неверная контрольная цифра"))))</f>
        <v/>
      </c>
      <c r="M280" s="24" t="str">
        <f aca="false">IF(TRIM(E280)="","КПП не указан",IF(LEN(E280)&lt;&gt;9,"КПП: должно быть 9 знаков",IF(NOT(AND(ISNUMBER(IFERROR(VALUE(LEFT(E280,4)),"x")),ISNUMBER(IFERROR(VALUE(RIGHT(E280,3)),"x")))),"КПП: неверный формат",IF(LEFT(E280,2)&lt;&gt;LEFT(C280,2),"КПП: код региона не совпадает с ИНН",""))))</f>
        <v/>
      </c>
      <c r="N280" s="24" t="str">
        <f aca="false">IF(TRIM(C280)="","",IF(COUNTIF($C$2:$C$401,C280)&gt;1,"Дубликат ИНН в реестре",""))</f>
        <v/>
      </c>
      <c r="O280" s="24" t="str">
        <f aca="false">IF(TRIM(H280)="","Email не указан",IF(AND(ISNUMBER(FIND("@",H280)),ISNUMBER(FIND(".",H280,IFERROR(FIND("@",H280),1))),ISERROR(FIND(" ",H280)),LEFT(H280,1)&lt;&gt;"@",RIGHT(H280,1)&lt;&gt;".",LEN(H280)-LEN(SUBSTITUTE(H280,"@",""))=1),"","Email: неверный формат"))</f>
        <v/>
      </c>
      <c r="P280" s="24" t="str">
        <f aca="false">IF(TRIM(I280)="","Телефон не указан",IF(AND(LEN(SUBSTITUTE(SUBSTITUTE(SUBSTITUTE(SUBSTITUTE(SUBSTITUTE(I280," ",""),"-",""),"(",""),")",""),"+",""))=11,OR(LEFT(SUBSTITUTE(SUBSTITUTE(SUBSTITUTE(SUBSTITUTE(SUBSTITUTE(I280," ",""),"-",""),"(",""),")",""),"+",""),1)="7",LEFT(SUBSTITUTE(SUBSTITUTE(SUBSTITUTE(SUBSTITUTE(SUBSTITUTE(I280," ",""),"-",""),"(",""),")",""),"+",""),1)="8"),ISNUMBER(IFERROR(VALUE(SUBSTITUTE(SUBSTITUTE(SUBSTITUTE(SUBSTITUTE(SUBSTITUTE(I280," ",""),"-",""),"(",""),")",""),"+","")),"x"))),"","Телефон: неверный формат"))</f>
        <v/>
      </c>
      <c r="Q280" s="24" t="str">
        <f aca="false">TRIM(IF(TRIM(B280)="","Нет наименования. ","")&amp;IF(TRIM(F280)="","Нет адреса. ","")&amp;IF(TRIM(G280)="","Нет контактного лица.",""))</f>
        <v/>
      </c>
      <c r="R280" s="21" t="n">
        <f aca="false">SUMPRODUCT(--(LEN(K280:Q280)&gt;0))</f>
        <v>0</v>
      </c>
      <c r="S280" s="24" t="str">
        <f aca="false">IF(R280=0,"Готово к передаче","Требует исправления")</f>
        <v>Готово к передаче</v>
      </c>
      <c r="T280" s="24" t="str">
        <f aca="false">IF(R280=0,"",_xlfn.TEXTJOIN("; ",TRUE(),K280:Q280))</f>
        <v/>
      </c>
      <c r="U280" s="24" t="str">
        <f aca="false">IF(R280=0,"","Здравствуйте! В данных организации «"&amp;B280&amp;"» обнаружены ошибки: "&amp;T280&amp;". Просим проверить и прислать исправленную информацию.")</f>
        <v/>
      </c>
      <c r="V280" s="21" t="str">
        <f aca="false">IF(R280&gt;0,COUNTIF($R$2:R280,"&gt;0"),"")</f>
        <v/>
      </c>
      <c r="W280" s="21" t="n">
        <f aca="false">IF(R280=0,COUNTIF($R$2:R280,0),"")</f>
        <v>188</v>
      </c>
    </row>
    <row r="281" customFormat="false" ht="15" hidden="false" customHeight="false" outlineLevel="0" collapsed="false">
      <c r="A281" s="21" t="n">
        <v>280</v>
      </c>
      <c r="B281" s="22" t="s">
        <v>2272</v>
      </c>
      <c r="C281" s="23" t="s">
        <v>2273</v>
      </c>
      <c r="D281" s="23" t="s">
        <v>2274</v>
      </c>
      <c r="E281" s="23" t="s">
        <v>2275</v>
      </c>
      <c r="F281" s="22" t="s">
        <v>2276</v>
      </c>
      <c r="G281" s="22" t="s">
        <v>611</v>
      </c>
      <c r="H281" s="22" t="s">
        <v>2277</v>
      </c>
      <c r="I281" s="23" t="s">
        <v>2278</v>
      </c>
      <c r="J281" s="24" t="str">
        <f aca="false">IFERROR(VLOOKUP(VALUE(LEFT(C281,2)),Справочники!$A$2:$B$16,2,FALSE()),"не определён")</f>
        <v>Челябинская область</v>
      </c>
      <c r="K281" s="24" t="str">
        <f aca="false">IF(TRIM(C281)="","ИНН не указан",IF(LEN(C281)&lt;&gt;10,"ИНН: должно быть 10 цифр",IF(NOT(ISNUMBER(IFERROR(VALUE(C281),"x"))),"ИНН: есть нецифровые символы",IF(MOD(MOD(SUMPRODUCT(--MID(C281,{1,2,3,4,5,6,7,8,9},1),{2,4,10,3,5,9,4,6,8}),11),10)=VALUE(RIGHT(C281,1)),"","ИНН: неверная контрольная цифра"))))</f>
        <v/>
      </c>
      <c r="L281" s="24" t="str">
        <f aca="false">IF(TRIM(D281)="","ОГРН не указан",IF(LEN(D281)&lt;&gt;13,"ОГРН: должно быть 13 цифр",IF(NOT(ISNUMBER(IFERROR(VALUE(D281),"x"))),"ОГРН: есть нецифровые символы",IF(MOD(VALUE(LEFT(D281,12))-11*INT(VALUE(LEFT(D281,12))/11),10)=VALUE(RIGHT(D281,1)),"","ОГРН: неверная контрольная цифра"))))</f>
        <v/>
      </c>
      <c r="M281" s="24" t="str">
        <f aca="false">IF(TRIM(E281)="","КПП не указан",IF(LEN(E281)&lt;&gt;9,"КПП: должно быть 9 знаков",IF(NOT(AND(ISNUMBER(IFERROR(VALUE(LEFT(E281,4)),"x")),ISNUMBER(IFERROR(VALUE(RIGHT(E281,3)),"x")))),"КПП: неверный формат",IF(LEFT(E281,2)&lt;&gt;LEFT(C281,2),"КПП: код региона не совпадает с ИНН",""))))</f>
        <v/>
      </c>
      <c r="N281" s="24" t="str">
        <f aca="false">IF(TRIM(C281)="","",IF(COUNTIF($C$2:$C$401,C281)&gt;1,"Дубликат ИНН в реестре",""))</f>
        <v/>
      </c>
      <c r="O281" s="24" t="str">
        <f aca="false">IF(TRIM(H281)="","Email не указан",IF(AND(ISNUMBER(FIND("@",H281)),ISNUMBER(FIND(".",H281,IFERROR(FIND("@",H281),1))),ISERROR(FIND(" ",H281)),LEFT(H281,1)&lt;&gt;"@",RIGHT(H281,1)&lt;&gt;".",LEN(H281)-LEN(SUBSTITUTE(H281,"@",""))=1),"","Email: неверный формат"))</f>
        <v/>
      </c>
      <c r="P281" s="24" t="str">
        <f aca="false">IF(TRIM(I281)="","Телефон не указан",IF(AND(LEN(SUBSTITUTE(SUBSTITUTE(SUBSTITUTE(SUBSTITUTE(SUBSTITUTE(I281," ",""),"-",""),"(",""),")",""),"+",""))=11,OR(LEFT(SUBSTITUTE(SUBSTITUTE(SUBSTITUTE(SUBSTITUTE(SUBSTITUTE(I281," ",""),"-",""),"(",""),")",""),"+",""),1)="7",LEFT(SUBSTITUTE(SUBSTITUTE(SUBSTITUTE(SUBSTITUTE(SUBSTITUTE(I281," ",""),"-",""),"(",""),")",""),"+",""),1)="8"),ISNUMBER(IFERROR(VALUE(SUBSTITUTE(SUBSTITUTE(SUBSTITUTE(SUBSTITUTE(SUBSTITUTE(I281," ",""),"-",""),"(",""),")",""),"+","")),"x"))),"","Телефон: неверный формат"))</f>
        <v/>
      </c>
      <c r="Q281" s="24" t="str">
        <f aca="false">TRIM(IF(TRIM(B281)="","Нет наименования. ","")&amp;IF(TRIM(F281)="","Нет адреса. ","")&amp;IF(TRIM(G281)="","Нет контактного лица.",""))</f>
        <v/>
      </c>
      <c r="R281" s="21" t="n">
        <f aca="false">SUMPRODUCT(--(LEN(K281:Q281)&gt;0))</f>
        <v>0</v>
      </c>
      <c r="S281" s="24" t="str">
        <f aca="false">IF(R281=0,"Готово к передаче","Требует исправления")</f>
        <v>Готово к передаче</v>
      </c>
      <c r="T281" s="24" t="str">
        <f aca="false">IF(R281=0,"",_xlfn.TEXTJOIN("; ",TRUE(),K281:Q281))</f>
        <v/>
      </c>
      <c r="U281" s="24" t="str">
        <f aca="false">IF(R281=0,"","Здравствуйте! В данных организации «"&amp;B281&amp;"» обнаружены ошибки: "&amp;T281&amp;". Просим проверить и прислать исправленную информацию.")</f>
        <v/>
      </c>
      <c r="V281" s="21" t="str">
        <f aca="false">IF(R281&gt;0,COUNTIF($R$2:R281,"&gt;0"),"")</f>
        <v/>
      </c>
      <c r="W281" s="21" t="n">
        <f aca="false">IF(R281=0,COUNTIF($R$2:R281,0),"")</f>
        <v>189</v>
      </c>
    </row>
    <row r="282" customFormat="false" ht="15" hidden="false" customHeight="false" outlineLevel="0" collapsed="false">
      <c r="A282" s="21" t="n">
        <v>281</v>
      </c>
      <c r="B282" s="22" t="s">
        <v>2279</v>
      </c>
      <c r="C282" s="23" t="s">
        <v>2280</v>
      </c>
      <c r="D282" s="23" t="s">
        <v>2281</v>
      </c>
      <c r="E282" s="23" t="s">
        <v>2282</v>
      </c>
      <c r="F282" s="22" t="s">
        <v>2283</v>
      </c>
      <c r="G282" s="22" t="s">
        <v>2284</v>
      </c>
      <c r="H282" s="22" t="s">
        <v>2285</v>
      </c>
      <c r="I282" s="23" t="s">
        <v>2286</v>
      </c>
      <c r="J282" s="24" t="str">
        <f aca="false">IFERROR(VLOOKUP(VALUE(LEFT(C282,2)),Справочники!$A$2:$B$16,2,FALSE()),"не определён")</f>
        <v>Нижегородская область</v>
      </c>
      <c r="K282" s="24" t="str">
        <f aca="false">IF(TRIM(C282)="","ИНН не указан",IF(LEN(C282)&lt;&gt;10,"ИНН: должно быть 10 цифр",IF(NOT(ISNUMBER(IFERROR(VALUE(C282),"x"))),"ИНН: есть нецифровые символы",IF(MOD(MOD(SUMPRODUCT(--MID(C282,{1,2,3,4,5,6,7,8,9},1),{2,4,10,3,5,9,4,6,8}),11),10)=VALUE(RIGHT(C282,1)),"","ИНН: неверная контрольная цифра"))))</f>
        <v/>
      </c>
      <c r="L282" s="24" t="str">
        <f aca="false">IF(TRIM(D282)="","ОГРН не указан",IF(LEN(D282)&lt;&gt;13,"ОГРН: должно быть 13 цифр",IF(NOT(ISNUMBER(IFERROR(VALUE(D282),"x"))),"ОГРН: есть нецифровые символы",IF(MOD(VALUE(LEFT(D282,12))-11*INT(VALUE(LEFT(D282,12))/11),10)=VALUE(RIGHT(D282,1)),"","ОГРН: неверная контрольная цифра"))))</f>
        <v/>
      </c>
      <c r="M282" s="24" t="str">
        <f aca="false">IF(TRIM(E282)="","КПП не указан",IF(LEN(E282)&lt;&gt;9,"КПП: должно быть 9 знаков",IF(NOT(AND(ISNUMBER(IFERROR(VALUE(LEFT(E282,4)),"x")),ISNUMBER(IFERROR(VALUE(RIGHT(E282,3)),"x")))),"КПП: неверный формат",IF(LEFT(E282,2)&lt;&gt;LEFT(C282,2),"КПП: код региона не совпадает с ИНН",""))))</f>
        <v/>
      </c>
      <c r="N282" s="24" t="str">
        <f aca="false">IF(TRIM(C282)="","",IF(COUNTIF($C$2:$C$401,C282)&gt;1,"Дубликат ИНН в реестре",""))</f>
        <v/>
      </c>
      <c r="O282" s="24" t="str">
        <f aca="false">IF(TRIM(H282)="","Email не указан",IF(AND(ISNUMBER(FIND("@",H282)),ISNUMBER(FIND(".",H282,IFERROR(FIND("@",H282),1))),ISERROR(FIND(" ",H282)),LEFT(H282,1)&lt;&gt;"@",RIGHT(H282,1)&lt;&gt;".",LEN(H282)-LEN(SUBSTITUTE(H282,"@",""))=1),"","Email: неверный формат"))</f>
        <v/>
      </c>
      <c r="P282" s="24" t="str">
        <f aca="false">IF(TRIM(I282)="","Телефон не указан",IF(AND(LEN(SUBSTITUTE(SUBSTITUTE(SUBSTITUTE(SUBSTITUTE(SUBSTITUTE(I282," ",""),"-",""),"(",""),")",""),"+",""))=11,OR(LEFT(SUBSTITUTE(SUBSTITUTE(SUBSTITUTE(SUBSTITUTE(SUBSTITUTE(I282," ",""),"-",""),"(",""),")",""),"+",""),1)="7",LEFT(SUBSTITUTE(SUBSTITUTE(SUBSTITUTE(SUBSTITUTE(SUBSTITUTE(I282," ",""),"-",""),"(",""),")",""),"+",""),1)="8"),ISNUMBER(IFERROR(VALUE(SUBSTITUTE(SUBSTITUTE(SUBSTITUTE(SUBSTITUTE(SUBSTITUTE(I282," ",""),"-",""),"(",""),")",""),"+","")),"x"))),"","Телефон: неверный формат"))</f>
        <v/>
      </c>
      <c r="Q282" s="24" t="str">
        <f aca="false">TRIM(IF(TRIM(B282)="","Нет наименования. ","")&amp;IF(TRIM(F282)="","Нет адреса. ","")&amp;IF(TRIM(G282)="","Нет контактного лица.",""))</f>
        <v/>
      </c>
      <c r="R282" s="21" t="n">
        <f aca="false">SUMPRODUCT(--(LEN(K282:Q282)&gt;0))</f>
        <v>0</v>
      </c>
      <c r="S282" s="24" t="str">
        <f aca="false">IF(R282=0,"Готово к передаче","Требует исправления")</f>
        <v>Готово к передаче</v>
      </c>
      <c r="T282" s="24" t="str">
        <f aca="false">IF(R282=0,"",_xlfn.TEXTJOIN("; ",TRUE(),K282:Q282))</f>
        <v/>
      </c>
      <c r="U282" s="24" t="str">
        <f aca="false">IF(R282=0,"","Здравствуйте! В данных организации «"&amp;B282&amp;"» обнаружены ошибки: "&amp;T282&amp;". Просим проверить и прислать исправленную информацию.")</f>
        <v/>
      </c>
      <c r="V282" s="21" t="str">
        <f aca="false">IF(R282&gt;0,COUNTIF($R$2:R282,"&gt;0"),"")</f>
        <v/>
      </c>
      <c r="W282" s="21" t="n">
        <f aca="false">IF(R282=0,COUNTIF($R$2:R282,0),"")</f>
        <v>190</v>
      </c>
    </row>
    <row r="283" customFormat="false" ht="15" hidden="false" customHeight="false" outlineLevel="0" collapsed="false">
      <c r="A283" s="21" t="n">
        <v>282</v>
      </c>
      <c r="B283" s="22" t="s">
        <v>2287</v>
      </c>
      <c r="C283" s="23" t="s">
        <v>2288</v>
      </c>
      <c r="D283" s="23" t="s">
        <v>2289</v>
      </c>
      <c r="E283" s="23" t="s">
        <v>2290</v>
      </c>
      <c r="F283" s="22" t="s">
        <v>2291</v>
      </c>
      <c r="G283" s="22" t="s">
        <v>2292</v>
      </c>
      <c r="H283" s="22" t="s">
        <v>2293</v>
      </c>
      <c r="I283" s="23" t="s">
        <v>2294</v>
      </c>
      <c r="J283" s="24" t="str">
        <f aca="false">IFERROR(VLOOKUP(VALUE(LEFT(C283,2)),Справочники!$A$2:$B$16,2,FALSE()),"не определён")</f>
        <v>г. Москва</v>
      </c>
      <c r="K283" s="24" t="str">
        <f aca="false">IF(TRIM(C283)="","ИНН не указан",IF(LEN(C283)&lt;&gt;10,"ИНН: должно быть 10 цифр",IF(NOT(ISNUMBER(IFERROR(VALUE(C283),"x"))),"ИНН: есть нецифровые символы",IF(MOD(MOD(SUMPRODUCT(--MID(C283,{1,2,3,4,5,6,7,8,9},1),{2,4,10,3,5,9,4,6,8}),11),10)=VALUE(RIGHT(C283,1)),"","ИНН: неверная контрольная цифра"))))</f>
        <v/>
      </c>
      <c r="L283" s="24" t="str">
        <f aca="false">IF(TRIM(D283)="","ОГРН не указан",IF(LEN(D283)&lt;&gt;13,"ОГРН: должно быть 13 цифр",IF(NOT(ISNUMBER(IFERROR(VALUE(D283),"x"))),"ОГРН: есть нецифровые символы",IF(MOD(VALUE(LEFT(D283,12))-11*INT(VALUE(LEFT(D283,12))/11),10)=VALUE(RIGHT(D283,1)),"","ОГРН: неверная контрольная цифра"))))</f>
        <v/>
      </c>
      <c r="M283" s="24" t="str">
        <f aca="false">IF(TRIM(E283)="","КПП не указан",IF(LEN(E283)&lt;&gt;9,"КПП: должно быть 9 знаков",IF(NOT(AND(ISNUMBER(IFERROR(VALUE(LEFT(E283,4)),"x")),ISNUMBER(IFERROR(VALUE(RIGHT(E283,3)),"x")))),"КПП: неверный формат",IF(LEFT(E283,2)&lt;&gt;LEFT(C283,2),"КПП: код региона не совпадает с ИНН",""))))</f>
        <v/>
      </c>
      <c r="N283" s="24" t="str">
        <f aca="false">IF(TRIM(C283)="","",IF(COUNTIF($C$2:$C$401,C283)&gt;1,"Дубликат ИНН в реестре",""))</f>
        <v/>
      </c>
      <c r="O283" s="24" t="str">
        <f aca="false">IF(TRIM(H283)="","Email не указан",IF(AND(ISNUMBER(FIND("@",H283)),ISNUMBER(FIND(".",H283,IFERROR(FIND("@",H283),1))),ISERROR(FIND(" ",H283)),LEFT(H283,1)&lt;&gt;"@",RIGHT(H283,1)&lt;&gt;".",LEN(H283)-LEN(SUBSTITUTE(H283,"@",""))=1),"","Email: неверный формат"))</f>
        <v/>
      </c>
      <c r="P283" s="24" t="str">
        <f aca="false">IF(TRIM(I283)="","Телефон не указан",IF(AND(LEN(SUBSTITUTE(SUBSTITUTE(SUBSTITUTE(SUBSTITUTE(SUBSTITUTE(I283," ",""),"-",""),"(",""),")",""),"+",""))=11,OR(LEFT(SUBSTITUTE(SUBSTITUTE(SUBSTITUTE(SUBSTITUTE(SUBSTITUTE(I283," ",""),"-",""),"(",""),")",""),"+",""),1)="7",LEFT(SUBSTITUTE(SUBSTITUTE(SUBSTITUTE(SUBSTITUTE(SUBSTITUTE(I283," ",""),"-",""),"(",""),")",""),"+",""),1)="8"),ISNUMBER(IFERROR(VALUE(SUBSTITUTE(SUBSTITUTE(SUBSTITUTE(SUBSTITUTE(SUBSTITUTE(I283," ",""),"-",""),"(",""),")",""),"+","")),"x"))),"","Телефон: неверный формат"))</f>
        <v/>
      </c>
      <c r="Q283" s="24" t="str">
        <f aca="false">TRIM(IF(TRIM(B283)="","Нет наименования. ","")&amp;IF(TRIM(F283)="","Нет адреса. ","")&amp;IF(TRIM(G283)="","Нет контактного лица.",""))</f>
        <v/>
      </c>
      <c r="R283" s="21" t="n">
        <f aca="false">SUMPRODUCT(--(LEN(K283:Q283)&gt;0))</f>
        <v>0</v>
      </c>
      <c r="S283" s="24" t="str">
        <f aca="false">IF(R283=0,"Готово к передаче","Требует исправления")</f>
        <v>Готово к передаче</v>
      </c>
      <c r="T283" s="24" t="str">
        <f aca="false">IF(R283=0,"",_xlfn.TEXTJOIN("; ",TRUE(),K283:Q283))</f>
        <v/>
      </c>
      <c r="U283" s="24" t="str">
        <f aca="false">IF(R283=0,"","Здравствуйте! В данных организации «"&amp;B283&amp;"» обнаружены ошибки: "&amp;T283&amp;". Просим проверить и прислать исправленную информацию.")</f>
        <v/>
      </c>
      <c r="V283" s="21" t="str">
        <f aca="false">IF(R283&gt;0,COUNTIF($R$2:R283,"&gt;0"),"")</f>
        <v/>
      </c>
      <c r="W283" s="21" t="n">
        <f aca="false">IF(R283=0,COUNTIF($R$2:R283,0),"")</f>
        <v>191</v>
      </c>
    </row>
    <row r="284" customFormat="false" ht="15" hidden="false" customHeight="false" outlineLevel="0" collapsed="false">
      <c r="A284" s="21" t="n">
        <v>283</v>
      </c>
      <c r="B284" s="22" t="s">
        <v>2295</v>
      </c>
      <c r="C284" s="23" t="s">
        <v>2296</v>
      </c>
      <c r="D284" s="23" t="s">
        <v>2297</v>
      </c>
      <c r="E284" s="23" t="s">
        <v>2298</v>
      </c>
      <c r="F284" s="22" t="s">
        <v>2299</v>
      </c>
      <c r="G284" s="22" t="s">
        <v>2300</v>
      </c>
      <c r="H284" s="22" t="s">
        <v>2301</v>
      </c>
      <c r="I284" s="23" t="s">
        <v>2302</v>
      </c>
      <c r="J284" s="24" t="str">
        <f aca="false">IFERROR(VLOOKUP(VALUE(LEFT(C284,2)),Справочники!$A$2:$B$16,2,FALSE()),"не определён")</f>
        <v>Республика Крым</v>
      </c>
      <c r="K284" s="24" t="str">
        <f aca="false">IF(TRIM(C284)="","ИНН не указан",IF(LEN(C284)&lt;&gt;10,"ИНН: должно быть 10 цифр",IF(NOT(ISNUMBER(IFERROR(VALUE(C284),"x"))),"ИНН: есть нецифровые символы",IF(MOD(MOD(SUMPRODUCT(--MID(C284,{1,2,3,4,5,6,7,8,9},1),{2,4,10,3,5,9,4,6,8}),11),10)=VALUE(RIGHT(C284,1)),"","ИНН: неверная контрольная цифра"))))</f>
        <v/>
      </c>
      <c r="L284" s="24" t="str">
        <f aca="false">IF(TRIM(D284)="","ОГРН не указан",IF(LEN(D284)&lt;&gt;13,"ОГРН: должно быть 13 цифр",IF(NOT(ISNUMBER(IFERROR(VALUE(D284),"x"))),"ОГРН: есть нецифровые символы",IF(MOD(VALUE(LEFT(D284,12))-11*INT(VALUE(LEFT(D284,12))/11),10)=VALUE(RIGHT(D284,1)),"","ОГРН: неверная контрольная цифра"))))</f>
        <v/>
      </c>
      <c r="M284" s="24" t="str">
        <f aca="false">IF(TRIM(E284)="","КПП не указан",IF(LEN(E284)&lt;&gt;9,"КПП: должно быть 9 знаков",IF(NOT(AND(ISNUMBER(IFERROR(VALUE(LEFT(E284,4)),"x")),ISNUMBER(IFERROR(VALUE(RIGHT(E284,3)),"x")))),"КПП: неверный формат",IF(LEFT(E284,2)&lt;&gt;LEFT(C284,2),"КПП: код региона не совпадает с ИНН",""))))</f>
        <v/>
      </c>
      <c r="N284" s="24" t="str">
        <f aca="false">IF(TRIM(C284)="","",IF(COUNTIF($C$2:$C$401,C284)&gt;1,"Дубликат ИНН в реестре",""))</f>
        <v/>
      </c>
      <c r="O284" s="24" t="str">
        <f aca="false">IF(TRIM(H284)="","Email не указан",IF(AND(ISNUMBER(FIND("@",H284)),ISNUMBER(FIND(".",H284,IFERROR(FIND("@",H284),1))),ISERROR(FIND(" ",H284)),LEFT(H284,1)&lt;&gt;"@",RIGHT(H284,1)&lt;&gt;".",LEN(H284)-LEN(SUBSTITUTE(H284,"@",""))=1),"","Email: неверный формат"))</f>
        <v/>
      </c>
      <c r="P284" s="24" t="str">
        <f aca="false">IF(TRIM(I284)="","Телефон не указан",IF(AND(LEN(SUBSTITUTE(SUBSTITUTE(SUBSTITUTE(SUBSTITUTE(SUBSTITUTE(I284," ",""),"-",""),"(",""),")",""),"+",""))=11,OR(LEFT(SUBSTITUTE(SUBSTITUTE(SUBSTITUTE(SUBSTITUTE(SUBSTITUTE(I284," ",""),"-",""),"(",""),")",""),"+",""),1)="7",LEFT(SUBSTITUTE(SUBSTITUTE(SUBSTITUTE(SUBSTITUTE(SUBSTITUTE(I284," ",""),"-",""),"(",""),")",""),"+",""),1)="8"),ISNUMBER(IFERROR(VALUE(SUBSTITUTE(SUBSTITUTE(SUBSTITUTE(SUBSTITUTE(SUBSTITUTE(I284," ",""),"-",""),"(",""),")",""),"+","")),"x"))),"","Телефон: неверный формат"))</f>
        <v/>
      </c>
      <c r="Q284" s="24" t="str">
        <f aca="false">TRIM(IF(TRIM(B284)="","Нет наименования. ","")&amp;IF(TRIM(F284)="","Нет адреса. ","")&amp;IF(TRIM(G284)="","Нет контактного лица.",""))</f>
        <v/>
      </c>
      <c r="R284" s="21" t="n">
        <f aca="false">SUMPRODUCT(--(LEN(K284:Q284)&gt;0))</f>
        <v>0</v>
      </c>
      <c r="S284" s="24" t="str">
        <f aca="false">IF(R284=0,"Готово к передаче","Требует исправления")</f>
        <v>Готово к передаче</v>
      </c>
      <c r="T284" s="24" t="str">
        <f aca="false">IF(R284=0,"",_xlfn.TEXTJOIN("; ",TRUE(),K284:Q284))</f>
        <v/>
      </c>
      <c r="U284" s="24" t="str">
        <f aca="false">IF(R284=0,"","Здравствуйте! В данных организации «"&amp;B284&amp;"» обнаружены ошибки: "&amp;T284&amp;". Просим проверить и прислать исправленную информацию.")</f>
        <v/>
      </c>
      <c r="V284" s="21" t="str">
        <f aca="false">IF(R284&gt;0,COUNTIF($R$2:R284,"&gt;0"),"")</f>
        <v/>
      </c>
      <c r="W284" s="21" t="n">
        <f aca="false">IF(R284=0,COUNTIF($R$2:R284,0),"")</f>
        <v>192</v>
      </c>
    </row>
    <row r="285" customFormat="false" ht="15" hidden="false" customHeight="false" outlineLevel="0" collapsed="false">
      <c r="A285" s="21" t="n">
        <v>284</v>
      </c>
      <c r="B285" s="22" t="s">
        <v>2303</v>
      </c>
      <c r="C285" s="23" t="s">
        <v>2304</v>
      </c>
      <c r="D285" s="23" t="s">
        <v>2305</v>
      </c>
      <c r="E285" s="23" t="s">
        <v>2306</v>
      </c>
      <c r="F285" s="22" t="s">
        <v>2307</v>
      </c>
      <c r="G285" s="22" t="s">
        <v>2308</v>
      </c>
      <c r="H285" s="22" t="s">
        <v>2309</v>
      </c>
      <c r="I285" s="23" t="s">
        <v>2310</v>
      </c>
      <c r="J285" s="24" t="str">
        <f aca="false">IFERROR(VLOOKUP(VALUE(LEFT(C285,2)),Справочники!$A$2:$B$16,2,FALSE()),"не определён")</f>
        <v>Республика Татарстан</v>
      </c>
      <c r="K285" s="24" t="str">
        <f aca="false">IF(TRIM(C285)="","ИНН не указан",IF(LEN(C285)&lt;&gt;10,"ИНН: должно быть 10 цифр",IF(NOT(ISNUMBER(IFERROR(VALUE(C285),"x"))),"ИНН: есть нецифровые символы",IF(MOD(MOD(SUMPRODUCT(--MID(C285,{1,2,3,4,5,6,7,8,9},1),{2,4,10,3,5,9,4,6,8}),11),10)=VALUE(RIGHT(C285,1)),"","ИНН: неверная контрольная цифра"))))</f>
        <v/>
      </c>
      <c r="L285" s="24" t="str">
        <f aca="false">IF(TRIM(D285)="","ОГРН не указан",IF(LEN(D285)&lt;&gt;13,"ОГРН: должно быть 13 цифр",IF(NOT(ISNUMBER(IFERROR(VALUE(D285),"x"))),"ОГРН: есть нецифровые символы",IF(MOD(VALUE(LEFT(D285,12))-11*INT(VALUE(LEFT(D285,12))/11),10)=VALUE(RIGHT(D285,1)),"","ОГРН: неверная контрольная цифра"))))</f>
        <v/>
      </c>
      <c r="M285" s="24" t="str">
        <f aca="false">IF(TRIM(E285)="","КПП не указан",IF(LEN(E285)&lt;&gt;9,"КПП: должно быть 9 знаков",IF(NOT(AND(ISNUMBER(IFERROR(VALUE(LEFT(E285,4)),"x")),ISNUMBER(IFERROR(VALUE(RIGHT(E285,3)),"x")))),"КПП: неверный формат",IF(LEFT(E285,2)&lt;&gt;LEFT(C285,2),"КПП: код региона не совпадает с ИНН",""))))</f>
        <v/>
      </c>
      <c r="N285" s="24" t="str">
        <f aca="false">IF(TRIM(C285)="","",IF(COUNTIF($C$2:$C$401,C285)&gt;1,"Дубликат ИНН в реестре",""))</f>
        <v/>
      </c>
      <c r="O285" s="24" t="str">
        <f aca="false">IF(TRIM(H285)="","Email не указан",IF(AND(ISNUMBER(FIND("@",H285)),ISNUMBER(FIND(".",H285,IFERROR(FIND("@",H285),1))),ISERROR(FIND(" ",H285)),LEFT(H285,1)&lt;&gt;"@",RIGHT(H285,1)&lt;&gt;".",LEN(H285)-LEN(SUBSTITUTE(H285,"@",""))=1),"","Email: неверный формат"))</f>
        <v/>
      </c>
      <c r="P285" s="24" t="str">
        <f aca="false">IF(TRIM(I285)="","Телефон не указан",IF(AND(LEN(SUBSTITUTE(SUBSTITUTE(SUBSTITUTE(SUBSTITUTE(SUBSTITUTE(I285," ",""),"-",""),"(",""),")",""),"+",""))=11,OR(LEFT(SUBSTITUTE(SUBSTITUTE(SUBSTITUTE(SUBSTITUTE(SUBSTITUTE(I285," ",""),"-",""),"(",""),")",""),"+",""),1)="7",LEFT(SUBSTITUTE(SUBSTITUTE(SUBSTITUTE(SUBSTITUTE(SUBSTITUTE(I285," ",""),"-",""),"(",""),")",""),"+",""),1)="8"),ISNUMBER(IFERROR(VALUE(SUBSTITUTE(SUBSTITUTE(SUBSTITUTE(SUBSTITUTE(SUBSTITUTE(I285," ",""),"-",""),"(",""),")",""),"+","")),"x"))),"","Телефон: неверный формат"))</f>
        <v/>
      </c>
      <c r="Q285" s="24" t="str">
        <f aca="false">TRIM(IF(TRIM(B285)="","Нет наименования. ","")&amp;IF(TRIM(F285)="","Нет адреса. ","")&amp;IF(TRIM(G285)="","Нет контактного лица.",""))</f>
        <v/>
      </c>
      <c r="R285" s="21" t="n">
        <f aca="false">SUMPRODUCT(--(LEN(K285:Q285)&gt;0))</f>
        <v>0</v>
      </c>
      <c r="S285" s="24" t="str">
        <f aca="false">IF(R285=0,"Готово к передаче","Требует исправления")</f>
        <v>Готово к передаче</v>
      </c>
      <c r="T285" s="24" t="str">
        <f aca="false">IF(R285=0,"",_xlfn.TEXTJOIN("; ",TRUE(),K285:Q285))</f>
        <v/>
      </c>
      <c r="U285" s="24" t="str">
        <f aca="false">IF(R285=0,"","Здравствуйте! В данных организации «"&amp;B285&amp;"» обнаружены ошибки: "&amp;T285&amp;". Просим проверить и прислать исправленную информацию.")</f>
        <v/>
      </c>
      <c r="V285" s="21" t="str">
        <f aca="false">IF(R285&gt;0,COUNTIF($R$2:R285,"&gt;0"),"")</f>
        <v/>
      </c>
      <c r="W285" s="21" t="n">
        <f aca="false">IF(R285=0,COUNTIF($R$2:R285,0),"")</f>
        <v>193</v>
      </c>
    </row>
    <row r="286" customFormat="false" ht="15" hidden="false" customHeight="false" outlineLevel="0" collapsed="false">
      <c r="A286" s="21" t="n">
        <v>285</v>
      </c>
      <c r="B286" s="22" t="s">
        <v>2311</v>
      </c>
      <c r="C286" s="23" t="s">
        <v>2312</v>
      </c>
      <c r="D286" s="23" t="s">
        <v>2313</v>
      </c>
      <c r="E286" s="23" t="s">
        <v>2314</v>
      </c>
      <c r="F286" s="22" t="s">
        <v>2315</v>
      </c>
      <c r="G286" s="22" t="s">
        <v>2316</v>
      </c>
      <c r="H286" s="22" t="s">
        <v>2317</v>
      </c>
      <c r="I286" s="23" t="s">
        <v>2318</v>
      </c>
      <c r="J286" s="24" t="str">
        <f aca="false">IFERROR(VLOOKUP(VALUE(LEFT(C286,2)),Справочники!$A$2:$B$16,2,FALSE()),"не определён")</f>
        <v>Новосибирская область</v>
      </c>
      <c r="K286" s="24" t="str">
        <f aca="false">IF(TRIM(C286)="","ИНН не указан",IF(LEN(C286)&lt;&gt;10,"ИНН: должно быть 10 цифр",IF(NOT(ISNUMBER(IFERROR(VALUE(C286),"x"))),"ИНН: есть нецифровые символы",IF(MOD(MOD(SUMPRODUCT(--MID(C286,{1,2,3,4,5,6,7,8,9},1),{2,4,10,3,5,9,4,6,8}),11),10)=VALUE(RIGHT(C286,1)),"","ИНН: неверная контрольная цифра"))))</f>
        <v/>
      </c>
      <c r="L286" s="24" t="str">
        <f aca="false">IF(TRIM(D286)="","ОГРН не указан",IF(LEN(D286)&lt;&gt;13,"ОГРН: должно быть 13 цифр",IF(NOT(ISNUMBER(IFERROR(VALUE(D286),"x"))),"ОГРН: есть нецифровые символы",IF(MOD(VALUE(LEFT(D286,12))-11*INT(VALUE(LEFT(D286,12))/11),10)=VALUE(RIGHT(D286,1)),"","ОГРН: неверная контрольная цифра"))))</f>
        <v/>
      </c>
      <c r="M286" s="24" t="str">
        <f aca="false">IF(TRIM(E286)="","КПП не указан",IF(LEN(E286)&lt;&gt;9,"КПП: должно быть 9 знаков",IF(NOT(AND(ISNUMBER(IFERROR(VALUE(LEFT(E286,4)),"x")),ISNUMBER(IFERROR(VALUE(RIGHT(E286,3)),"x")))),"КПП: неверный формат",IF(LEFT(E286,2)&lt;&gt;LEFT(C286,2),"КПП: код региона не совпадает с ИНН",""))))</f>
        <v/>
      </c>
      <c r="N286" s="24" t="str">
        <f aca="false">IF(TRIM(C286)="","",IF(COUNTIF($C$2:$C$401,C286)&gt;1,"Дубликат ИНН в реестре",""))</f>
        <v/>
      </c>
      <c r="O286" s="24" t="str">
        <f aca="false">IF(TRIM(H286)="","Email не указан",IF(AND(ISNUMBER(FIND("@",H286)),ISNUMBER(FIND(".",H286,IFERROR(FIND("@",H286),1))),ISERROR(FIND(" ",H286)),LEFT(H286,1)&lt;&gt;"@",RIGHT(H286,1)&lt;&gt;".",LEN(H286)-LEN(SUBSTITUTE(H286,"@",""))=1),"","Email: неверный формат"))</f>
        <v/>
      </c>
      <c r="P286" s="24" t="str">
        <f aca="false">IF(TRIM(I286)="","Телефон не указан",IF(AND(LEN(SUBSTITUTE(SUBSTITUTE(SUBSTITUTE(SUBSTITUTE(SUBSTITUTE(I286," ",""),"-",""),"(",""),")",""),"+",""))=11,OR(LEFT(SUBSTITUTE(SUBSTITUTE(SUBSTITUTE(SUBSTITUTE(SUBSTITUTE(I286," ",""),"-",""),"(",""),")",""),"+",""),1)="7",LEFT(SUBSTITUTE(SUBSTITUTE(SUBSTITUTE(SUBSTITUTE(SUBSTITUTE(I286," ",""),"-",""),"(",""),")",""),"+",""),1)="8"),ISNUMBER(IFERROR(VALUE(SUBSTITUTE(SUBSTITUTE(SUBSTITUTE(SUBSTITUTE(SUBSTITUTE(I286," ",""),"-",""),"(",""),")",""),"+","")),"x"))),"","Телефон: неверный формат"))</f>
        <v/>
      </c>
      <c r="Q286" s="24" t="str">
        <f aca="false">TRIM(IF(TRIM(B286)="","Нет наименования. ","")&amp;IF(TRIM(F286)="","Нет адреса. ","")&amp;IF(TRIM(G286)="","Нет контактного лица.",""))</f>
        <v/>
      </c>
      <c r="R286" s="21" t="n">
        <f aca="false">SUMPRODUCT(--(LEN(K286:Q286)&gt;0))</f>
        <v>0</v>
      </c>
      <c r="S286" s="24" t="str">
        <f aca="false">IF(R286=0,"Готово к передаче","Требует исправления")</f>
        <v>Готово к передаче</v>
      </c>
      <c r="T286" s="24" t="str">
        <f aca="false">IF(R286=0,"",_xlfn.TEXTJOIN("; ",TRUE(),K286:Q286))</f>
        <v/>
      </c>
      <c r="U286" s="24" t="str">
        <f aca="false">IF(R286=0,"","Здравствуйте! В данных организации «"&amp;B286&amp;"» обнаружены ошибки: "&amp;T286&amp;". Просим проверить и прислать исправленную информацию.")</f>
        <v/>
      </c>
      <c r="V286" s="21" t="str">
        <f aca="false">IF(R286&gt;0,COUNTIF($R$2:R286,"&gt;0"),"")</f>
        <v/>
      </c>
      <c r="W286" s="21" t="n">
        <f aca="false">IF(R286=0,COUNTIF($R$2:R286,0),"")</f>
        <v>194</v>
      </c>
    </row>
    <row r="287" customFormat="false" ht="15" hidden="false" customHeight="false" outlineLevel="0" collapsed="false">
      <c r="A287" s="21" t="n">
        <v>286</v>
      </c>
      <c r="B287" s="22" t="s">
        <v>2319</v>
      </c>
      <c r="C287" s="23"/>
      <c r="D287" s="23" t="s">
        <v>2320</v>
      </c>
      <c r="E287" s="23" t="s">
        <v>2321</v>
      </c>
      <c r="F287" s="22" t="s">
        <v>2322</v>
      </c>
      <c r="G287" s="22" t="s">
        <v>923</v>
      </c>
      <c r="H287" s="22" t="s">
        <v>2323</v>
      </c>
      <c r="I287" s="23" t="s">
        <v>2324</v>
      </c>
      <c r="J287" s="24" t="str">
        <f aca="false">IFERROR(VLOOKUP(VALUE(LEFT(C287,2)),Справочники!$A$2:$B$16,2,FALSE()),"не определён")</f>
        <v>не определён</v>
      </c>
      <c r="K287" s="24" t="str">
        <f aca="false">IF(TRIM(C287)="","ИНН не указан",IF(LEN(C287)&lt;&gt;10,"ИНН: должно быть 10 цифр",IF(NOT(ISNUMBER(IFERROR(VALUE(C287),"x"))),"ИНН: есть нецифровые символы",IF(MOD(MOD(SUMPRODUCT(--MID(C287,{1,2,3,4,5,6,7,8,9},1),{2,4,10,3,5,9,4,6,8}),11),10)=VALUE(RIGHT(C287,1)),"","ИНН: неверная контрольная цифра"))))</f>
        <v>ИНН не указан</v>
      </c>
      <c r="L287" s="24" t="str">
        <f aca="false">IF(TRIM(D287)="","ОГРН не указан",IF(LEN(D287)&lt;&gt;13,"ОГРН: должно быть 13 цифр",IF(NOT(ISNUMBER(IFERROR(VALUE(D287),"x"))),"ОГРН: есть нецифровые символы",IF(MOD(VALUE(LEFT(D287,12))-11*INT(VALUE(LEFT(D287,12))/11),10)=VALUE(RIGHT(D287,1)),"","ОГРН: неверная контрольная цифра"))))</f>
        <v/>
      </c>
      <c r="M287" s="24" t="str">
        <f aca="false">IF(TRIM(E287)="","КПП не указан",IF(LEN(E287)&lt;&gt;9,"КПП: должно быть 9 знаков",IF(NOT(AND(ISNUMBER(IFERROR(VALUE(LEFT(E287,4)),"x")),ISNUMBER(IFERROR(VALUE(RIGHT(E287,3)),"x")))),"КПП: неверный формат",IF(LEFT(E287,2)&lt;&gt;LEFT(C287,2),"КПП: код региона не совпадает с ИНН",""))))</f>
        <v>КПП: код региона не совпадает с ИНН</v>
      </c>
      <c r="N287" s="24" t="str">
        <f aca="false">IF(TRIM(C287)="","",IF(COUNTIF($C$2:$C$401,C287)&gt;1,"Дубликат ИНН в реестре",""))</f>
        <v/>
      </c>
      <c r="O287" s="24" t="str">
        <f aca="false">IF(TRIM(H287)="","Email не указан",IF(AND(ISNUMBER(FIND("@",H287)),ISNUMBER(FIND(".",H287,IFERROR(FIND("@",H287),1))),ISERROR(FIND(" ",H287)),LEFT(H287,1)&lt;&gt;"@",RIGHT(H287,1)&lt;&gt;".",LEN(H287)-LEN(SUBSTITUTE(H287,"@",""))=1),"","Email: неверный формат"))</f>
        <v/>
      </c>
      <c r="P287" s="24" t="str">
        <f aca="false">IF(TRIM(I287)="","Телефон не указан",IF(AND(LEN(SUBSTITUTE(SUBSTITUTE(SUBSTITUTE(SUBSTITUTE(SUBSTITUTE(I287," ",""),"-",""),"(",""),")",""),"+",""))=11,OR(LEFT(SUBSTITUTE(SUBSTITUTE(SUBSTITUTE(SUBSTITUTE(SUBSTITUTE(I287," ",""),"-",""),"(",""),")",""),"+",""),1)="7",LEFT(SUBSTITUTE(SUBSTITUTE(SUBSTITUTE(SUBSTITUTE(SUBSTITUTE(I287," ",""),"-",""),"(",""),")",""),"+",""),1)="8"),ISNUMBER(IFERROR(VALUE(SUBSTITUTE(SUBSTITUTE(SUBSTITUTE(SUBSTITUTE(SUBSTITUTE(I287," ",""),"-",""),"(",""),")",""),"+","")),"x"))),"","Телефон: неверный формат"))</f>
        <v/>
      </c>
      <c r="Q287" s="24" t="str">
        <f aca="false">TRIM(IF(TRIM(B287)="","Нет наименования. ","")&amp;IF(TRIM(F287)="","Нет адреса. ","")&amp;IF(TRIM(G287)="","Нет контактного лица.",""))</f>
        <v/>
      </c>
      <c r="R287" s="21" t="n">
        <f aca="false">SUMPRODUCT(--(LEN(K287:Q287)&gt;0))</f>
        <v>2</v>
      </c>
      <c r="S287" s="24" t="str">
        <f aca="false">IF(R287=0,"Готово к передаче","Требует исправления")</f>
        <v>Требует исправления</v>
      </c>
      <c r="T287" s="24" t="str">
        <f aca="false">IF(R287=0,"",_xlfn.TEXTJOIN("; ",TRUE(),K287:Q287))</f>
        <v>ИНН не указан; КПП: код региона не совпадает с ИНН</v>
      </c>
      <c r="U287" s="24" t="str">
        <f aca="false">IF(R287=0,"","Здравствуйте! В данных организации «"&amp;B287&amp;"» обнаружены ошибки: "&amp;T287&amp;". Просим проверить и прислать исправленную информацию.")</f>
        <v>Здравствуйте! В данных организации «ООО «Тандем Логистик»» обнаружены ошибки: ИНН не указан; КПП: код региона не совпадает с ИНН. Просим проверить и прислать исправленную информацию.</v>
      </c>
      <c r="V287" s="21" t="n">
        <f aca="false">IF(R287&gt;0,COUNTIF($R$2:R287,"&gt;0"),"")</f>
        <v>92</v>
      </c>
      <c r="W287" s="21" t="str">
        <f aca="false">IF(R287=0,COUNTIF($R$2:R287,0),"")</f>
        <v/>
      </c>
    </row>
    <row r="288" customFormat="false" ht="15" hidden="false" customHeight="false" outlineLevel="0" collapsed="false">
      <c r="A288" s="21" t="n">
        <v>287</v>
      </c>
      <c r="B288" s="22" t="s">
        <v>2325</v>
      </c>
      <c r="C288" s="23" t="s">
        <v>2326</v>
      </c>
      <c r="D288" s="23" t="s">
        <v>2327</v>
      </c>
      <c r="E288" s="23" t="s">
        <v>2328</v>
      </c>
      <c r="F288" s="22" t="s">
        <v>2329</v>
      </c>
      <c r="G288" s="22" t="s">
        <v>2330</v>
      </c>
      <c r="H288" s="22" t="s">
        <v>2331</v>
      </c>
      <c r="I288" s="23" t="s">
        <v>2332</v>
      </c>
      <c r="J288" s="24" t="str">
        <f aca="false">IFERROR(VLOOKUP(VALUE(LEFT(C288,2)),Справочники!$A$2:$B$16,2,FALSE()),"не определён")</f>
        <v>Краснодарский край</v>
      </c>
      <c r="K288" s="24" t="str">
        <f aca="false">IF(TRIM(C288)="","ИНН не указан",IF(LEN(C288)&lt;&gt;10,"ИНН: должно быть 10 цифр",IF(NOT(ISNUMBER(IFERROR(VALUE(C288),"x"))),"ИНН: есть нецифровые символы",IF(MOD(MOD(SUMPRODUCT(--MID(C288,{1,2,3,4,5,6,7,8,9},1),{2,4,10,3,5,9,4,6,8}),11),10)=VALUE(RIGHT(C288,1)),"","ИНН: неверная контрольная цифра"))))</f>
        <v/>
      </c>
      <c r="L288" s="24" t="str">
        <f aca="false">IF(TRIM(D288)="","ОГРН не указан",IF(LEN(D288)&lt;&gt;13,"ОГРН: должно быть 13 цифр",IF(NOT(ISNUMBER(IFERROR(VALUE(D288),"x"))),"ОГРН: есть нецифровые символы",IF(MOD(VALUE(LEFT(D288,12))-11*INT(VALUE(LEFT(D288,12))/11),10)=VALUE(RIGHT(D288,1)),"","ОГРН: неверная контрольная цифра"))))</f>
        <v/>
      </c>
      <c r="M288" s="24" t="str">
        <f aca="false">IF(TRIM(E288)="","КПП не указан",IF(LEN(E288)&lt;&gt;9,"КПП: должно быть 9 знаков",IF(NOT(AND(ISNUMBER(IFERROR(VALUE(LEFT(E288,4)),"x")),ISNUMBER(IFERROR(VALUE(RIGHT(E288,3)),"x")))),"КПП: неверный формат",IF(LEFT(E288,2)&lt;&gt;LEFT(C288,2),"КПП: код региона не совпадает с ИНН",""))))</f>
        <v/>
      </c>
      <c r="N288" s="24" t="str">
        <f aca="false">IF(TRIM(C288)="","",IF(COUNTIF($C$2:$C$401,C288)&gt;1,"Дубликат ИНН в реестре",""))</f>
        <v/>
      </c>
      <c r="O288" s="24" t="str">
        <f aca="false">IF(TRIM(H288)="","Email не указан",IF(AND(ISNUMBER(FIND("@",H288)),ISNUMBER(FIND(".",H288,IFERROR(FIND("@",H288),1))),ISERROR(FIND(" ",H288)),LEFT(H288,1)&lt;&gt;"@",RIGHT(H288,1)&lt;&gt;".",LEN(H288)-LEN(SUBSTITUTE(H288,"@",""))=1),"","Email: неверный формат"))</f>
        <v/>
      </c>
      <c r="P288" s="24" t="str">
        <f aca="false">IF(TRIM(I288)="","Телефон не указан",IF(AND(LEN(SUBSTITUTE(SUBSTITUTE(SUBSTITUTE(SUBSTITUTE(SUBSTITUTE(I288," ",""),"-",""),"(",""),")",""),"+",""))=11,OR(LEFT(SUBSTITUTE(SUBSTITUTE(SUBSTITUTE(SUBSTITUTE(SUBSTITUTE(I288," ",""),"-",""),"(",""),")",""),"+",""),1)="7",LEFT(SUBSTITUTE(SUBSTITUTE(SUBSTITUTE(SUBSTITUTE(SUBSTITUTE(I288," ",""),"-",""),"(",""),")",""),"+",""),1)="8"),ISNUMBER(IFERROR(VALUE(SUBSTITUTE(SUBSTITUTE(SUBSTITUTE(SUBSTITUTE(SUBSTITUTE(I288," ",""),"-",""),"(",""),")",""),"+","")),"x"))),"","Телефон: неверный формат"))</f>
        <v/>
      </c>
      <c r="Q288" s="24" t="str">
        <f aca="false">TRIM(IF(TRIM(B288)="","Нет наименования. ","")&amp;IF(TRIM(F288)="","Нет адреса. ","")&amp;IF(TRIM(G288)="","Нет контактного лица.",""))</f>
        <v/>
      </c>
      <c r="R288" s="21" t="n">
        <f aca="false">SUMPRODUCT(--(LEN(K288:Q288)&gt;0))</f>
        <v>0</v>
      </c>
      <c r="S288" s="24" t="str">
        <f aca="false">IF(R288=0,"Готово к передаче","Требует исправления")</f>
        <v>Готово к передаче</v>
      </c>
      <c r="T288" s="24" t="str">
        <f aca="false">IF(R288=0,"",_xlfn.TEXTJOIN("; ",TRUE(),K288:Q288))</f>
        <v/>
      </c>
      <c r="U288" s="24" t="str">
        <f aca="false">IF(R288=0,"","Здравствуйте! В данных организации «"&amp;B288&amp;"» обнаружены ошибки: "&amp;T288&amp;". Просим проверить и прислать исправленную информацию.")</f>
        <v/>
      </c>
      <c r="V288" s="21" t="str">
        <f aca="false">IF(R288&gt;0,COUNTIF($R$2:R288,"&gt;0"),"")</f>
        <v/>
      </c>
      <c r="W288" s="21" t="n">
        <f aca="false">IF(R288=0,COUNTIF($R$2:R288,0),"")</f>
        <v>195</v>
      </c>
    </row>
    <row r="289" customFormat="false" ht="15" hidden="false" customHeight="false" outlineLevel="0" collapsed="false">
      <c r="A289" s="21" t="n">
        <v>288</v>
      </c>
      <c r="B289" s="22" t="s">
        <v>2333</v>
      </c>
      <c r="C289" s="23" t="s">
        <v>2334</v>
      </c>
      <c r="D289" s="23" t="s">
        <v>2335</v>
      </c>
      <c r="E289" s="23" t="s">
        <v>2336</v>
      </c>
      <c r="F289" s="22" t="s">
        <v>2337</v>
      </c>
      <c r="G289" s="22" t="s">
        <v>2338</v>
      </c>
      <c r="H289" s="22" t="s">
        <v>2339</v>
      </c>
      <c r="I289" s="23" t="s">
        <v>2340</v>
      </c>
      <c r="J289" s="24" t="str">
        <f aca="false">IFERROR(VLOOKUP(VALUE(LEFT(C289,2)),Справочники!$A$2:$B$16,2,FALSE()),"не определён")</f>
        <v>г. Санкт-Петербург</v>
      </c>
      <c r="K289" s="24" t="str">
        <f aca="false">IF(TRIM(C289)="","ИНН не указан",IF(LEN(C289)&lt;&gt;10,"ИНН: должно быть 10 цифр",IF(NOT(ISNUMBER(IFERROR(VALUE(C289),"x"))),"ИНН: есть нецифровые символы",IF(MOD(MOD(SUMPRODUCT(--MID(C289,{1,2,3,4,5,6,7,8,9},1),{2,4,10,3,5,9,4,6,8}),11),10)=VALUE(RIGHT(C289,1)),"","ИНН: неверная контрольная цифра"))))</f>
        <v/>
      </c>
      <c r="L289" s="24" t="str">
        <f aca="false">IF(TRIM(D289)="","ОГРН не указан",IF(LEN(D289)&lt;&gt;13,"ОГРН: должно быть 13 цифр",IF(NOT(ISNUMBER(IFERROR(VALUE(D289),"x"))),"ОГРН: есть нецифровые символы",IF(MOD(VALUE(LEFT(D289,12))-11*INT(VALUE(LEFT(D289,12))/11),10)=VALUE(RIGHT(D289,1)),"","ОГРН: неверная контрольная цифра"))))</f>
        <v/>
      </c>
      <c r="M289" s="24" t="str">
        <f aca="false">IF(TRIM(E289)="","КПП не указан",IF(LEN(E289)&lt;&gt;9,"КПП: должно быть 9 знаков",IF(NOT(AND(ISNUMBER(IFERROR(VALUE(LEFT(E289,4)),"x")),ISNUMBER(IFERROR(VALUE(RIGHT(E289,3)),"x")))),"КПП: неверный формат",IF(LEFT(E289,2)&lt;&gt;LEFT(C289,2),"КПП: код региона не совпадает с ИНН",""))))</f>
        <v/>
      </c>
      <c r="N289" s="24" t="str">
        <f aca="false">IF(TRIM(C289)="","",IF(COUNTIF($C$2:$C$401,C289)&gt;1,"Дубликат ИНН в реестре",""))</f>
        <v/>
      </c>
      <c r="O289" s="24" t="str">
        <f aca="false">IF(TRIM(H289)="","Email не указан",IF(AND(ISNUMBER(FIND("@",H289)),ISNUMBER(FIND(".",H289,IFERROR(FIND("@",H289),1))),ISERROR(FIND(" ",H289)),LEFT(H289,1)&lt;&gt;"@",RIGHT(H289,1)&lt;&gt;".",LEN(H289)-LEN(SUBSTITUTE(H289,"@",""))=1),"","Email: неверный формат"))</f>
        <v/>
      </c>
      <c r="P289" s="24" t="str">
        <f aca="false">IF(TRIM(I289)="","Телефон не указан",IF(AND(LEN(SUBSTITUTE(SUBSTITUTE(SUBSTITUTE(SUBSTITUTE(SUBSTITUTE(I289," ",""),"-",""),"(",""),")",""),"+",""))=11,OR(LEFT(SUBSTITUTE(SUBSTITUTE(SUBSTITUTE(SUBSTITUTE(SUBSTITUTE(I289," ",""),"-",""),"(",""),")",""),"+",""),1)="7",LEFT(SUBSTITUTE(SUBSTITUTE(SUBSTITUTE(SUBSTITUTE(SUBSTITUTE(I289," ",""),"-",""),"(",""),")",""),"+",""),1)="8"),ISNUMBER(IFERROR(VALUE(SUBSTITUTE(SUBSTITUTE(SUBSTITUTE(SUBSTITUTE(SUBSTITUTE(I289," ",""),"-",""),"(",""),")",""),"+","")),"x"))),"","Телефон: неверный формат"))</f>
        <v/>
      </c>
      <c r="Q289" s="24" t="str">
        <f aca="false">TRIM(IF(TRIM(B289)="","Нет наименования. ","")&amp;IF(TRIM(F289)="","Нет адреса. ","")&amp;IF(TRIM(G289)="","Нет контактного лица.",""))</f>
        <v/>
      </c>
      <c r="R289" s="21" t="n">
        <f aca="false">SUMPRODUCT(--(LEN(K289:Q289)&gt;0))</f>
        <v>0</v>
      </c>
      <c r="S289" s="24" t="str">
        <f aca="false">IF(R289=0,"Готово к передаче","Требует исправления")</f>
        <v>Готово к передаче</v>
      </c>
      <c r="T289" s="24" t="str">
        <f aca="false">IF(R289=0,"",_xlfn.TEXTJOIN("; ",TRUE(),K289:Q289))</f>
        <v/>
      </c>
      <c r="U289" s="24" t="str">
        <f aca="false">IF(R289=0,"","Здравствуйте! В данных организации «"&amp;B289&amp;"» обнаружены ошибки: "&amp;T289&amp;". Просим проверить и прислать исправленную информацию.")</f>
        <v/>
      </c>
      <c r="V289" s="21" t="str">
        <f aca="false">IF(R289&gt;0,COUNTIF($R$2:R289,"&gt;0"),"")</f>
        <v/>
      </c>
      <c r="W289" s="21" t="n">
        <f aca="false">IF(R289=0,COUNTIF($R$2:R289,0),"")</f>
        <v>196</v>
      </c>
    </row>
    <row r="290" customFormat="false" ht="15" hidden="false" customHeight="false" outlineLevel="0" collapsed="false">
      <c r="A290" s="21" t="n">
        <v>289</v>
      </c>
      <c r="B290" s="22" t="s">
        <v>2341</v>
      </c>
      <c r="C290" s="23" t="s">
        <v>2342</v>
      </c>
      <c r="D290" s="23" t="s">
        <v>2343</v>
      </c>
      <c r="E290" s="23" t="s">
        <v>2344</v>
      </c>
      <c r="F290" s="22" t="s">
        <v>2345</v>
      </c>
      <c r="G290" s="22" t="s">
        <v>2346</v>
      </c>
      <c r="H290" s="22" t="s">
        <v>2347</v>
      </c>
      <c r="I290" s="23" t="s">
        <v>2348</v>
      </c>
      <c r="J290" s="24" t="str">
        <f aca="false">IFERROR(VLOOKUP(VALUE(LEFT(C290,2)),Справочники!$A$2:$B$16,2,FALSE()),"не определён")</f>
        <v>Ростовская область</v>
      </c>
      <c r="K290" s="24" t="str">
        <f aca="false">IF(TRIM(C290)="","ИНН не указан",IF(LEN(C290)&lt;&gt;10,"ИНН: должно быть 10 цифр",IF(NOT(ISNUMBER(IFERROR(VALUE(C290),"x"))),"ИНН: есть нецифровые символы",IF(MOD(MOD(SUMPRODUCT(--MID(C290,{1,2,3,4,5,6,7,8,9},1),{2,4,10,3,5,9,4,6,8}),11),10)=VALUE(RIGHT(C290,1)),"","ИНН: неверная контрольная цифра"))))</f>
        <v/>
      </c>
      <c r="L290" s="24" t="str">
        <f aca="false">IF(TRIM(D290)="","ОГРН не указан",IF(LEN(D290)&lt;&gt;13,"ОГРН: должно быть 13 цифр",IF(NOT(ISNUMBER(IFERROR(VALUE(D290),"x"))),"ОГРН: есть нецифровые символы",IF(MOD(VALUE(LEFT(D290,12))-11*INT(VALUE(LEFT(D290,12))/11),10)=VALUE(RIGHT(D290,1)),"","ОГРН: неверная контрольная цифра"))))</f>
        <v/>
      </c>
      <c r="M290" s="24" t="str">
        <f aca="false">IF(TRIM(E290)="","КПП не указан",IF(LEN(E290)&lt;&gt;9,"КПП: должно быть 9 знаков",IF(NOT(AND(ISNUMBER(IFERROR(VALUE(LEFT(E290,4)),"x")),ISNUMBER(IFERROR(VALUE(RIGHT(E290,3)),"x")))),"КПП: неверный формат",IF(LEFT(E290,2)&lt;&gt;LEFT(C290,2),"КПП: код региона не совпадает с ИНН",""))))</f>
        <v/>
      </c>
      <c r="N290" s="24" t="str">
        <f aca="false">IF(TRIM(C290)="","",IF(COUNTIF($C$2:$C$401,C290)&gt;1,"Дубликат ИНН в реестре",""))</f>
        <v/>
      </c>
      <c r="O290" s="24" t="str">
        <f aca="false">IF(TRIM(H290)="","Email не указан",IF(AND(ISNUMBER(FIND("@",H290)),ISNUMBER(FIND(".",H290,IFERROR(FIND("@",H290),1))),ISERROR(FIND(" ",H290)),LEFT(H290,1)&lt;&gt;"@",RIGHT(H290,1)&lt;&gt;".",LEN(H290)-LEN(SUBSTITUTE(H290,"@",""))=1),"","Email: неверный формат"))</f>
        <v/>
      </c>
      <c r="P290" s="24" t="str">
        <f aca="false">IF(TRIM(I290)="","Телефон не указан",IF(AND(LEN(SUBSTITUTE(SUBSTITUTE(SUBSTITUTE(SUBSTITUTE(SUBSTITUTE(I290," ",""),"-",""),"(",""),")",""),"+",""))=11,OR(LEFT(SUBSTITUTE(SUBSTITUTE(SUBSTITUTE(SUBSTITUTE(SUBSTITUTE(I290," ",""),"-",""),"(",""),")",""),"+",""),1)="7",LEFT(SUBSTITUTE(SUBSTITUTE(SUBSTITUTE(SUBSTITUTE(SUBSTITUTE(I290," ",""),"-",""),"(",""),")",""),"+",""),1)="8"),ISNUMBER(IFERROR(VALUE(SUBSTITUTE(SUBSTITUTE(SUBSTITUTE(SUBSTITUTE(SUBSTITUTE(I290," ",""),"-",""),"(",""),")",""),"+","")),"x"))),"","Телефон: неверный формат"))</f>
        <v/>
      </c>
      <c r="Q290" s="24" t="str">
        <f aca="false">TRIM(IF(TRIM(B290)="","Нет наименования. ","")&amp;IF(TRIM(F290)="","Нет адреса. ","")&amp;IF(TRIM(G290)="","Нет контактного лица.",""))</f>
        <v/>
      </c>
      <c r="R290" s="21" t="n">
        <f aca="false">SUMPRODUCT(--(LEN(K290:Q290)&gt;0))</f>
        <v>0</v>
      </c>
      <c r="S290" s="24" t="str">
        <f aca="false">IF(R290=0,"Готово к передаче","Требует исправления")</f>
        <v>Готово к передаче</v>
      </c>
      <c r="T290" s="24" t="str">
        <f aca="false">IF(R290=0,"",_xlfn.TEXTJOIN("; ",TRUE(),K290:Q290))</f>
        <v/>
      </c>
      <c r="U290" s="24" t="str">
        <f aca="false">IF(R290=0,"","Здравствуйте! В данных организации «"&amp;B290&amp;"» обнаружены ошибки: "&amp;T290&amp;". Просим проверить и прислать исправленную информацию.")</f>
        <v/>
      </c>
      <c r="V290" s="21" t="str">
        <f aca="false">IF(R290&gt;0,COUNTIF($R$2:R290,"&gt;0"),"")</f>
        <v/>
      </c>
      <c r="W290" s="21" t="n">
        <f aca="false">IF(R290=0,COUNTIF($R$2:R290,0),"")</f>
        <v>197</v>
      </c>
    </row>
    <row r="291" customFormat="false" ht="15" hidden="false" customHeight="false" outlineLevel="0" collapsed="false">
      <c r="A291" s="21" t="n">
        <v>290</v>
      </c>
      <c r="B291" s="22" t="s">
        <v>2349</v>
      </c>
      <c r="C291" s="23" t="s">
        <v>1329</v>
      </c>
      <c r="D291" s="23" t="s">
        <v>2350</v>
      </c>
      <c r="E291" s="23" t="s">
        <v>2351</v>
      </c>
      <c r="F291" s="22" t="s">
        <v>2352</v>
      </c>
      <c r="G291" s="22" t="s">
        <v>2353</v>
      </c>
      <c r="H291" s="22" t="s">
        <v>2354</v>
      </c>
      <c r="I291" s="23" t="s">
        <v>2355</v>
      </c>
      <c r="J291" s="24" t="str">
        <f aca="false">IFERROR(VLOOKUP(VALUE(LEFT(C291,2)),Справочники!$A$2:$B$16,2,FALSE()),"не определён")</f>
        <v>г. Москва</v>
      </c>
      <c r="K291" s="24" t="str">
        <f aca="false">IF(TRIM(C291)="","ИНН не указан",IF(LEN(C291)&lt;&gt;10,"ИНН: должно быть 10 цифр",IF(NOT(ISNUMBER(IFERROR(VALUE(C291),"x"))),"ИНН: есть нецифровые символы",IF(MOD(MOD(SUMPRODUCT(--MID(C291,{1,2,3,4,5,6,7,8,9},1),{2,4,10,3,5,9,4,6,8}),11),10)=VALUE(RIGHT(C291,1)),"","ИНН: неверная контрольная цифра"))))</f>
        <v/>
      </c>
      <c r="L291" s="24" t="str">
        <f aca="false">IF(TRIM(D291)="","ОГРН не указан",IF(LEN(D291)&lt;&gt;13,"ОГРН: должно быть 13 цифр",IF(NOT(ISNUMBER(IFERROR(VALUE(D291),"x"))),"ОГРН: есть нецифровые символы",IF(MOD(VALUE(LEFT(D291,12))-11*INT(VALUE(LEFT(D291,12))/11),10)=VALUE(RIGHT(D291,1)),"","ОГРН: неверная контрольная цифра"))))</f>
        <v/>
      </c>
      <c r="M291" s="24" t="str">
        <f aca="false">IF(TRIM(E291)="","КПП не указан",IF(LEN(E291)&lt;&gt;9,"КПП: должно быть 9 знаков",IF(NOT(AND(ISNUMBER(IFERROR(VALUE(LEFT(E291,4)),"x")),ISNUMBER(IFERROR(VALUE(RIGHT(E291,3)),"x")))),"КПП: неверный формат",IF(LEFT(E291,2)&lt;&gt;LEFT(C291,2),"КПП: код региона не совпадает с ИНН",""))))</f>
        <v/>
      </c>
      <c r="N291" s="24" t="str">
        <f aca="false">IF(TRIM(C291)="","",IF(COUNTIF($C$2:$C$401,C291)&gt;1,"Дубликат ИНН в реестре",""))</f>
        <v>Дубликат ИНН в реестре</v>
      </c>
      <c r="O291" s="24" t="str">
        <f aca="false">IF(TRIM(H291)="","Email не указан",IF(AND(ISNUMBER(FIND("@",H291)),ISNUMBER(FIND(".",H291,IFERROR(FIND("@",H291),1))),ISERROR(FIND(" ",H291)),LEFT(H291,1)&lt;&gt;"@",RIGHT(H291,1)&lt;&gt;".",LEN(H291)-LEN(SUBSTITUTE(H291,"@",""))=1),"","Email: неверный формат"))</f>
        <v/>
      </c>
      <c r="P291" s="24" t="str">
        <f aca="false">IF(TRIM(I291)="","Телефон не указан",IF(AND(LEN(SUBSTITUTE(SUBSTITUTE(SUBSTITUTE(SUBSTITUTE(SUBSTITUTE(I291," ",""),"-",""),"(",""),")",""),"+",""))=11,OR(LEFT(SUBSTITUTE(SUBSTITUTE(SUBSTITUTE(SUBSTITUTE(SUBSTITUTE(I291," ",""),"-",""),"(",""),")",""),"+",""),1)="7",LEFT(SUBSTITUTE(SUBSTITUTE(SUBSTITUTE(SUBSTITUTE(SUBSTITUTE(I291," ",""),"-",""),"(",""),")",""),"+",""),1)="8"),ISNUMBER(IFERROR(VALUE(SUBSTITUTE(SUBSTITUTE(SUBSTITUTE(SUBSTITUTE(SUBSTITUTE(I291," ",""),"-",""),"(",""),")",""),"+","")),"x"))),"","Телефон: неверный формат"))</f>
        <v/>
      </c>
      <c r="Q291" s="24" t="str">
        <f aca="false">TRIM(IF(TRIM(B291)="","Нет наименования. ","")&amp;IF(TRIM(F291)="","Нет адреса. ","")&amp;IF(TRIM(G291)="","Нет контактного лица.",""))</f>
        <v/>
      </c>
      <c r="R291" s="21" t="n">
        <f aca="false">SUMPRODUCT(--(LEN(K291:Q291)&gt;0))</f>
        <v>1</v>
      </c>
      <c r="S291" s="24" t="str">
        <f aca="false">IF(R291=0,"Готово к передаче","Требует исправления")</f>
        <v>Требует исправления</v>
      </c>
      <c r="T291" s="24" t="str">
        <f aca="false">IF(R291=0,"",_xlfn.TEXTJOIN("; ",TRUE(),K291:Q291))</f>
        <v>Дубликат ИНН в реестре</v>
      </c>
      <c r="U291" s="24" t="str">
        <f aca="false">IF(R291=0,"","Здравствуйте! В данных организации «"&amp;B291&amp;"» обнаружены ошибки: "&amp;T291&amp;". Просим проверить и прислать исправленную информацию.")</f>
        <v>Здравствуйте! В данных организации «АО «Импульс Трейд»» обнаружены ошибки: Дубликат ИНН в реестре. Просим проверить и прислать исправленную информацию.</v>
      </c>
      <c r="V291" s="21" t="n">
        <f aca="false">IF(R291&gt;0,COUNTIF($R$2:R291,"&gt;0"),"")</f>
        <v>93</v>
      </c>
      <c r="W291" s="21" t="str">
        <f aca="false">IF(R291=0,COUNTIF($R$2:R291,0),"")</f>
        <v/>
      </c>
    </row>
    <row r="292" customFormat="false" ht="15" hidden="false" customHeight="false" outlineLevel="0" collapsed="false">
      <c r="A292" s="21" t="n">
        <v>291</v>
      </c>
      <c r="B292" s="22" t="s">
        <v>2356</v>
      </c>
      <c r="C292" s="23" t="s">
        <v>2357</v>
      </c>
      <c r="D292" s="23" t="s">
        <v>2358</v>
      </c>
      <c r="E292" s="23" t="s">
        <v>2359</v>
      </c>
      <c r="F292" s="22" t="s">
        <v>2360</v>
      </c>
      <c r="G292" s="22" t="s">
        <v>2361</v>
      </c>
      <c r="H292" s="22" t="s">
        <v>2362</v>
      </c>
      <c r="I292" s="23" t="s">
        <v>2363</v>
      </c>
      <c r="J292" s="24" t="str">
        <f aca="false">IFERROR(VLOOKUP(VALUE(LEFT(C292,2)),Справочники!$A$2:$B$16,2,FALSE()),"не определён")</f>
        <v>г. Москва</v>
      </c>
      <c r="K292" s="24" t="str">
        <f aca="false">IF(TRIM(C292)="","ИНН не указан",IF(LEN(C292)&lt;&gt;10,"ИНН: должно быть 10 цифр",IF(NOT(ISNUMBER(IFERROR(VALUE(C292),"x"))),"ИНН: есть нецифровые символы",IF(MOD(MOD(SUMPRODUCT(--MID(C292,{1,2,3,4,5,6,7,8,9},1),{2,4,10,3,5,9,4,6,8}),11),10)=VALUE(RIGHT(C292,1)),"","ИНН: неверная контрольная цифра"))))</f>
        <v/>
      </c>
      <c r="L292" s="24" t="str">
        <f aca="false">IF(TRIM(D292)="","ОГРН не указан",IF(LEN(D292)&lt;&gt;13,"ОГРН: должно быть 13 цифр",IF(NOT(ISNUMBER(IFERROR(VALUE(D292),"x"))),"ОГРН: есть нецифровые символы",IF(MOD(VALUE(LEFT(D292,12))-11*INT(VALUE(LEFT(D292,12))/11),10)=VALUE(RIGHT(D292,1)),"","ОГРН: неверная контрольная цифра"))))</f>
        <v/>
      </c>
      <c r="M292" s="24" t="str">
        <f aca="false">IF(TRIM(E292)="","КПП не указан",IF(LEN(E292)&lt;&gt;9,"КПП: должно быть 9 знаков",IF(NOT(AND(ISNUMBER(IFERROR(VALUE(LEFT(E292,4)),"x")),ISNUMBER(IFERROR(VALUE(RIGHT(E292,3)),"x")))),"КПП: неверный формат",IF(LEFT(E292,2)&lt;&gt;LEFT(C292,2),"КПП: код региона не совпадает с ИНН",""))))</f>
        <v/>
      </c>
      <c r="N292" s="24" t="str">
        <f aca="false">IF(TRIM(C292)="","",IF(COUNTIF($C$2:$C$401,C292)&gt;1,"Дубликат ИНН в реестре",""))</f>
        <v/>
      </c>
      <c r="O292" s="24" t="str">
        <f aca="false">IF(TRIM(H292)="","Email не указан",IF(AND(ISNUMBER(FIND("@",H292)),ISNUMBER(FIND(".",H292,IFERROR(FIND("@",H292),1))),ISERROR(FIND(" ",H292)),LEFT(H292,1)&lt;&gt;"@",RIGHT(H292,1)&lt;&gt;".",LEN(H292)-LEN(SUBSTITUTE(H292,"@",""))=1),"","Email: неверный формат"))</f>
        <v/>
      </c>
      <c r="P292" s="24" t="str">
        <f aca="false">IF(TRIM(I292)="","Телефон не указан",IF(AND(LEN(SUBSTITUTE(SUBSTITUTE(SUBSTITUTE(SUBSTITUTE(SUBSTITUTE(I292," ",""),"-",""),"(",""),")",""),"+",""))=11,OR(LEFT(SUBSTITUTE(SUBSTITUTE(SUBSTITUTE(SUBSTITUTE(SUBSTITUTE(I292," ",""),"-",""),"(",""),")",""),"+",""),1)="7",LEFT(SUBSTITUTE(SUBSTITUTE(SUBSTITUTE(SUBSTITUTE(SUBSTITUTE(I292," ",""),"-",""),"(",""),")",""),"+",""),1)="8"),ISNUMBER(IFERROR(VALUE(SUBSTITUTE(SUBSTITUTE(SUBSTITUTE(SUBSTITUTE(SUBSTITUTE(I292," ",""),"-",""),"(",""),")",""),"+","")),"x"))),"","Телефон: неверный формат"))</f>
        <v/>
      </c>
      <c r="Q292" s="24" t="str">
        <f aca="false">TRIM(IF(TRIM(B292)="","Нет наименования. ","")&amp;IF(TRIM(F292)="","Нет адреса. ","")&amp;IF(TRIM(G292)="","Нет контактного лица.",""))</f>
        <v/>
      </c>
      <c r="R292" s="21" t="n">
        <f aca="false">SUMPRODUCT(--(LEN(K292:Q292)&gt;0))</f>
        <v>0</v>
      </c>
      <c r="S292" s="24" t="str">
        <f aca="false">IF(R292=0,"Готово к передаче","Требует исправления")</f>
        <v>Готово к передаче</v>
      </c>
      <c r="T292" s="24" t="str">
        <f aca="false">IF(R292=0,"",_xlfn.TEXTJOIN("; ",TRUE(),K292:Q292))</f>
        <v/>
      </c>
      <c r="U292" s="24" t="str">
        <f aca="false">IF(R292=0,"","Здравствуйте! В данных организации «"&amp;B292&amp;"» обнаружены ошибки: "&amp;T292&amp;". Просим проверить и прислать исправленную информацию.")</f>
        <v/>
      </c>
      <c r="V292" s="21" t="str">
        <f aca="false">IF(R292&gt;0,COUNTIF($R$2:R292,"&gt;0"),"")</f>
        <v/>
      </c>
      <c r="W292" s="21" t="n">
        <f aca="false">IF(R292=0,COUNTIF($R$2:R292,0),"")</f>
        <v>198</v>
      </c>
    </row>
    <row r="293" customFormat="false" ht="15" hidden="false" customHeight="false" outlineLevel="0" collapsed="false">
      <c r="A293" s="21" t="n">
        <v>292</v>
      </c>
      <c r="B293" s="22" t="s">
        <v>2364</v>
      </c>
      <c r="C293" s="23" t="s">
        <v>2365</v>
      </c>
      <c r="D293" s="23" t="s">
        <v>2366</v>
      </c>
      <c r="E293" s="23" t="s">
        <v>2367</v>
      </c>
      <c r="F293" s="22" t="s">
        <v>2368</v>
      </c>
      <c r="G293" s="22" t="s">
        <v>2369</v>
      </c>
      <c r="H293" s="22" t="s">
        <v>2370</v>
      </c>
      <c r="I293" s="23" t="s">
        <v>2371</v>
      </c>
      <c r="J293" s="24" t="str">
        <f aca="false">IFERROR(VLOOKUP(VALUE(LEFT(C293,2)),Справочники!$A$2:$B$16,2,FALSE()),"не определён")</f>
        <v>г. Санкт-Петербург</v>
      </c>
      <c r="K293" s="24" t="str">
        <f aca="false">IF(TRIM(C293)="","ИНН не указан",IF(LEN(C293)&lt;&gt;10,"ИНН: должно быть 10 цифр",IF(NOT(ISNUMBER(IFERROR(VALUE(C293),"x"))),"ИНН: есть нецифровые символы",IF(MOD(MOD(SUMPRODUCT(--MID(C293,{1,2,3,4,5,6,7,8,9},1),{2,4,10,3,5,9,4,6,8}),11),10)=VALUE(RIGHT(C293,1)),"","ИНН: неверная контрольная цифра"))))</f>
        <v/>
      </c>
      <c r="L293" s="24" t="str">
        <f aca="false">IF(TRIM(D293)="","ОГРН не указан",IF(LEN(D293)&lt;&gt;13,"ОГРН: должно быть 13 цифр",IF(NOT(ISNUMBER(IFERROR(VALUE(D293),"x"))),"ОГРН: есть нецифровые символы",IF(MOD(VALUE(LEFT(D293,12))-11*INT(VALUE(LEFT(D293,12))/11),10)=VALUE(RIGHT(D293,1)),"","ОГРН: неверная контрольная цифра"))))</f>
        <v/>
      </c>
      <c r="M293" s="24" t="str">
        <f aca="false">IF(TRIM(E293)="","КПП не указан",IF(LEN(E293)&lt;&gt;9,"КПП: должно быть 9 знаков",IF(NOT(AND(ISNUMBER(IFERROR(VALUE(LEFT(E293,4)),"x")),ISNUMBER(IFERROR(VALUE(RIGHT(E293,3)),"x")))),"КПП: неверный формат",IF(LEFT(E293,2)&lt;&gt;LEFT(C293,2),"КПП: код региона не совпадает с ИНН",""))))</f>
        <v/>
      </c>
      <c r="N293" s="24" t="str">
        <f aca="false">IF(TRIM(C293)="","",IF(COUNTIF($C$2:$C$401,C293)&gt;1,"Дубликат ИНН в реестре",""))</f>
        <v/>
      </c>
      <c r="O293" s="24" t="str">
        <f aca="false">IF(TRIM(H293)="","Email не указан",IF(AND(ISNUMBER(FIND("@",H293)),ISNUMBER(FIND(".",H293,IFERROR(FIND("@",H293),1))),ISERROR(FIND(" ",H293)),LEFT(H293,1)&lt;&gt;"@",RIGHT(H293,1)&lt;&gt;".",LEN(H293)-LEN(SUBSTITUTE(H293,"@",""))=1),"","Email: неверный формат"))</f>
        <v/>
      </c>
      <c r="P293" s="24" t="str">
        <f aca="false">IF(TRIM(I293)="","Телефон не указан",IF(AND(LEN(SUBSTITUTE(SUBSTITUTE(SUBSTITUTE(SUBSTITUTE(SUBSTITUTE(I293," ",""),"-",""),"(",""),")",""),"+",""))=11,OR(LEFT(SUBSTITUTE(SUBSTITUTE(SUBSTITUTE(SUBSTITUTE(SUBSTITUTE(I293," ",""),"-",""),"(",""),")",""),"+",""),1)="7",LEFT(SUBSTITUTE(SUBSTITUTE(SUBSTITUTE(SUBSTITUTE(SUBSTITUTE(I293," ",""),"-",""),"(",""),")",""),"+",""),1)="8"),ISNUMBER(IFERROR(VALUE(SUBSTITUTE(SUBSTITUTE(SUBSTITUTE(SUBSTITUTE(SUBSTITUTE(I293," ",""),"-",""),"(",""),")",""),"+","")),"x"))),"","Телефон: неверный формат"))</f>
        <v/>
      </c>
      <c r="Q293" s="24" t="str">
        <f aca="false">TRIM(IF(TRIM(B293)="","Нет наименования. ","")&amp;IF(TRIM(F293)="","Нет адреса. ","")&amp;IF(TRIM(G293)="","Нет контактного лица.",""))</f>
        <v/>
      </c>
      <c r="R293" s="21" t="n">
        <f aca="false">SUMPRODUCT(--(LEN(K293:Q293)&gt;0))</f>
        <v>0</v>
      </c>
      <c r="S293" s="24" t="str">
        <f aca="false">IF(R293=0,"Готово к передаче","Требует исправления")</f>
        <v>Готово к передаче</v>
      </c>
      <c r="T293" s="24" t="str">
        <f aca="false">IF(R293=0,"",_xlfn.TEXTJOIN("; ",TRUE(),K293:Q293))</f>
        <v/>
      </c>
      <c r="U293" s="24" t="str">
        <f aca="false">IF(R293=0,"","Здравствуйте! В данных организации «"&amp;B293&amp;"» обнаружены ошибки: "&amp;T293&amp;". Просим проверить и прислать исправленную информацию.")</f>
        <v/>
      </c>
      <c r="V293" s="21" t="str">
        <f aca="false">IF(R293&gt;0,COUNTIF($R$2:R293,"&gt;0"),"")</f>
        <v/>
      </c>
      <c r="W293" s="21" t="n">
        <f aca="false">IF(R293=0,COUNTIF($R$2:R293,0),"")</f>
        <v>199</v>
      </c>
    </row>
    <row r="294" customFormat="false" ht="15" hidden="false" customHeight="false" outlineLevel="0" collapsed="false">
      <c r="A294" s="21" t="n">
        <v>293</v>
      </c>
      <c r="B294" s="22" t="s">
        <v>2372</v>
      </c>
      <c r="C294" s="23" t="s">
        <v>2373</v>
      </c>
      <c r="D294" s="23" t="s">
        <v>2374</v>
      </c>
      <c r="E294" s="23" t="s">
        <v>2375</v>
      </c>
      <c r="F294" s="22" t="s">
        <v>2376</v>
      </c>
      <c r="G294" s="22" t="s">
        <v>2377</v>
      </c>
      <c r="H294" s="22" t="s">
        <v>2378</v>
      </c>
      <c r="I294" s="23" t="s">
        <v>2379</v>
      </c>
      <c r="J294" s="24" t="str">
        <f aca="false">IFERROR(VLOOKUP(VALUE(LEFT(C294,2)),Справочники!$A$2:$B$16,2,FALSE()),"не определён")</f>
        <v>Новосибирская область</v>
      </c>
      <c r="K294" s="24" t="str">
        <f aca="false">IF(TRIM(C294)="","ИНН не указан",IF(LEN(C294)&lt;&gt;10,"ИНН: должно быть 10 цифр",IF(NOT(ISNUMBER(IFERROR(VALUE(C294),"x"))),"ИНН: есть нецифровые символы",IF(MOD(MOD(SUMPRODUCT(--MID(C294,{1,2,3,4,5,6,7,8,9},1),{2,4,10,3,5,9,4,6,8}),11),10)=VALUE(RIGHT(C294,1)),"","ИНН: неверная контрольная цифра"))))</f>
        <v/>
      </c>
      <c r="L294" s="24" t="str">
        <f aca="false">IF(TRIM(D294)="","ОГРН не указан",IF(LEN(D294)&lt;&gt;13,"ОГРН: должно быть 13 цифр",IF(NOT(ISNUMBER(IFERROR(VALUE(D294),"x"))),"ОГРН: есть нецифровые символы",IF(MOD(VALUE(LEFT(D294,12))-11*INT(VALUE(LEFT(D294,12))/11),10)=VALUE(RIGHT(D294,1)),"","ОГРН: неверная контрольная цифра"))))</f>
        <v>ОГРН: должно быть 13 цифр</v>
      </c>
      <c r="M294" s="24" t="str">
        <f aca="false">IF(TRIM(E294)="","КПП не указан",IF(LEN(E294)&lt;&gt;9,"КПП: должно быть 9 знаков",IF(NOT(AND(ISNUMBER(IFERROR(VALUE(LEFT(E294,4)),"x")),ISNUMBER(IFERROR(VALUE(RIGHT(E294,3)),"x")))),"КПП: неверный формат",IF(LEFT(E294,2)&lt;&gt;LEFT(C294,2),"КПП: код региона не совпадает с ИНН",""))))</f>
        <v/>
      </c>
      <c r="N294" s="24" t="str">
        <f aca="false">IF(TRIM(C294)="","",IF(COUNTIF($C$2:$C$401,C294)&gt;1,"Дубликат ИНН в реестре",""))</f>
        <v/>
      </c>
      <c r="O294" s="24" t="str">
        <f aca="false">IF(TRIM(H294)="","Email не указан",IF(AND(ISNUMBER(FIND("@",H294)),ISNUMBER(FIND(".",H294,IFERROR(FIND("@",H294),1))),ISERROR(FIND(" ",H294)),LEFT(H294,1)&lt;&gt;"@",RIGHT(H294,1)&lt;&gt;".",LEN(H294)-LEN(SUBSTITUTE(H294,"@",""))=1),"","Email: неверный формат"))</f>
        <v/>
      </c>
      <c r="P294" s="24" t="str">
        <f aca="false">IF(TRIM(I294)="","Телефон не указан",IF(AND(LEN(SUBSTITUTE(SUBSTITUTE(SUBSTITUTE(SUBSTITUTE(SUBSTITUTE(I294," ",""),"-",""),"(",""),")",""),"+",""))=11,OR(LEFT(SUBSTITUTE(SUBSTITUTE(SUBSTITUTE(SUBSTITUTE(SUBSTITUTE(I294," ",""),"-",""),"(",""),")",""),"+",""),1)="7",LEFT(SUBSTITUTE(SUBSTITUTE(SUBSTITUTE(SUBSTITUTE(SUBSTITUTE(I294," ",""),"-",""),"(",""),")",""),"+",""),1)="8"),ISNUMBER(IFERROR(VALUE(SUBSTITUTE(SUBSTITUTE(SUBSTITUTE(SUBSTITUTE(SUBSTITUTE(I294," ",""),"-",""),"(",""),")",""),"+","")),"x"))),"","Телефон: неверный формат"))</f>
        <v/>
      </c>
      <c r="Q294" s="24" t="str">
        <f aca="false">TRIM(IF(TRIM(B294)="","Нет наименования. ","")&amp;IF(TRIM(F294)="","Нет адреса. ","")&amp;IF(TRIM(G294)="","Нет контактного лица.",""))</f>
        <v/>
      </c>
      <c r="R294" s="21" t="n">
        <f aca="false">SUMPRODUCT(--(LEN(K294:Q294)&gt;0))</f>
        <v>1</v>
      </c>
      <c r="S294" s="24" t="str">
        <f aca="false">IF(R294=0,"Готово к передаче","Требует исправления")</f>
        <v>Требует исправления</v>
      </c>
      <c r="T294" s="24" t="str">
        <f aca="false">IF(R294=0,"",_xlfn.TEXTJOIN("; ",TRUE(),K294:Q294))</f>
        <v>ОГРН: должно быть 13 цифр</v>
      </c>
      <c r="U294" s="24" t="str">
        <f aca="false">IF(R294=0,"","Здравствуйте! В данных организации «"&amp;B294&amp;"» обнаружены ошибки: "&amp;T294&amp;". Просим проверить и прислать исправленную информацию.")</f>
        <v>Здравствуйте! В данных организации «ООО «Юпитер Строй»» обнаружены ошибки: ОГРН: должно быть 13 цифр. Просим проверить и прислать исправленную информацию.</v>
      </c>
      <c r="V294" s="21" t="n">
        <f aca="false">IF(R294&gt;0,COUNTIF($R$2:R294,"&gt;0"),"")</f>
        <v>94</v>
      </c>
      <c r="W294" s="21" t="str">
        <f aca="false">IF(R294=0,COUNTIF($R$2:R294,0),"")</f>
        <v/>
      </c>
    </row>
    <row r="295" customFormat="false" ht="15" hidden="false" customHeight="false" outlineLevel="0" collapsed="false">
      <c r="A295" s="21" t="n">
        <v>294</v>
      </c>
      <c r="B295" s="22" t="s">
        <v>2380</v>
      </c>
      <c r="C295" s="23" t="s">
        <v>2381</v>
      </c>
      <c r="D295" s="23" t="s">
        <v>2382</v>
      </c>
      <c r="E295" s="23" t="s">
        <v>2383</v>
      </c>
      <c r="F295" s="22" t="s">
        <v>2384</v>
      </c>
      <c r="G295" s="22" t="s">
        <v>2385</v>
      </c>
      <c r="H295" s="22" t="s">
        <v>2386</v>
      </c>
      <c r="I295" s="23" t="s">
        <v>2387</v>
      </c>
      <c r="J295" s="24" t="str">
        <f aca="false">IFERROR(VLOOKUP(VALUE(LEFT(C295,2)),Справочники!$A$2:$B$16,2,FALSE()),"не определён")</f>
        <v>Республика Татарстан</v>
      </c>
      <c r="K295" s="24" t="str">
        <f aca="false">IF(TRIM(C295)="","ИНН не указан",IF(LEN(C295)&lt;&gt;10,"ИНН: должно быть 10 цифр",IF(NOT(ISNUMBER(IFERROR(VALUE(C295),"x"))),"ИНН: есть нецифровые символы",IF(MOD(MOD(SUMPRODUCT(--MID(C295,{1,2,3,4,5,6,7,8,9},1),{2,4,10,3,5,9,4,6,8}),11),10)=VALUE(RIGHT(C295,1)),"","ИНН: неверная контрольная цифра"))))</f>
        <v/>
      </c>
      <c r="L295" s="24" t="str">
        <f aca="false">IF(TRIM(D295)="","ОГРН не указан",IF(LEN(D295)&lt;&gt;13,"ОГРН: должно быть 13 цифр",IF(NOT(ISNUMBER(IFERROR(VALUE(D295),"x"))),"ОГРН: есть нецифровые символы",IF(MOD(VALUE(LEFT(D295,12))-11*INT(VALUE(LEFT(D295,12))/11),10)=VALUE(RIGHT(D295,1)),"","ОГРН: неверная контрольная цифра"))))</f>
        <v/>
      </c>
      <c r="M295" s="24" t="str">
        <f aca="false">IF(TRIM(E295)="","КПП не указан",IF(LEN(E295)&lt;&gt;9,"КПП: должно быть 9 знаков",IF(NOT(AND(ISNUMBER(IFERROR(VALUE(LEFT(E295,4)),"x")),ISNUMBER(IFERROR(VALUE(RIGHT(E295,3)),"x")))),"КПП: неверный формат",IF(LEFT(E295,2)&lt;&gt;LEFT(C295,2),"КПП: код региона не совпадает с ИНН",""))))</f>
        <v/>
      </c>
      <c r="N295" s="24" t="str">
        <f aca="false">IF(TRIM(C295)="","",IF(COUNTIF($C$2:$C$401,C295)&gt;1,"Дубликат ИНН в реестре",""))</f>
        <v/>
      </c>
      <c r="O295" s="24" t="str">
        <f aca="false">IF(TRIM(H295)="","Email не указан",IF(AND(ISNUMBER(FIND("@",H295)),ISNUMBER(FIND(".",H295,IFERROR(FIND("@",H295),1))),ISERROR(FIND(" ",H295)),LEFT(H295,1)&lt;&gt;"@",RIGHT(H295,1)&lt;&gt;".",LEN(H295)-LEN(SUBSTITUTE(H295,"@",""))=1),"","Email: неверный формат"))</f>
        <v/>
      </c>
      <c r="P295" s="24" t="str">
        <f aca="false">IF(TRIM(I295)="","Телефон не указан",IF(AND(LEN(SUBSTITUTE(SUBSTITUTE(SUBSTITUTE(SUBSTITUTE(SUBSTITUTE(I295," ",""),"-",""),"(",""),")",""),"+",""))=11,OR(LEFT(SUBSTITUTE(SUBSTITUTE(SUBSTITUTE(SUBSTITUTE(SUBSTITUTE(I295," ",""),"-",""),"(",""),")",""),"+",""),1)="7",LEFT(SUBSTITUTE(SUBSTITUTE(SUBSTITUTE(SUBSTITUTE(SUBSTITUTE(I295," ",""),"-",""),"(",""),")",""),"+",""),1)="8"),ISNUMBER(IFERROR(VALUE(SUBSTITUTE(SUBSTITUTE(SUBSTITUTE(SUBSTITUTE(SUBSTITUTE(I295," ",""),"-",""),"(",""),")",""),"+","")),"x"))),"","Телефон: неверный формат"))</f>
        <v/>
      </c>
      <c r="Q295" s="24" t="str">
        <f aca="false">TRIM(IF(TRIM(B295)="","Нет наименования. ","")&amp;IF(TRIM(F295)="","Нет адреса. ","")&amp;IF(TRIM(G295)="","Нет контактного лица.",""))</f>
        <v/>
      </c>
      <c r="R295" s="21" t="n">
        <f aca="false">SUMPRODUCT(--(LEN(K295:Q295)&gt;0))</f>
        <v>0</v>
      </c>
      <c r="S295" s="24" t="str">
        <f aca="false">IF(R295=0,"Готово к передаче","Требует исправления")</f>
        <v>Готово к передаче</v>
      </c>
      <c r="T295" s="24" t="str">
        <f aca="false">IF(R295=0,"",_xlfn.TEXTJOIN("; ",TRUE(),K295:Q295))</f>
        <v/>
      </c>
      <c r="U295" s="24" t="str">
        <f aca="false">IF(R295=0,"","Здравствуйте! В данных организации «"&amp;B295&amp;"» обнаружены ошибки: "&amp;T295&amp;". Просим проверить и прислать исправленную информацию.")</f>
        <v/>
      </c>
      <c r="V295" s="21" t="str">
        <f aca="false">IF(R295&gt;0,COUNTIF($R$2:R295,"&gt;0"),"")</f>
        <v/>
      </c>
      <c r="W295" s="21" t="n">
        <f aca="false">IF(R295=0,COUNTIF($R$2:R295,0),"")</f>
        <v>200</v>
      </c>
    </row>
    <row r="296" customFormat="false" ht="15" hidden="false" customHeight="false" outlineLevel="0" collapsed="false">
      <c r="A296" s="21" t="n">
        <v>295</v>
      </c>
      <c r="B296" s="22" t="s">
        <v>2388</v>
      </c>
      <c r="C296" s="23" t="s">
        <v>2389</v>
      </c>
      <c r="D296" s="23" t="s">
        <v>2390</v>
      </c>
      <c r="E296" s="23" t="s">
        <v>2391</v>
      </c>
      <c r="F296" s="22" t="s">
        <v>2392</v>
      </c>
      <c r="G296" s="22" t="s">
        <v>2393</v>
      </c>
      <c r="H296" s="22" t="s">
        <v>2394</v>
      </c>
      <c r="I296" s="23" t="s">
        <v>2395</v>
      </c>
      <c r="J296" s="24" t="str">
        <f aca="false">IFERROR(VLOOKUP(VALUE(LEFT(C296,2)),Справочники!$A$2:$B$16,2,FALSE()),"не определён")</f>
        <v>Нижегородская область</v>
      </c>
      <c r="K296" s="24" t="str">
        <f aca="false">IF(TRIM(C296)="","ИНН не указан",IF(LEN(C296)&lt;&gt;10,"ИНН: должно быть 10 цифр",IF(NOT(ISNUMBER(IFERROR(VALUE(C296),"x"))),"ИНН: есть нецифровые символы",IF(MOD(MOD(SUMPRODUCT(--MID(C296,{1,2,3,4,5,6,7,8,9},1),{2,4,10,3,5,9,4,6,8}),11),10)=VALUE(RIGHT(C296,1)),"","ИНН: неверная контрольная цифра"))))</f>
        <v/>
      </c>
      <c r="L296" s="24" t="str">
        <f aca="false">IF(TRIM(D296)="","ОГРН не указан",IF(LEN(D296)&lt;&gt;13,"ОГРН: должно быть 13 цифр",IF(NOT(ISNUMBER(IFERROR(VALUE(D296),"x"))),"ОГРН: есть нецифровые символы",IF(MOD(VALUE(LEFT(D296,12))-11*INT(VALUE(LEFT(D296,12))/11),10)=VALUE(RIGHT(D296,1)),"","ОГРН: неверная контрольная цифра"))))</f>
        <v/>
      </c>
      <c r="M296" s="24" t="str">
        <f aca="false">IF(TRIM(E296)="","КПП не указан",IF(LEN(E296)&lt;&gt;9,"КПП: должно быть 9 знаков",IF(NOT(AND(ISNUMBER(IFERROR(VALUE(LEFT(E296,4)),"x")),ISNUMBER(IFERROR(VALUE(RIGHT(E296,3)),"x")))),"КПП: неверный формат",IF(LEFT(E296,2)&lt;&gt;LEFT(C296,2),"КПП: код региона не совпадает с ИНН",""))))</f>
        <v/>
      </c>
      <c r="N296" s="24" t="str">
        <f aca="false">IF(TRIM(C296)="","",IF(COUNTIF($C$2:$C$401,C296)&gt;1,"Дубликат ИНН в реестре",""))</f>
        <v/>
      </c>
      <c r="O296" s="24" t="str">
        <f aca="false">IF(TRIM(H296)="","Email не указан",IF(AND(ISNUMBER(FIND("@",H296)),ISNUMBER(FIND(".",H296,IFERROR(FIND("@",H296),1))),ISERROR(FIND(" ",H296)),LEFT(H296,1)&lt;&gt;"@",RIGHT(H296,1)&lt;&gt;".",LEN(H296)-LEN(SUBSTITUTE(H296,"@",""))=1),"","Email: неверный формат"))</f>
        <v/>
      </c>
      <c r="P296" s="24" t="str">
        <f aca="false">IF(TRIM(I296)="","Телефон не указан",IF(AND(LEN(SUBSTITUTE(SUBSTITUTE(SUBSTITUTE(SUBSTITUTE(SUBSTITUTE(I296," ",""),"-",""),"(",""),")",""),"+",""))=11,OR(LEFT(SUBSTITUTE(SUBSTITUTE(SUBSTITUTE(SUBSTITUTE(SUBSTITUTE(I296," ",""),"-",""),"(",""),")",""),"+",""),1)="7",LEFT(SUBSTITUTE(SUBSTITUTE(SUBSTITUTE(SUBSTITUTE(SUBSTITUTE(I296," ",""),"-",""),"(",""),")",""),"+",""),1)="8"),ISNUMBER(IFERROR(VALUE(SUBSTITUTE(SUBSTITUTE(SUBSTITUTE(SUBSTITUTE(SUBSTITUTE(I296," ",""),"-",""),"(",""),")",""),"+","")),"x"))),"","Телефон: неверный формат"))</f>
        <v/>
      </c>
      <c r="Q296" s="24" t="str">
        <f aca="false">TRIM(IF(TRIM(B296)="","Нет наименования. ","")&amp;IF(TRIM(F296)="","Нет адреса. ","")&amp;IF(TRIM(G296)="","Нет контактного лица.",""))</f>
        <v/>
      </c>
      <c r="R296" s="21" t="n">
        <f aca="false">SUMPRODUCT(--(LEN(K296:Q296)&gt;0))</f>
        <v>0</v>
      </c>
      <c r="S296" s="24" t="str">
        <f aca="false">IF(R296=0,"Готово к передаче","Требует исправления")</f>
        <v>Готово к передаче</v>
      </c>
      <c r="T296" s="24" t="str">
        <f aca="false">IF(R296=0,"",_xlfn.TEXTJOIN("; ",TRUE(),K296:Q296))</f>
        <v/>
      </c>
      <c r="U296" s="24" t="str">
        <f aca="false">IF(R296=0,"","Здравствуйте! В данных организации «"&amp;B296&amp;"» обнаружены ошибки: "&amp;T296&amp;". Просим проверить и прислать исправленную информацию.")</f>
        <v/>
      </c>
      <c r="V296" s="21" t="str">
        <f aca="false">IF(R296&gt;0,COUNTIF($R$2:R296,"&gt;0"),"")</f>
        <v/>
      </c>
      <c r="W296" s="21" t="n">
        <f aca="false">IF(R296=0,COUNTIF($R$2:R296,0),"")</f>
        <v>201</v>
      </c>
    </row>
    <row r="297" customFormat="false" ht="15" hidden="false" customHeight="false" outlineLevel="0" collapsed="false">
      <c r="A297" s="21" t="n">
        <v>296</v>
      </c>
      <c r="B297" s="22" t="s">
        <v>2396</v>
      </c>
      <c r="C297" s="23" t="s">
        <v>2397</v>
      </c>
      <c r="D297" s="23" t="s">
        <v>2398</v>
      </c>
      <c r="E297" s="23" t="s">
        <v>2399</v>
      </c>
      <c r="F297" s="22" t="s">
        <v>2400</v>
      </c>
      <c r="G297" s="22" t="s">
        <v>2401</v>
      </c>
      <c r="H297" s="22" t="s">
        <v>2402</v>
      </c>
      <c r="I297" s="23" t="s">
        <v>2403</v>
      </c>
      <c r="J297" s="24" t="str">
        <f aca="false">IFERROR(VLOOKUP(VALUE(LEFT(C297,2)),Справочники!$A$2:$B$16,2,FALSE()),"не определён")</f>
        <v>Московская область</v>
      </c>
      <c r="K297" s="24" t="str">
        <f aca="false">IF(TRIM(C297)="","ИНН не указан",IF(LEN(C297)&lt;&gt;10,"ИНН: должно быть 10 цифр",IF(NOT(ISNUMBER(IFERROR(VALUE(C297),"x"))),"ИНН: есть нецифровые символы",IF(MOD(MOD(SUMPRODUCT(--MID(C297,{1,2,3,4,5,6,7,8,9},1),{2,4,10,3,5,9,4,6,8}),11),10)=VALUE(RIGHT(C297,1)),"","ИНН: неверная контрольная цифра"))))</f>
        <v/>
      </c>
      <c r="L297" s="24" t="str">
        <f aca="false">IF(TRIM(D297)="","ОГРН не указан",IF(LEN(D297)&lt;&gt;13,"ОГРН: должно быть 13 цифр",IF(NOT(ISNUMBER(IFERROR(VALUE(D297),"x"))),"ОГРН: есть нецифровые символы",IF(MOD(VALUE(LEFT(D297,12))-11*INT(VALUE(LEFT(D297,12))/11),10)=VALUE(RIGHT(D297,1)),"","ОГРН: неверная контрольная цифра"))))</f>
        <v/>
      </c>
      <c r="M297" s="24" t="str">
        <f aca="false">IF(TRIM(E297)="","КПП не указан",IF(LEN(E297)&lt;&gt;9,"КПП: должно быть 9 знаков",IF(NOT(AND(ISNUMBER(IFERROR(VALUE(LEFT(E297,4)),"x")),ISNUMBER(IFERROR(VALUE(RIGHT(E297,3)),"x")))),"КПП: неверный формат",IF(LEFT(E297,2)&lt;&gt;LEFT(C297,2),"КПП: код региона не совпадает с ИНН",""))))</f>
        <v/>
      </c>
      <c r="N297" s="24" t="str">
        <f aca="false">IF(TRIM(C297)="","",IF(COUNTIF($C$2:$C$401,C297)&gt;1,"Дубликат ИНН в реестре",""))</f>
        <v/>
      </c>
      <c r="O297" s="24" t="str">
        <f aca="false">IF(TRIM(H297)="","Email не указан",IF(AND(ISNUMBER(FIND("@",H297)),ISNUMBER(FIND(".",H297,IFERROR(FIND("@",H297),1))),ISERROR(FIND(" ",H297)),LEFT(H297,1)&lt;&gt;"@",RIGHT(H297,1)&lt;&gt;".",LEN(H297)-LEN(SUBSTITUTE(H297,"@",""))=1),"","Email: неверный формат"))</f>
        <v/>
      </c>
      <c r="P297" s="24" t="str">
        <f aca="false">IF(TRIM(I297)="","Телефон не указан",IF(AND(LEN(SUBSTITUTE(SUBSTITUTE(SUBSTITUTE(SUBSTITUTE(SUBSTITUTE(I297," ",""),"-",""),"(",""),")",""),"+",""))=11,OR(LEFT(SUBSTITUTE(SUBSTITUTE(SUBSTITUTE(SUBSTITUTE(SUBSTITUTE(I297," ",""),"-",""),"(",""),")",""),"+",""),1)="7",LEFT(SUBSTITUTE(SUBSTITUTE(SUBSTITUTE(SUBSTITUTE(SUBSTITUTE(I297," ",""),"-",""),"(",""),")",""),"+",""),1)="8"),ISNUMBER(IFERROR(VALUE(SUBSTITUTE(SUBSTITUTE(SUBSTITUTE(SUBSTITUTE(SUBSTITUTE(I297," ",""),"-",""),"(",""),")",""),"+","")),"x"))),"","Телефон: неверный формат"))</f>
        <v/>
      </c>
      <c r="Q297" s="24" t="str">
        <f aca="false">TRIM(IF(TRIM(B297)="","Нет наименования. ","")&amp;IF(TRIM(F297)="","Нет адреса. ","")&amp;IF(TRIM(G297)="","Нет контактного лица.",""))</f>
        <v/>
      </c>
      <c r="R297" s="21" t="n">
        <f aca="false">SUMPRODUCT(--(LEN(K297:Q297)&gt;0))</f>
        <v>0</v>
      </c>
      <c r="S297" s="24" t="str">
        <f aca="false">IF(R297=0,"Готово к передаче","Требует исправления")</f>
        <v>Готово к передаче</v>
      </c>
      <c r="T297" s="24" t="str">
        <f aca="false">IF(R297=0,"",_xlfn.TEXTJOIN("; ",TRUE(),K297:Q297))</f>
        <v/>
      </c>
      <c r="U297" s="24" t="str">
        <f aca="false">IF(R297=0,"","Здравствуйте! В данных организации «"&amp;B297&amp;"» обнаружены ошибки: "&amp;T297&amp;". Просим проверить и прислать исправленную информацию.")</f>
        <v/>
      </c>
      <c r="V297" s="21" t="str">
        <f aca="false">IF(R297&gt;0,COUNTIF($R$2:R297,"&gt;0"),"")</f>
        <v/>
      </c>
      <c r="W297" s="21" t="n">
        <f aca="false">IF(R297=0,COUNTIF($R$2:R297,0),"")</f>
        <v>202</v>
      </c>
    </row>
    <row r="298" customFormat="false" ht="15" hidden="false" customHeight="false" outlineLevel="0" collapsed="false">
      <c r="A298" s="21" t="n">
        <v>297</v>
      </c>
      <c r="B298" s="22" t="s">
        <v>2404</v>
      </c>
      <c r="C298" s="23" t="s">
        <v>2405</v>
      </c>
      <c r="D298" s="23" t="s">
        <v>2406</v>
      </c>
      <c r="E298" s="23" t="s">
        <v>2407</v>
      </c>
      <c r="F298" s="22" t="s">
        <v>2408</v>
      </c>
      <c r="G298" s="22" t="s">
        <v>2409</v>
      </c>
      <c r="H298" s="22" t="s">
        <v>2410</v>
      </c>
      <c r="I298" s="23" t="s">
        <v>2411</v>
      </c>
      <c r="J298" s="24" t="str">
        <f aca="false">IFERROR(VLOOKUP(VALUE(LEFT(C298,2)),Справочники!$A$2:$B$16,2,FALSE()),"не определён")</f>
        <v>Московская область</v>
      </c>
      <c r="K298" s="24" t="str">
        <f aca="false">IF(TRIM(C298)="","ИНН не указан",IF(LEN(C298)&lt;&gt;10,"ИНН: должно быть 10 цифр",IF(NOT(ISNUMBER(IFERROR(VALUE(C298),"x"))),"ИНН: есть нецифровые символы",IF(MOD(MOD(SUMPRODUCT(--MID(C298,{1,2,3,4,5,6,7,8,9},1),{2,4,10,3,5,9,4,6,8}),11),10)=VALUE(RIGHT(C298,1)),"","ИНН: неверная контрольная цифра"))))</f>
        <v/>
      </c>
      <c r="L298" s="24" t="str">
        <f aca="false">IF(TRIM(D298)="","ОГРН не указан",IF(LEN(D298)&lt;&gt;13,"ОГРН: должно быть 13 цифр",IF(NOT(ISNUMBER(IFERROR(VALUE(D298),"x"))),"ОГРН: есть нецифровые символы",IF(MOD(VALUE(LEFT(D298,12))-11*INT(VALUE(LEFT(D298,12))/11),10)=VALUE(RIGHT(D298,1)),"","ОГРН: неверная контрольная цифра"))))</f>
        <v/>
      </c>
      <c r="M298" s="24" t="str">
        <f aca="false">IF(TRIM(E298)="","КПП не указан",IF(LEN(E298)&lt;&gt;9,"КПП: должно быть 9 знаков",IF(NOT(AND(ISNUMBER(IFERROR(VALUE(LEFT(E298,4)),"x")),ISNUMBER(IFERROR(VALUE(RIGHT(E298,3)),"x")))),"КПП: неверный формат",IF(LEFT(E298,2)&lt;&gt;LEFT(C298,2),"КПП: код региона не совпадает с ИНН",""))))</f>
        <v/>
      </c>
      <c r="N298" s="24" t="str">
        <f aca="false">IF(TRIM(C298)="","",IF(COUNTIF($C$2:$C$401,C298)&gt;1,"Дубликат ИНН в реестре",""))</f>
        <v/>
      </c>
      <c r="O298" s="24" t="str">
        <f aca="false">IF(TRIM(H298)="","Email не указан",IF(AND(ISNUMBER(FIND("@",H298)),ISNUMBER(FIND(".",H298,IFERROR(FIND("@",H298),1))),ISERROR(FIND(" ",H298)),LEFT(H298,1)&lt;&gt;"@",RIGHT(H298,1)&lt;&gt;".",LEN(H298)-LEN(SUBSTITUTE(H298,"@",""))=1),"","Email: неверный формат"))</f>
        <v/>
      </c>
      <c r="P298" s="24" t="str">
        <f aca="false">IF(TRIM(I298)="","Телефон не указан",IF(AND(LEN(SUBSTITUTE(SUBSTITUTE(SUBSTITUTE(SUBSTITUTE(SUBSTITUTE(I298," ",""),"-",""),"(",""),")",""),"+",""))=11,OR(LEFT(SUBSTITUTE(SUBSTITUTE(SUBSTITUTE(SUBSTITUTE(SUBSTITUTE(I298," ",""),"-",""),"(",""),")",""),"+",""),1)="7",LEFT(SUBSTITUTE(SUBSTITUTE(SUBSTITUTE(SUBSTITUTE(SUBSTITUTE(I298," ",""),"-",""),"(",""),")",""),"+",""),1)="8"),ISNUMBER(IFERROR(VALUE(SUBSTITUTE(SUBSTITUTE(SUBSTITUTE(SUBSTITUTE(SUBSTITUTE(I298," ",""),"-",""),"(",""),")",""),"+","")),"x"))),"","Телефон: неверный формат"))</f>
        <v/>
      </c>
      <c r="Q298" s="24" t="str">
        <f aca="false">TRIM(IF(TRIM(B298)="","Нет наименования. ","")&amp;IF(TRIM(F298)="","Нет адреса. ","")&amp;IF(TRIM(G298)="","Нет контактного лица.",""))</f>
        <v/>
      </c>
      <c r="R298" s="21" t="n">
        <f aca="false">SUMPRODUCT(--(LEN(K298:Q298)&gt;0))</f>
        <v>0</v>
      </c>
      <c r="S298" s="24" t="str">
        <f aca="false">IF(R298=0,"Готово к передаче","Требует исправления")</f>
        <v>Готово к передаче</v>
      </c>
      <c r="T298" s="24" t="str">
        <f aca="false">IF(R298=0,"",_xlfn.TEXTJOIN("; ",TRUE(),K298:Q298))</f>
        <v/>
      </c>
      <c r="U298" s="24" t="str">
        <f aca="false">IF(R298=0,"","Здравствуйте! В данных организации «"&amp;B298&amp;"» обнаружены ошибки: "&amp;T298&amp;". Просим проверить и прислать исправленную информацию.")</f>
        <v/>
      </c>
      <c r="V298" s="21" t="str">
        <f aca="false">IF(R298&gt;0,COUNTIF($R$2:R298,"&gt;0"),"")</f>
        <v/>
      </c>
      <c r="W298" s="21" t="n">
        <f aca="false">IF(R298=0,COUNTIF($R$2:R298,0),"")</f>
        <v>203</v>
      </c>
    </row>
    <row r="299" customFormat="false" ht="15" hidden="false" customHeight="false" outlineLevel="0" collapsed="false">
      <c r="A299" s="21" t="n">
        <v>298</v>
      </c>
      <c r="B299" s="22" t="s">
        <v>2412</v>
      </c>
      <c r="C299" s="23" t="s">
        <v>2413</v>
      </c>
      <c r="D299" s="23" t="s">
        <v>2414</v>
      </c>
      <c r="E299" s="23" t="s">
        <v>2415</v>
      </c>
      <c r="F299" s="22" t="s">
        <v>2416</v>
      </c>
      <c r="G299" s="22" t="s">
        <v>2417</v>
      </c>
      <c r="H299" s="22" t="s">
        <v>2418</v>
      </c>
      <c r="I299" s="23" t="s">
        <v>2419</v>
      </c>
      <c r="J299" s="24" t="str">
        <f aca="false">IFERROR(VLOOKUP(VALUE(LEFT(C299,2)),Справочники!$A$2:$B$16,2,FALSE()),"не определён")</f>
        <v>г. Санкт-Петербург</v>
      </c>
      <c r="K299" s="24" t="str">
        <f aca="false">IF(TRIM(C299)="","ИНН не указан",IF(LEN(C299)&lt;&gt;10,"ИНН: должно быть 10 цифр",IF(NOT(ISNUMBER(IFERROR(VALUE(C299),"x"))),"ИНН: есть нецифровые символы",IF(MOD(MOD(SUMPRODUCT(--MID(C299,{1,2,3,4,5,6,7,8,9},1),{2,4,10,3,5,9,4,6,8}),11),10)=VALUE(RIGHT(C299,1)),"","ИНН: неверная контрольная цифра"))))</f>
        <v/>
      </c>
      <c r="L299" s="24" t="str">
        <f aca="false">IF(TRIM(D299)="","ОГРН не указан",IF(LEN(D299)&lt;&gt;13,"ОГРН: должно быть 13 цифр",IF(NOT(ISNUMBER(IFERROR(VALUE(D299),"x"))),"ОГРН: есть нецифровые символы",IF(MOD(VALUE(LEFT(D299,12))-11*INT(VALUE(LEFT(D299,12))/11),10)=VALUE(RIGHT(D299,1)),"","ОГРН: неверная контрольная цифра"))))</f>
        <v/>
      </c>
      <c r="M299" s="24" t="str">
        <f aca="false">IF(TRIM(E299)="","КПП не указан",IF(LEN(E299)&lt;&gt;9,"КПП: должно быть 9 знаков",IF(NOT(AND(ISNUMBER(IFERROR(VALUE(LEFT(E299,4)),"x")),ISNUMBER(IFERROR(VALUE(RIGHT(E299,3)),"x")))),"КПП: неверный формат",IF(LEFT(E299,2)&lt;&gt;LEFT(C299,2),"КПП: код региона не совпадает с ИНН",""))))</f>
        <v/>
      </c>
      <c r="N299" s="24" t="str">
        <f aca="false">IF(TRIM(C299)="","",IF(COUNTIF($C$2:$C$401,C299)&gt;1,"Дубликат ИНН в реестре",""))</f>
        <v/>
      </c>
      <c r="O299" s="24" t="str">
        <f aca="false">IF(TRIM(H299)="","Email не указан",IF(AND(ISNUMBER(FIND("@",H299)),ISNUMBER(FIND(".",H299,IFERROR(FIND("@",H299),1))),ISERROR(FIND(" ",H299)),LEFT(H299,1)&lt;&gt;"@",RIGHT(H299,1)&lt;&gt;".",LEN(H299)-LEN(SUBSTITUTE(H299,"@",""))=1),"","Email: неверный формат"))</f>
        <v/>
      </c>
      <c r="P299" s="24" t="str">
        <f aca="false">IF(TRIM(I299)="","Телефон не указан",IF(AND(LEN(SUBSTITUTE(SUBSTITUTE(SUBSTITUTE(SUBSTITUTE(SUBSTITUTE(I299," ",""),"-",""),"(",""),")",""),"+",""))=11,OR(LEFT(SUBSTITUTE(SUBSTITUTE(SUBSTITUTE(SUBSTITUTE(SUBSTITUTE(I299," ",""),"-",""),"(",""),")",""),"+",""),1)="7",LEFT(SUBSTITUTE(SUBSTITUTE(SUBSTITUTE(SUBSTITUTE(SUBSTITUTE(I299," ",""),"-",""),"(",""),")",""),"+",""),1)="8"),ISNUMBER(IFERROR(VALUE(SUBSTITUTE(SUBSTITUTE(SUBSTITUTE(SUBSTITUTE(SUBSTITUTE(I299," ",""),"-",""),"(",""),")",""),"+","")),"x"))),"","Телефон: неверный формат"))</f>
        <v/>
      </c>
      <c r="Q299" s="24" t="str">
        <f aca="false">TRIM(IF(TRIM(B299)="","Нет наименования. ","")&amp;IF(TRIM(F299)="","Нет адреса. ","")&amp;IF(TRIM(G299)="","Нет контактного лица.",""))</f>
        <v/>
      </c>
      <c r="R299" s="21" t="n">
        <f aca="false">SUMPRODUCT(--(LEN(K299:Q299)&gt;0))</f>
        <v>0</v>
      </c>
      <c r="S299" s="24" t="str">
        <f aca="false">IF(R299=0,"Готово к передаче","Требует исправления")</f>
        <v>Готово к передаче</v>
      </c>
      <c r="T299" s="24" t="str">
        <f aca="false">IF(R299=0,"",_xlfn.TEXTJOIN("; ",TRUE(),K299:Q299))</f>
        <v/>
      </c>
      <c r="U299" s="24" t="str">
        <f aca="false">IF(R299=0,"","Здравствуйте! В данных организации «"&amp;B299&amp;"» обнаружены ошибки: "&amp;T299&amp;". Просим проверить и прислать исправленную информацию.")</f>
        <v/>
      </c>
      <c r="V299" s="21" t="str">
        <f aca="false">IF(R299&gt;0,COUNTIF($R$2:R299,"&gt;0"),"")</f>
        <v/>
      </c>
      <c r="W299" s="21" t="n">
        <f aca="false">IF(R299=0,COUNTIF($R$2:R299,0),"")</f>
        <v>204</v>
      </c>
    </row>
    <row r="300" customFormat="false" ht="15" hidden="false" customHeight="false" outlineLevel="0" collapsed="false">
      <c r="A300" s="21" t="n">
        <v>299</v>
      </c>
      <c r="B300" s="22" t="s">
        <v>2420</v>
      </c>
      <c r="C300" s="23" t="s">
        <v>2421</v>
      </c>
      <c r="D300" s="23" t="s">
        <v>2422</v>
      </c>
      <c r="E300" s="23" t="s">
        <v>2423</v>
      </c>
      <c r="F300" s="22" t="s">
        <v>2424</v>
      </c>
      <c r="G300" s="22" t="s">
        <v>2425</v>
      </c>
      <c r="H300" s="22" t="s">
        <v>2426</v>
      </c>
      <c r="I300" s="23" t="s">
        <v>2427</v>
      </c>
      <c r="J300" s="24" t="str">
        <f aca="false">IFERROR(VLOOKUP(VALUE(LEFT(C300,2)),Справочники!$A$2:$B$16,2,FALSE()),"не определён")</f>
        <v>г. Москва</v>
      </c>
      <c r="K300" s="24" t="str">
        <f aca="false">IF(TRIM(C300)="","ИНН не указан",IF(LEN(C300)&lt;&gt;10,"ИНН: должно быть 10 цифр",IF(NOT(ISNUMBER(IFERROR(VALUE(C300),"x"))),"ИНН: есть нецифровые символы",IF(MOD(MOD(SUMPRODUCT(--MID(C300,{1,2,3,4,5,6,7,8,9},1),{2,4,10,3,5,9,4,6,8}),11),10)=VALUE(RIGHT(C300,1)),"","ИНН: неверная контрольная цифра"))))</f>
        <v/>
      </c>
      <c r="L300" s="24" t="str">
        <f aca="false">IF(TRIM(D300)="","ОГРН не указан",IF(LEN(D300)&lt;&gt;13,"ОГРН: должно быть 13 цифр",IF(NOT(ISNUMBER(IFERROR(VALUE(D300),"x"))),"ОГРН: есть нецифровые символы",IF(MOD(VALUE(LEFT(D300,12))-11*INT(VALUE(LEFT(D300,12))/11),10)=VALUE(RIGHT(D300,1)),"","ОГРН: неверная контрольная цифра"))))</f>
        <v/>
      </c>
      <c r="M300" s="24" t="str">
        <f aca="false">IF(TRIM(E300)="","КПП не указан",IF(LEN(E300)&lt;&gt;9,"КПП: должно быть 9 знаков",IF(NOT(AND(ISNUMBER(IFERROR(VALUE(LEFT(E300,4)),"x")),ISNUMBER(IFERROR(VALUE(RIGHT(E300,3)),"x")))),"КПП: неверный формат",IF(LEFT(E300,2)&lt;&gt;LEFT(C300,2),"КПП: код региона не совпадает с ИНН",""))))</f>
        <v/>
      </c>
      <c r="N300" s="24" t="str">
        <f aca="false">IF(TRIM(C300)="","",IF(COUNTIF($C$2:$C$401,C300)&gt;1,"Дубликат ИНН в реестре",""))</f>
        <v/>
      </c>
      <c r="O300" s="24" t="str">
        <f aca="false">IF(TRIM(H300)="","Email не указан",IF(AND(ISNUMBER(FIND("@",H300)),ISNUMBER(FIND(".",H300,IFERROR(FIND("@",H300),1))),ISERROR(FIND(" ",H300)),LEFT(H300,1)&lt;&gt;"@",RIGHT(H300,1)&lt;&gt;".",LEN(H300)-LEN(SUBSTITUTE(H300,"@",""))=1),"","Email: неверный формат"))</f>
        <v/>
      </c>
      <c r="P300" s="24" t="str">
        <f aca="false">IF(TRIM(I300)="","Телефон не указан",IF(AND(LEN(SUBSTITUTE(SUBSTITUTE(SUBSTITUTE(SUBSTITUTE(SUBSTITUTE(I300," ",""),"-",""),"(",""),")",""),"+",""))=11,OR(LEFT(SUBSTITUTE(SUBSTITUTE(SUBSTITUTE(SUBSTITUTE(SUBSTITUTE(I300," ",""),"-",""),"(",""),")",""),"+",""),1)="7",LEFT(SUBSTITUTE(SUBSTITUTE(SUBSTITUTE(SUBSTITUTE(SUBSTITUTE(I300," ",""),"-",""),"(",""),")",""),"+",""),1)="8"),ISNUMBER(IFERROR(VALUE(SUBSTITUTE(SUBSTITUTE(SUBSTITUTE(SUBSTITUTE(SUBSTITUTE(I300," ",""),"-",""),"(",""),")",""),"+","")),"x"))),"","Телефон: неверный формат"))</f>
        <v/>
      </c>
      <c r="Q300" s="24" t="str">
        <f aca="false">TRIM(IF(TRIM(B300)="","Нет наименования. ","")&amp;IF(TRIM(F300)="","Нет адреса. ","")&amp;IF(TRIM(G300)="","Нет контактного лица.",""))</f>
        <v/>
      </c>
      <c r="R300" s="21" t="n">
        <f aca="false">SUMPRODUCT(--(LEN(K300:Q300)&gt;0))</f>
        <v>0</v>
      </c>
      <c r="S300" s="24" t="str">
        <f aca="false">IF(R300=0,"Готово к передаче","Требует исправления")</f>
        <v>Готово к передаче</v>
      </c>
      <c r="T300" s="24" t="str">
        <f aca="false">IF(R300=0,"",_xlfn.TEXTJOIN("; ",TRUE(),K300:Q300))</f>
        <v/>
      </c>
      <c r="U300" s="24" t="str">
        <f aca="false">IF(R300=0,"","Здравствуйте! В данных организации «"&amp;B300&amp;"» обнаружены ошибки: "&amp;T300&amp;". Просим проверить и прислать исправленную информацию.")</f>
        <v/>
      </c>
      <c r="V300" s="21" t="str">
        <f aca="false">IF(R300&gt;0,COUNTIF($R$2:R300,"&gt;0"),"")</f>
        <v/>
      </c>
      <c r="W300" s="21" t="n">
        <f aca="false">IF(R300=0,COUNTIF($R$2:R300,0),"")</f>
        <v>205</v>
      </c>
    </row>
    <row r="301" customFormat="false" ht="15" hidden="false" customHeight="false" outlineLevel="0" collapsed="false">
      <c r="A301" s="21" t="n">
        <v>300</v>
      </c>
      <c r="B301" s="22" t="s">
        <v>2428</v>
      </c>
      <c r="C301" s="23" t="s">
        <v>2429</v>
      </c>
      <c r="D301" s="23" t="s">
        <v>2430</v>
      </c>
      <c r="E301" s="23" t="s">
        <v>2431</v>
      </c>
      <c r="F301" s="22" t="s">
        <v>2432</v>
      </c>
      <c r="G301" s="22"/>
      <c r="H301" s="22" t="s">
        <v>2433</v>
      </c>
      <c r="I301" s="23" t="s">
        <v>2434</v>
      </c>
      <c r="J301" s="24" t="str">
        <f aca="false">IFERROR(VLOOKUP(VALUE(LEFT(C301,2)),Справочники!$A$2:$B$16,2,FALSE()),"не определён")</f>
        <v>Ростовская область</v>
      </c>
      <c r="K301" s="24" t="str">
        <f aca="false">IF(TRIM(C301)="","ИНН не указан",IF(LEN(C301)&lt;&gt;10,"ИНН: должно быть 10 цифр",IF(NOT(ISNUMBER(IFERROR(VALUE(C301),"x"))),"ИНН: есть нецифровые символы",IF(MOD(MOD(SUMPRODUCT(--MID(C301,{1,2,3,4,5,6,7,8,9},1),{2,4,10,3,5,9,4,6,8}),11),10)=VALUE(RIGHT(C301,1)),"","ИНН: неверная контрольная цифра"))))</f>
        <v/>
      </c>
      <c r="L301" s="24" t="str">
        <f aca="false">IF(TRIM(D301)="","ОГРН не указан",IF(LEN(D301)&lt;&gt;13,"ОГРН: должно быть 13 цифр",IF(NOT(ISNUMBER(IFERROR(VALUE(D301),"x"))),"ОГРН: есть нецифровые символы",IF(MOD(VALUE(LEFT(D301,12))-11*INT(VALUE(LEFT(D301,12))/11),10)=VALUE(RIGHT(D301,1)),"","ОГРН: неверная контрольная цифра"))))</f>
        <v/>
      </c>
      <c r="M301" s="24" t="str">
        <f aca="false">IF(TRIM(E301)="","КПП не указан",IF(LEN(E301)&lt;&gt;9,"КПП: должно быть 9 знаков",IF(NOT(AND(ISNUMBER(IFERROR(VALUE(LEFT(E301,4)),"x")),ISNUMBER(IFERROR(VALUE(RIGHT(E301,3)),"x")))),"КПП: неверный формат",IF(LEFT(E301,2)&lt;&gt;LEFT(C301,2),"КПП: код региона не совпадает с ИНН",""))))</f>
        <v/>
      </c>
      <c r="N301" s="24" t="str">
        <f aca="false">IF(TRIM(C301)="","",IF(COUNTIF($C$2:$C$401,C301)&gt;1,"Дубликат ИНН в реестре",""))</f>
        <v/>
      </c>
      <c r="O301" s="24" t="str">
        <f aca="false">IF(TRIM(H301)="","Email не указан",IF(AND(ISNUMBER(FIND("@",H301)),ISNUMBER(FIND(".",H301,IFERROR(FIND("@",H301),1))),ISERROR(FIND(" ",H301)),LEFT(H301,1)&lt;&gt;"@",RIGHT(H301,1)&lt;&gt;".",LEN(H301)-LEN(SUBSTITUTE(H301,"@",""))=1),"","Email: неверный формат"))</f>
        <v/>
      </c>
      <c r="P301" s="24" t="str">
        <f aca="false">IF(TRIM(I301)="","Телефон не указан",IF(AND(LEN(SUBSTITUTE(SUBSTITUTE(SUBSTITUTE(SUBSTITUTE(SUBSTITUTE(I301," ",""),"-",""),"(",""),")",""),"+",""))=11,OR(LEFT(SUBSTITUTE(SUBSTITUTE(SUBSTITUTE(SUBSTITUTE(SUBSTITUTE(I301," ",""),"-",""),"(",""),")",""),"+",""),1)="7",LEFT(SUBSTITUTE(SUBSTITUTE(SUBSTITUTE(SUBSTITUTE(SUBSTITUTE(I301," ",""),"-",""),"(",""),")",""),"+",""),1)="8"),ISNUMBER(IFERROR(VALUE(SUBSTITUTE(SUBSTITUTE(SUBSTITUTE(SUBSTITUTE(SUBSTITUTE(I301," ",""),"-",""),"(",""),")",""),"+","")),"x"))),"","Телефон: неверный формат"))</f>
        <v/>
      </c>
      <c r="Q301" s="24" t="str">
        <f aca="false">TRIM(IF(TRIM(B301)="","Нет наименования. ","")&amp;IF(TRIM(F301)="","Нет адреса. ","")&amp;IF(TRIM(G301)="","Нет контактного лица.",""))</f>
        <v>Нет контактного лица.</v>
      </c>
      <c r="R301" s="21" t="n">
        <f aca="false">SUMPRODUCT(--(LEN(K301:Q301)&gt;0))</f>
        <v>1</v>
      </c>
      <c r="S301" s="24" t="str">
        <f aca="false">IF(R301=0,"Готово к передаче","Требует исправления")</f>
        <v>Требует исправления</v>
      </c>
      <c r="T301" s="24" t="str">
        <f aca="false">IF(R301=0,"",_xlfn.TEXTJOIN("; ",TRUE(),K301:Q301))</f>
        <v>Нет контактного лица.</v>
      </c>
      <c r="U301" s="24" t="str">
        <f aca="false">IF(R301=0,"","Здравствуйте! В данных организации «"&amp;B301&amp;"» обнаружены ошибки: "&amp;T301&amp;". Просим проверить и прислать исправленную информацию.")</f>
        <v>Здравствуйте! В данных организации «ООО «Импульс Сервис»» обнаружены ошибки: Нет контактного лица.. Просим проверить и прислать исправленную информацию.</v>
      </c>
      <c r="V301" s="21" t="n">
        <f aca="false">IF(R301&gt;0,COUNTIF($R$2:R301,"&gt;0"),"")</f>
        <v>95</v>
      </c>
      <c r="W301" s="21" t="str">
        <f aca="false">IF(R301=0,COUNTIF($R$2:R301,0),"")</f>
        <v/>
      </c>
    </row>
    <row r="302" customFormat="false" ht="15" hidden="false" customHeight="false" outlineLevel="0" collapsed="false">
      <c r="A302" s="21" t="n">
        <v>301</v>
      </c>
      <c r="B302" s="22" t="s">
        <v>2435</v>
      </c>
      <c r="C302" s="23" t="s">
        <v>2436</v>
      </c>
      <c r="D302" s="23" t="s">
        <v>2437</v>
      </c>
      <c r="E302" s="23" t="s">
        <v>2438</v>
      </c>
      <c r="F302" s="22" t="s">
        <v>2439</v>
      </c>
      <c r="G302" s="22" t="s">
        <v>2440</v>
      </c>
      <c r="H302" s="22" t="s">
        <v>2441</v>
      </c>
      <c r="I302" s="23" t="s">
        <v>2442</v>
      </c>
      <c r="J302" s="24" t="str">
        <f aca="false">IFERROR(VLOOKUP(VALUE(LEFT(C302,2)),Справочники!$A$2:$B$16,2,FALSE()),"не определён")</f>
        <v>Ростовская область</v>
      </c>
      <c r="K302" s="24" t="str">
        <f aca="false">IF(TRIM(C302)="","ИНН не указан",IF(LEN(C302)&lt;&gt;10,"ИНН: должно быть 10 цифр",IF(NOT(ISNUMBER(IFERROR(VALUE(C302),"x"))),"ИНН: есть нецифровые символы",IF(MOD(MOD(SUMPRODUCT(--MID(C302,{1,2,3,4,5,6,7,8,9},1),{2,4,10,3,5,9,4,6,8}),11),10)=VALUE(RIGHT(C302,1)),"","ИНН: неверная контрольная цифра"))))</f>
        <v/>
      </c>
      <c r="L302" s="24" t="str">
        <f aca="false">IF(TRIM(D302)="","ОГРН не указан",IF(LEN(D302)&lt;&gt;13,"ОГРН: должно быть 13 цифр",IF(NOT(ISNUMBER(IFERROR(VALUE(D302),"x"))),"ОГРН: есть нецифровые символы",IF(MOD(VALUE(LEFT(D302,12))-11*INT(VALUE(LEFT(D302,12))/11),10)=VALUE(RIGHT(D302,1)),"","ОГРН: неверная контрольная цифра"))))</f>
        <v/>
      </c>
      <c r="M302" s="24" t="str">
        <f aca="false">IF(TRIM(E302)="","КПП не указан",IF(LEN(E302)&lt;&gt;9,"КПП: должно быть 9 знаков",IF(NOT(AND(ISNUMBER(IFERROR(VALUE(LEFT(E302,4)),"x")),ISNUMBER(IFERROR(VALUE(RIGHT(E302,3)),"x")))),"КПП: неверный формат",IF(LEFT(E302,2)&lt;&gt;LEFT(C302,2),"КПП: код региона не совпадает с ИНН",""))))</f>
        <v/>
      </c>
      <c r="N302" s="24" t="str">
        <f aca="false">IF(TRIM(C302)="","",IF(COUNTIF($C$2:$C$401,C302)&gt;1,"Дубликат ИНН в реестре",""))</f>
        <v/>
      </c>
      <c r="O302" s="24" t="str">
        <f aca="false">IF(TRIM(H302)="","Email не указан",IF(AND(ISNUMBER(FIND("@",H302)),ISNUMBER(FIND(".",H302,IFERROR(FIND("@",H302),1))),ISERROR(FIND(" ",H302)),LEFT(H302,1)&lt;&gt;"@",RIGHT(H302,1)&lt;&gt;".",LEN(H302)-LEN(SUBSTITUTE(H302,"@",""))=1),"","Email: неверный формат"))</f>
        <v/>
      </c>
      <c r="P302" s="24" t="str">
        <f aca="false">IF(TRIM(I302)="","Телефон не указан",IF(AND(LEN(SUBSTITUTE(SUBSTITUTE(SUBSTITUTE(SUBSTITUTE(SUBSTITUTE(I302," ",""),"-",""),"(",""),")",""),"+",""))=11,OR(LEFT(SUBSTITUTE(SUBSTITUTE(SUBSTITUTE(SUBSTITUTE(SUBSTITUTE(I302," ",""),"-",""),"(",""),")",""),"+",""),1)="7",LEFT(SUBSTITUTE(SUBSTITUTE(SUBSTITUTE(SUBSTITUTE(SUBSTITUTE(I302," ",""),"-",""),"(",""),")",""),"+",""),1)="8"),ISNUMBER(IFERROR(VALUE(SUBSTITUTE(SUBSTITUTE(SUBSTITUTE(SUBSTITUTE(SUBSTITUTE(I302," ",""),"-",""),"(",""),")",""),"+","")),"x"))),"","Телефон: неверный формат"))</f>
        <v/>
      </c>
      <c r="Q302" s="24" t="str">
        <f aca="false">TRIM(IF(TRIM(B302)="","Нет наименования. ","")&amp;IF(TRIM(F302)="","Нет адреса. ","")&amp;IF(TRIM(G302)="","Нет контактного лица.",""))</f>
        <v/>
      </c>
      <c r="R302" s="21" t="n">
        <f aca="false">SUMPRODUCT(--(LEN(K302:Q302)&gt;0))</f>
        <v>0</v>
      </c>
      <c r="S302" s="24" t="str">
        <f aca="false">IF(R302=0,"Готово к передаче","Требует исправления")</f>
        <v>Готово к передаче</v>
      </c>
      <c r="T302" s="24" t="str">
        <f aca="false">IF(R302=0,"",_xlfn.TEXTJOIN("; ",TRUE(),K302:Q302))</f>
        <v/>
      </c>
      <c r="U302" s="24" t="str">
        <f aca="false">IF(R302=0,"","Здравствуйте! В данных организации «"&amp;B302&amp;"» обнаружены ошибки: "&amp;T302&amp;". Просим проверить и прислать исправленную информацию.")</f>
        <v/>
      </c>
      <c r="V302" s="21" t="str">
        <f aca="false">IF(R302&gt;0,COUNTIF($R$2:R302,"&gt;0"),"")</f>
        <v/>
      </c>
      <c r="W302" s="21" t="n">
        <f aca="false">IF(R302=0,COUNTIF($R$2:R302,0),"")</f>
        <v>206</v>
      </c>
    </row>
    <row r="303" customFormat="false" ht="15" hidden="false" customHeight="false" outlineLevel="0" collapsed="false">
      <c r="A303" s="21" t="n">
        <v>302</v>
      </c>
      <c r="B303" s="22" t="s">
        <v>2443</v>
      </c>
      <c r="C303" s="23" t="s">
        <v>2444</v>
      </c>
      <c r="D303" s="23" t="s">
        <v>2445</v>
      </c>
      <c r="E303" s="23" t="s">
        <v>2446</v>
      </c>
      <c r="F303" s="22" t="s">
        <v>2447</v>
      </c>
      <c r="G303" s="22" t="s">
        <v>2448</v>
      </c>
      <c r="H303" s="22" t="s">
        <v>2449</v>
      </c>
      <c r="I303" s="23" t="s">
        <v>2450</v>
      </c>
      <c r="J303" s="24" t="str">
        <f aca="false">IFERROR(VLOOKUP(VALUE(LEFT(C303,2)),Справочники!$A$2:$B$16,2,FALSE()),"не определён")</f>
        <v>г. Севастополь</v>
      </c>
      <c r="K303" s="24" t="str">
        <f aca="false">IF(TRIM(C303)="","ИНН не указан",IF(LEN(C303)&lt;&gt;10,"ИНН: должно быть 10 цифр",IF(NOT(ISNUMBER(IFERROR(VALUE(C303),"x"))),"ИНН: есть нецифровые символы",IF(MOD(MOD(SUMPRODUCT(--MID(C303,{1,2,3,4,5,6,7,8,9},1),{2,4,10,3,5,9,4,6,8}),11),10)=VALUE(RIGHT(C303,1)),"","ИНН: неверная контрольная цифра"))))</f>
        <v/>
      </c>
      <c r="L303" s="24" t="str">
        <f aca="false">IF(TRIM(D303)="","ОГРН не указан",IF(LEN(D303)&lt;&gt;13,"ОГРН: должно быть 13 цифр",IF(NOT(ISNUMBER(IFERROR(VALUE(D303),"x"))),"ОГРН: есть нецифровые символы",IF(MOD(VALUE(LEFT(D303,12))-11*INT(VALUE(LEFT(D303,12))/11),10)=VALUE(RIGHT(D303,1)),"","ОГРН: неверная контрольная цифра"))))</f>
        <v/>
      </c>
      <c r="M303" s="24" t="str">
        <f aca="false">IF(TRIM(E303)="","КПП не указан",IF(LEN(E303)&lt;&gt;9,"КПП: должно быть 9 знаков",IF(NOT(AND(ISNUMBER(IFERROR(VALUE(LEFT(E303,4)),"x")),ISNUMBER(IFERROR(VALUE(RIGHT(E303,3)),"x")))),"КПП: неверный формат",IF(LEFT(E303,2)&lt;&gt;LEFT(C303,2),"КПП: код региона не совпадает с ИНН",""))))</f>
        <v/>
      </c>
      <c r="N303" s="24" t="str">
        <f aca="false">IF(TRIM(C303)="","",IF(COUNTIF($C$2:$C$401,C303)&gt;1,"Дубликат ИНН в реестре",""))</f>
        <v/>
      </c>
      <c r="O303" s="24" t="str">
        <f aca="false">IF(TRIM(H303)="","Email не указан",IF(AND(ISNUMBER(FIND("@",H303)),ISNUMBER(FIND(".",H303,IFERROR(FIND("@",H303),1))),ISERROR(FIND(" ",H303)),LEFT(H303,1)&lt;&gt;"@",RIGHT(H303,1)&lt;&gt;".",LEN(H303)-LEN(SUBSTITUTE(H303,"@",""))=1),"","Email: неверный формат"))</f>
        <v/>
      </c>
      <c r="P303" s="24" t="str">
        <f aca="false">IF(TRIM(I303)="","Телефон не указан",IF(AND(LEN(SUBSTITUTE(SUBSTITUTE(SUBSTITUTE(SUBSTITUTE(SUBSTITUTE(I303," ",""),"-",""),"(",""),")",""),"+",""))=11,OR(LEFT(SUBSTITUTE(SUBSTITUTE(SUBSTITUTE(SUBSTITUTE(SUBSTITUTE(I303," ",""),"-",""),"(",""),")",""),"+",""),1)="7",LEFT(SUBSTITUTE(SUBSTITUTE(SUBSTITUTE(SUBSTITUTE(SUBSTITUTE(I303," ",""),"-",""),"(",""),")",""),"+",""),1)="8"),ISNUMBER(IFERROR(VALUE(SUBSTITUTE(SUBSTITUTE(SUBSTITUTE(SUBSTITUTE(SUBSTITUTE(I303," ",""),"-",""),"(",""),")",""),"+","")),"x"))),"","Телефон: неверный формат"))</f>
        <v/>
      </c>
      <c r="Q303" s="24" t="str">
        <f aca="false">TRIM(IF(TRIM(B303)="","Нет наименования. ","")&amp;IF(TRIM(F303)="","Нет адреса. ","")&amp;IF(TRIM(G303)="","Нет контактного лица.",""))</f>
        <v/>
      </c>
      <c r="R303" s="21" t="n">
        <f aca="false">SUMPRODUCT(--(LEN(K303:Q303)&gt;0))</f>
        <v>0</v>
      </c>
      <c r="S303" s="24" t="str">
        <f aca="false">IF(R303=0,"Готово к передаче","Требует исправления")</f>
        <v>Готово к передаче</v>
      </c>
      <c r="T303" s="24" t="str">
        <f aca="false">IF(R303=0,"",_xlfn.TEXTJOIN("; ",TRUE(),K303:Q303))</f>
        <v/>
      </c>
      <c r="U303" s="24" t="str">
        <f aca="false">IF(R303=0,"","Здравствуйте! В данных организации «"&amp;B303&amp;"» обнаружены ошибки: "&amp;T303&amp;". Просим проверить и прислать исправленную информацию.")</f>
        <v/>
      </c>
      <c r="V303" s="21" t="str">
        <f aca="false">IF(R303&gt;0,COUNTIF($R$2:R303,"&gt;0"),"")</f>
        <v/>
      </c>
      <c r="W303" s="21" t="n">
        <f aca="false">IF(R303=0,COUNTIF($R$2:R303,0),"")</f>
        <v>207</v>
      </c>
    </row>
    <row r="304" customFormat="false" ht="15" hidden="false" customHeight="false" outlineLevel="0" collapsed="false">
      <c r="A304" s="21" t="n">
        <v>303</v>
      </c>
      <c r="B304" s="22" t="s">
        <v>2451</v>
      </c>
      <c r="C304" s="23" t="s">
        <v>2452</v>
      </c>
      <c r="D304" s="23" t="s">
        <v>2453</v>
      </c>
      <c r="E304" s="23" t="s">
        <v>2454</v>
      </c>
      <c r="F304" s="22" t="s">
        <v>2455</v>
      </c>
      <c r="G304" s="22" t="s">
        <v>2456</v>
      </c>
      <c r="H304" s="22" t="s">
        <v>2457</v>
      </c>
      <c r="I304" s="23" t="s">
        <v>2458</v>
      </c>
      <c r="J304" s="24" t="str">
        <f aca="false">IFERROR(VLOOKUP(VALUE(LEFT(C304,2)),Справочники!$A$2:$B$16,2,FALSE()),"не определён")</f>
        <v>Московская область</v>
      </c>
      <c r="K304" s="24" t="str">
        <f aca="false">IF(TRIM(C304)="","ИНН не указан",IF(LEN(C304)&lt;&gt;10,"ИНН: должно быть 10 цифр",IF(NOT(ISNUMBER(IFERROR(VALUE(C304),"x"))),"ИНН: есть нецифровые символы",IF(MOD(MOD(SUMPRODUCT(--MID(C304,{1,2,3,4,5,6,7,8,9},1),{2,4,10,3,5,9,4,6,8}),11),10)=VALUE(RIGHT(C304,1)),"","ИНН: неверная контрольная цифра"))))</f>
        <v/>
      </c>
      <c r="L304" s="24" t="str">
        <f aca="false">IF(TRIM(D304)="","ОГРН не указан",IF(LEN(D304)&lt;&gt;13,"ОГРН: должно быть 13 цифр",IF(NOT(ISNUMBER(IFERROR(VALUE(D304),"x"))),"ОГРН: есть нецифровые символы",IF(MOD(VALUE(LEFT(D304,12))-11*INT(VALUE(LEFT(D304,12))/11),10)=VALUE(RIGHT(D304,1)),"","ОГРН: неверная контрольная цифра"))))</f>
        <v/>
      </c>
      <c r="M304" s="24" t="str">
        <f aca="false">IF(TRIM(E304)="","КПП не указан",IF(LEN(E304)&lt;&gt;9,"КПП: должно быть 9 знаков",IF(NOT(AND(ISNUMBER(IFERROR(VALUE(LEFT(E304,4)),"x")),ISNUMBER(IFERROR(VALUE(RIGHT(E304,3)),"x")))),"КПП: неверный формат",IF(LEFT(E304,2)&lt;&gt;LEFT(C304,2),"КПП: код региона не совпадает с ИНН",""))))</f>
        <v/>
      </c>
      <c r="N304" s="24" t="str">
        <f aca="false">IF(TRIM(C304)="","",IF(COUNTIF($C$2:$C$401,C304)&gt;1,"Дубликат ИНН в реестре",""))</f>
        <v/>
      </c>
      <c r="O304" s="24" t="str">
        <f aca="false">IF(TRIM(H304)="","Email не указан",IF(AND(ISNUMBER(FIND("@",H304)),ISNUMBER(FIND(".",H304,IFERROR(FIND("@",H304),1))),ISERROR(FIND(" ",H304)),LEFT(H304,1)&lt;&gt;"@",RIGHT(H304,1)&lt;&gt;".",LEN(H304)-LEN(SUBSTITUTE(H304,"@",""))=1),"","Email: неверный формат"))</f>
        <v/>
      </c>
      <c r="P304" s="24" t="str">
        <f aca="false">IF(TRIM(I304)="","Телефон не указан",IF(AND(LEN(SUBSTITUTE(SUBSTITUTE(SUBSTITUTE(SUBSTITUTE(SUBSTITUTE(I304," ",""),"-",""),"(",""),")",""),"+",""))=11,OR(LEFT(SUBSTITUTE(SUBSTITUTE(SUBSTITUTE(SUBSTITUTE(SUBSTITUTE(I304," ",""),"-",""),"(",""),")",""),"+",""),1)="7",LEFT(SUBSTITUTE(SUBSTITUTE(SUBSTITUTE(SUBSTITUTE(SUBSTITUTE(I304," ",""),"-",""),"(",""),")",""),"+",""),1)="8"),ISNUMBER(IFERROR(VALUE(SUBSTITUTE(SUBSTITUTE(SUBSTITUTE(SUBSTITUTE(SUBSTITUTE(I304," ",""),"-",""),"(",""),")",""),"+","")),"x"))),"","Телефон: неверный формат"))</f>
        <v/>
      </c>
      <c r="Q304" s="24" t="str">
        <f aca="false">TRIM(IF(TRIM(B304)="","Нет наименования. ","")&amp;IF(TRIM(F304)="","Нет адреса. ","")&amp;IF(TRIM(G304)="","Нет контактного лица.",""))</f>
        <v/>
      </c>
      <c r="R304" s="21" t="n">
        <f aca="false">SUMPRODUCT(--(LEN(K304:Q304)&gt;0))</f>
        <v>0</v>
      </c>
      <c r="S304" s="24" t="str">
        <f aca="false">IF(R304=0,"Готово к передаче","Требует исправления")</f>
        <v>Готово к передаче</v>
      </c>
      <c r="T304" s="24" t="str">
        <f aca="false">IF(R304=0,"",_xlfn.TEXTJOIN("; ",TRUE(),K304:Q304))</f>
        <v/>
      </c>
      <c r="U304" s="24" t="str">
        <f aca="false">IF(R304=0,"","Здравствуйте! В данных организации «"&amp;B304&amp;"» обнаружены ошибки: "&amp;T304&amp;". Просим проверить и прислать исправленную информацию.")</f>
        <v/>
      </c>
      <c r="V304" s="21" t="str">
        <f aca="false">IF(R304&gt;0,COUNTIF($R$2:R304,"&gt;0"),"")</f>
        <v/>
      </c>
      <c r="W304" s="21" t="n">
        <f aca="false">IF(R304=0,COUNTIF($R$2:R304,0),"")</f>
        <v>208</v>
      </c>
    </row>
    <row r="305" customFormat="false" ht="15" hidden="false" customHeight="false" outlineLevel="0" collapsed="false">
      <c r="A305" s="21" t="n">
        <v>304</v>
      </c>
      <c r="B305" s="22" t="s">
        <v>2459</v>
      </c>
      <c r="C305" s="23" t="s">
        <v>2460</v>
      </c>
      <c r="D305" s="23" t="s">
        <v>2461</v>
      </c>
      <c r="E305" s="23" t="s">
        <v>2462</v>
      </c>
      <c r="F305" s="22" t="s">
        <v>2463</v>
      </c>
      <c r="G305" s="22" t="s">
        <v>2464</v>
      </c>
      <c r="H305" s="22" t="s">
        <v>2465</v>
      </c>
      <c r="I305" s="23" t="s">
        <v>2466</v>
      </c>
      <c r="J305" s="24" t="str">
        <f aca="false">IFERROR(VLOOKUP(VALUE(LEFT(C305,2)),Справочники!$A$2:$B$16,2,FALSE()),"не определён")</f>
        <v>Красноярский край</v>
      </c>
      <c r="K305" s="24" t="str">
        <f aca="false">IF(TRIM(C305)="","ИНН не указан",IF(LEN(C305)&lt;&gt;10,"ИНН: должно быть 10 цифр",IF(NOT(ISNUMBER(IFERROR(VALUE(C305),"x"))),"ИНН: есть нецифровые символы",IF(MOD(MOD(SUMPRODUCT(--MID(C305,{1,2,3,4,5,6,7,8,9},1),{2,4,10,3,5,9,4,6,8}),11),10)=VALUE(RIGHT(C305,1)),"","ИНН: неверная контрольная цифра"))))</f>
        <v/>
      </c>
      <c r="L305" s="24" t="str">
        <f aca="false">IF(TRIM(D305)="","ОГРН не указан",IF(LEN(D305)&lt;&gt;13,"ОГРН: должно быть 13 цифр",IF(NOT(ISNUMBER(IFERROR(VALUE(D305),"x"))),"ОГРН: есть нецифровые символы",IF(MOD(VALUE(LEFT(D305,12))-11*INT(VALUE(LEFT(D305,12))/11),10)=VALUE(RIGHT(D305,1)),"","ОГРН: неверная контрольная цифра"))))</f>
        <v/>
      </c>
      <c r="M305" s="24" t="str">
        <f aca="false">IF(TRIM(E305)="","КПП не указан",IF(LEN(E305)&lt;&gt;9,"КПП: должно быть 9 знаков",IF(NOT(AND(ISNUMBER(IFERROR(VALUE(LEFT(E305,4)),"x")),ISNUMBER(IFERROR(VALUE(RIGHT(E305,3)),"x")))),"КПП: неверный формат",IF(LEFT(E305,2)&lt;&gt;LEFT(C305,2),"КПП: код региона не совпадает с ИНН",""))))</f>
        <v/>
      </c>
      <c r="N305" s="24" t="str">
        <f aca="false">IF(TRIM(C305)="","",IF(COUNTIF($C$2:$C$401,C305)&gt;1,"Дубликат ИНН в реестре",""))</f>
        <v/>
      </c>
      <c r="O305" s="24" t="str">
        <f aca="false">IF(TRIM(H305)="","Email не указан",IF(AND(ISNUMBER(FIND("@",H305)),ISNUMBER(FIND(".",H305,IFERROR(FIND("@",H305),1))),ISERROR(FIND(" ",H305)),LEFT(H305,1)&lt;&gt;"@",RIGHT(H305,1)&lt;&gt;".",LEN(H305)-LEN(SUBSTITUTE(H305,"@",""))=1),"","Email: неверный формат"))</f>
        <v/>
      </c>
      <c r="P305" s="24" t="str">
        <f aca="false">IF(TRIM(I305)="","Телефон не указан",IF(AND(LEN(SUBSTITUTE(SUBSTITUTE(SUBSTITUTE(SUBSTITUTE(SUBSTITUTE(I305," ",""),"-",""),"(",""),")",""),"+",""))=11,OR(LEFT(SUBSTITUTE(SUBSTITUTE(SUBSTITUTE(SUBSTITUTE(SUBSTITUTE(I305," ",""),"-",""),"(",""),")",""),"+",""),1)="7",LEFT(SUBSTITUTE(SUBSTITUTE(SUBSTITUTE(SUBSTITUTE(SUBSTITUTE(I305," ",""),"-",""),"(",""),")",""),"+",""),1)="8"),ISNUMBER(IFERROR(VALUE(SUBSTITUTE(SUBSTITUTE(SUBSTITUTE(SUBSTITUTE(SUBSTITUTE(I305," ",""),"-",""),"(",""),")",""),"+","")),"x"))),"","Телефон: неверный формат"))</f>
        <v/>
      </c>
      <c r="Q305" s="24" t="str">
        <f aca="false">TRIM(IF(TRIM(B305)="","Нет наименования. ","")&amp;IF(TRIM(F305)="","Нет адреса. ","")&amp;IF(TRIM(G305)="","Нет контактного лица.",""))</f>
        <v/>
      </c>
      <c r="R305" s="21" t="n">
        <f aca="false">SUMPRODUCT(--(LEN(K305:Q305)&gt;0))</f>
        <v>0</v>
      </c>
      <c r="S305" s="24" t="str">
        <f aca="false">IF(R305=0,"Готово к передаче","Требует исправления")</f>
        <v>Готово к передаче</v>
      </c>
      <c r="T305" s="24" t="str">
        <f aca="false">IF(R305=0,"",_xlfn.TEXTJOIN("; ",TRUE(),K305:Q305))</f>
        <v/>
      </c>
      <c r="U305" s="24" t="str">
        <f aca="false">IF(R305=0,"","Здравствуйте! В данных организации «"&amp;B305&amp;"» обнаружены ошибки: "&amp;T305&amp;". Просим проверить и прислать исправленную информацию.")</f>
        <v/>
      </c>
      <c r="V305" s="21" t="str">
        <f aca="false">IF(R305&gt;0,COUNTIF($R$2:R305,"&gt;0"),"")</f>
        <v/>
      </c>
      <c r="W305" s="21" t="n">
        <f aca="false">IF(R305=0,COUNTIF($R$2:R305,0),"")</f>
        <v>209</v>
      </c>
    </row>
    <row r="306" customFormat="false" ht="15" hidden="false" customHeight="false" outlineLevel="0" collapsed="false">
      <c r="A306" s="21" t="n">
        <v>305</v>
      </c>
      <c r="B306" s="22" t="s">
        <v>2467</v>
      </c>
      <c r="C306" s="23" t="s">
        <v>2468</v>
      </c>
      <c r="D306" s="23" t="s">
        <v>2469</v>
      </c>
      <c r="E306" s="23" t="s">
        <v>2470</v>
      </c>
      <c r="F306" s="22" t="s">
        <v>2471</v>
      </c>
      <c r="G306" s="22"/>
      <c r="H306" s="22" t="s">
        <v>2472</v>
      </c>
      <c r="I306" s="23" t="s">
        <v>2473</v>
      </c>
      <c r="J306" s="24" t="str">
        <f aca="false">IFERROR(VLOOKUP(VALUE(LEFT(C306,2)),Справочники!$A$2:$B$16,2,FALSE()),"не определён")</f>
        <v>Краснодарский край</v>
      </c>
      <c r="K306" s="24" t="str">
        <f aca="false">IF(TRIM(C306)="","ИНН не указан",IF(LEN(C306)&lt;&gt;10,"ИНН: должно быть 10 цифр",IF(NOT(ISNUMBER(IFERROR(VALUE(C306),"x"))),"ИНН: есть нецифровые символы",IF(MOD(MOD(SUMPRODUCT(--MID(C306,{1,2,3,4,5,6,7,8,9},1),{2,4,10,3,5,9,4,6,8}),11),10)=VALUE(RIGHT(C306,1)),"","ИНН: неверная контрольная цифра"))))</f>
        <v/>
      </c>
      <c r="L306" s="24" t="str">
        <f aca="false">IF(TRIM(D306)="","ОГРН не указан",IF(LEN(D306)&lt;&gt;13,"ОГРН: должно быть 13 цифр",IF(NOT(ISNUMBER(IFERROR(VALUE(D306),"x"))),"ОГРН: есть нецифровые символы",IF(MOD(VALUE(LEFT(D306,12))-11*INT(VALUE(LEFT(D306,12))/11),10)=VALUE(RIGHT(D306,1)),"","ОГРН: неверная контрольная цифра"))))</f>
        <v/>
      </c>
      <c r="M306" s="24" t="str">
        <f aca="false">IF(TRIM(E306)="","КПП не указан",IF(LEN(E306)&lt;&gt;9,"КПП: должно быть 9 знаков",IF(NOT(AND(ISNUMBER(IFERROR(VALUE(LEFT(E306,4)),"x")),ISNUMBER(IFERROR(VALUE(RIGHT(E306,3)),"x")))),"КПП: неверный формат",IF(LEFT(E306,2)&lt;&gt;LEFT(C306,2),"КПП: код региона не совпадает с ИНН",""))))</f>
        <v/>
      </c>
      <c r="N306" s="24" t="str">
        <f aca="false">IF(TRIM(C306)="","",IF(COUNTIF($C$2:$C$401,C306)&gt;1,"Дубликат ИНН в реестре",""))</f>
        <v/>
      </c>
      <c r="O306" s="24" t="str">
        <f aca="false">IF(TRIM(H306)="","Email не указан",IF(AND(ISNUMBER(FIND("@",H306)),ISNUMBER(FIND(".",H306,IFERROR(FIND("@",H306),1))),ISERROR(FIND(" ",H306)),LEFT(H306,1)&lt;&gt;"@",RIGHT(H306,1)&lt;&gt;".",LEN(H306)-LEN(SUBSTITUTE(H306,"@",""))=1),"","Email: неверный формат"))</f>
        <v/>
      </c>
      <c r="P306" s="24" t="str">
        <f aca="false">IF(TRIM(I306)="","Телефон не указан",IF(AND(LEN(SUBSTITUTE(SUBSTITUTE(SUBSTITUTE(SUBSTITUTE(SUBSTITUTE(I306," ",""),"-",""),"(",""),")",""),"+",""))=11,OR(LEFT(SUBSTITUTE(SUBSTITUTE(SUBSTITUTE(SUBSTITUTE(SUBSTITUTE(I306," ",""),"-",""),"(",""),")",""),"+",""),1)="7",LEFT(SUBSTITUTE(SUBSTITUTE(SUBSTITUTE(SUBSTITUTE(SUBSTITUTE(I306," ",""),"-",""),"(",""),")",""),"+",""),1)="8"),ISNUMBER(IFERROR(VALUE(SUBSTITUTE(SUBSTITUTE(SUBSTITUTE(SUBSTITUTE(SUBSTITUTE(I306," ",""),"-",""),"(",""),")",""),"+","")),"x"))),"","Телефон: неверный формат"))</f>
        <v/>
      </c>
      <c r="Q306" s="24" t="str">
        <f aca="false">TRIM(IF(TRIM(B306)="","Нет наименования. ","")&amp;IF(TRIM(F306)="","Нет адреса. ","")&amp;IF(TRIM(G306)="","Нет контактного лица.",""))</f>
        <v>Нет контактного лица.</v>
      </c>
      <c r="R306" s="21" t="n">
        <f aca="false">SUMPRODUCT(--(LEN(K306:Q306)&gt;0))</f>
        <v>1</v>
      </c>
      <c r="S306" s="24" t="str">
        <f aca="false">IF(R306=0,"Готово к передаче","Требует исправления")</f>
        <v>Требует исправления</v>
      </c>
      <c r="T306" s="24" t="str">
        <f aca="false">IF(R306=0,"",_xlfn.TEXTJOIN("; ",TRUE(),K306:Q306))</f>
        <v>Нет контактного лица.</v>
      </c>
      <c r="U306" s="24" t="str">
        <f aca="false">IF(R306=0,"","Здравствуйте! В данных организации «"&amp;B306&amp;"» обнаружены ошибки: "&amp;T306&amp;". Просим проверить и прислать исправленную информацию.")</f>
        <v>Здравствуйте! В данных организации «ООО «Атлант Транс»» обнаружены ошибки: Нет контактного лица.. Просим проверить и прислать исправленную информацию.</v>
      </c>
      <c r="V306" s="21" t="n">
        <f aca="false">IF(R306&gt;0,COUNTIF($R$2:R306,"&gt;0"),"")</f>
        <v>96</v>
      </c>
      <c r="W306" s="21" t="str">
        <f aca="false">IF(R306=0,COUNTIF($R$2:R306,0),"")</f>
        <v/>
      </c>
    </row>
    <row r="307" customFormat="false" ht="15" hidden="false" customHeight="false" outlineLevel="0" collapsed="false">
      <c r="A307" s="21" t="n">
        <v>306</v>
      </c>
      <c r="B307" s="22" t="s">
        <v>2474</v>
      </c>
      <c r="C307" s="23" t="s">
        <v>2475</v>
      </c>
      <c r="D307" s="23" t="s">
        <v>2476</v>
      </c>
      <c r="E307" s="23" t="s">
        <v>2477</v>
      </c>
      <c r="F307" s="22" t="s">
        <v>2478</v>
      </c>
      <c r="G307" s="22" t="s">
        <v>2479</v>
      </c>
      <c r="H307" s="22" t="s">
        <v>2480</v>
      </c>
      <c r="I307" s="23" t="s">
        <v>2481</v>
      </c>
      <c r="J307" s="24" t="str">
        <f aca="false">IFERROR(VLOOKUP(VALUE(LEFT(C307,2)),Справочники!$A$2:$B$16,2,FALSE()),"не определён")</f>
        <v>Республика Башкортостан</v>
      </c>
      <c r="K307" s="24" t="str">
        <f aca="false">IF(TRIM(C307)="","ИНН не указан",IF(LEN(C307)&lt;&gt;10,"ИНН: должно быть 10 цифр",IF(NOT(ISNUMBER(IFERROR(VALUE(C307),"x"))),"ИНН: есть нецифровые символы",IF(MOD(MOD(SUMPRODUCT(--MID(C307,{1,2,3,4,5,6,7,8,9},1),{2,4,10,3,5,9,4,6,8}),11),10)=VALUE(RIGHT(C307,1)),"","ИНН: неверная контрольная цифра"))))</f>
        <v/>
      </c>
      <c r="L307" s="24" t="str">
        <f aca="false">IF(TRIM(D307)="","ОГРН не указан",IF(LEN(D307)&lt;&gt;13,"ОГРН: должно быть 13 цифр",IF(NOT(ISNUMBER(IFERROR(VALUE(D307),"x"))),"ОГРН: есть нецифровые символы",IF(MOD(VALUE(LEFT(D307,12))-11*INT(VALUE(LEFT(D307,12))/11),10)=VALUE(RIGHT(D307,1)),"","ОГРН: неверная контрольная цифра"))))</f>
        <v/>
      </c>
      <c r="M307" s="24" t="str">
        <f aca="false">IF(TRIM(E307)="","КПП не указан",IF(LEN(E307)&lt;&gt;9,"КПП: должно быть 9 знаков",IF(NOT(AND(ISNUMBER(IFERROR(VALUE(LEFT(E307,4)),"x")),ISNUMBER(IFERROR(VALUE(RIGHT(E307,3)),"x")))),"КПП: неверный формат",IF(LEFT(E307,2)&lt;&gt;LEFT(C307,2),"КПП: код региона не совпадает с ИНН",""))))</f>
        <v/>
      </c>
      <c r="N307" s="24" t="str">
        <f aca="false">IF(TRIM(C307)="","",IF(COUNTIF($C$2:$C$401,C307)&gt;1,"Дубликат ИНН в реестре",""))</f>
        <v/>
      </c>
      <c r="O307" s="24" t="str">
        <f aca="false">IF(TRIM(H307)="","Email не указан",IF(AND(ISNUMBER(FIND("@",H307)),ISNUMBER(FIND(".",H307,IFERROR(FIND("@",H307),1))),ISERROR(FIND(" ",H307)),LEFT(H307,1)&lt;&gt;"@",RIGHT(H307,1)&lt;&gt;".",LEN(H307)-LEN(SUBSTITUTE(H307,"@",""))=1),"","Email: неверный формат"))</f>
        <v/>
      </c>
      <c r="P307" s="24" t="str">
        <f aca="false">IF(TRIM(I307)="","Телефон не указан",IF(AND(LEN(SUBSTITUTE(SUBSTITUTE(SUBSTITUTE(SUBSTITUTE(SUBSTITUTE(I307," ",""),"-",""),"(",""),")",""),"+",""))=11,OR(LEFT(SUBSTITUTE(SUBSTITUTE(SUBSTITUTE(SUBSTITUTE(SUBSTITUTE(I307," ",""),"-",""),"(",""),")",""),"+",""),1)="7",LEFT(SUBSTITUTE(SUBSTITUTE(SUBSTITUTE(SUBSTITUTE(SUBSTITUTE(I307," ",""),"-",""),"(",""),")",""),"+",""),1)="8"),ISNUMBER(IFERROR(VALUE(SUBSTITUTE(SUBSTITUTE(SUBSTITUTE(SUBSTITUTE(SUBSTITUTE(I307," ",""),"-",""),"(",""),")",""),"+","")),"x"))),"","Телефон: неверный формат"))</f>
        <v/>
      </c>
      <c r="Q307" s="24" t="str">
        <f aca="false">TRIM(IF(TRIM(B307)="","Нет наименования. ","")&amp;IF(TRIM(F307)="","Нет адреса. ","")&amp;IF(TRIM(G307)="","Нет контактного лица.",""))</f>
        <v/>
      </c>
      <c r="R307" s="21" t="n">
        <f aca="false">SUMPRODUCT(--(LEN(K307:Q307)&gt;0))</f>
        <v>0</v>
      </c>
      <c r="S307" s="24" t="str">
        <f aca="false">IF(R307=0,"Готово к передаче","Требует исправления")</f>
        <v>Готово к передаче</v>
      </c>
      <c r="T307" s="24" t="str">
        <f aca="false">IF(R307=0,"",_xlfn.TEXTJOIN("; ",TRUE(),K307:Q307))</f>
        <v/>
      </c>
      <c r="U307" s="24" t="str">
        <f aca="false">IF(R307=0,"","Здравствуйте! В данных организации «"&amp;B307&amp;"» обнаружены ошибки: "&amp;T307&amp;". Просим проверить и прислать исправленную информацию.")</f>
        <v/>
      </c>
      <c r="V307" s="21" t="str">
        <f aca="false">IF(R307&gt;0,COUNTIF($R$2:R307,"&gt;0"),"")</f>
        <v/>
      </c>
      <c r="W307" s="21" t="n">
        <f aca="false">IF(R307=0,COUNTIF($R$2:R307,0),"")</f>
        <v>210</v>
      </c>
    </row>
    <row r="308" customFormat="false" ht="15" hidden="false" customHeight="false" outlineLevel="0" collapsed="false">
      <c r="A308" s="21" t="n">
        <v>307</v>
      </c>
      <c r="B308" s="22" t="s">
        <v>2482</v>
      </c>
      <c r="C308" s="23" t="s">
        <v>2483</v>
      </c>
      <c r="D308" s="23" t="s">
        <v>2484</v>
      </c>
      <c r="E308" s="23" t="s">
        <v>2485</v>
      </c>
      <c r="F308" s="22" t="s">
        <v>2486</v>
      </c>
      <c r="G308" s="22" t="s">
        <v>2487</v>
      </c>
      <c r="H308" s="22" t="s">
        <v>2488</v>
      </c>
      <c r="I308" s="23" t="s">
        <v>2489</v>
      </c>
      <c r="J308" s="24" t="str">
        <f aca="false">IFERROR(VLOOKUP(VALUE(LEFT(C308,2)),Справочники!$A$2:$B$16,2,FALSE()),"не определён")</f>
        <v>Свердловская область</v>
      </c>
      <c r="K308" s="24" t="str">
        <f aca="false">IF(TRIM(C308)="","ИНН не указан",IF(LEN(C308)&lt;&gt;10,"ИНН: должно быть 10 цифр",IF(NOT(ISNUMBER(IFERROR(VALUE(C308),"x"))),"ИНН: есть нецифровые символы",IF(MOD(MOD(SUMPRODUCT(--MID(C308,{1,2,3,4,5,6,7,8,9},1),{2,4,10,3,5,9,4,6,8}),11),10)=VALUE(RIGHT(C308,1)),"","ИНН: неверная контрольная цифра"))))</f>
        <v/>
      </c>
      <c r="L308" s="24" t="str">
        <f aca="false">IF(TRIM(D308)="","ОГРН не указан",IF(LEN(D308)&lt;&gt;13,"ОГРН: должно быть 13 цифр",IF(NOT(ISNUMBER(IFERROR(VALUE(D308),"x"))),"ОГРН: есть нецифровые символы",IF(MOD(VALUE(LEFT(D308,12))-11*INT(VALUE(LEFT(D308,12))/11),10)=VALUE(RIGHT(D308,1)),"","ОГРН: неверная контрольная цифра"))))</f>
        <v/>
      </c>
      <c r="M308" s="24" t="str">
        <f aca="false">IF(TRIM(E308)="","КПП не указан",IF(LEN(E308)&lt;&gt;9,"КПП: должно быть 9 знаков",IF(NOT(AND(ISNUMBER(IFERROR(VALUE(LEFT(E308,4)),"x")),ISNUMBER(IFERROR(VALUE(RIGHT(E308,3)),"x")))),"КПП: неверный формат",IF(LEFT(E308,2)&lt;&gt;LEFT(C308,2),"КПП: код региона не совпадает с ИНН",""))))</f>
        <v/>
      </c>
      <c r="N308" s="24" t="str">
        <f aca="false">IF(TRIM(C308)="","",IF(COUNTIF($C$2:$C$401,C308)&gt;1,"Дубликат ИНН в реестре",""))</f>
        <v/>
      </c>
      <c r="O308" s="24" t="str">
        <f aca="false">IF(TRIM(H308)="","Email не указан",IF(AND(ISNUMBER(FIND("@",H308)),ISNUMBER(FIND(".",H308,IFERROR(FIND("@",H308),1))),ISERROR(FIND(" ",H308)),LEFT(H308,1)&lt;&gt;"@",RIGHT(H308,1)&lt;&gt;".",LEN(H308)-LEN(SUBSTITUTE(H308,"@",""))=1),"","Email: неверный формат"))</f>
        <v/>
      </c>
      <c r="P308" s="24" t="str">
        <f aca="false">IF(TRIM(I308)="","Телефон не указан",IF(AND(LEN(SUBSTITUTE(SUBSTITUTE(SUBSTITUTE(SUBSTITUTE(SUBSTITUTE(I308," ",""),"-",""),"(",""),")",""),"+",""))=11,OR(LEFT(SUBSTITUTE(SUBSTITUTE(SUBSTITUTE(SUBSTITUTE(SUBSTITUTE(I308," ",""),"-",""),"(",""),")",""),"+",""),1)="7",LEFT(SUBSTITUTE(SUBSTITUTE(SUBSTITUTE(SUBSTITUTE(SUBSTITUTE(I308," ",""),"-",""),"(",""),")",""),"+",""),1)="8"),ISNUMBER(IFERROR(VALUE(SUBSTITUTE(SUBSTITUTE(SUBSTITUTE(SUBSTITUTE(SUBSTITUTE(I308," ",""),"-",""),"(",""),")",""),"+","")),"x"))),"","Телефон: неверный формат"))</f>
        <v/>
      </c>
      <c r="Q308" s="24" t="str">
        <f aca="false">TRIM(IF(TRIM(B308)="","Нет наименования. ","")&amp;IF(TRIM(F308)="","Нет адреса. ","")&amp;IF(TRIM(G308)="","Нет контактного лица.",""))</f>
        <v/>
      </c>
      <c r="R308" s="21" t="n">
        <f aca="false">SUMPRODUCT(--(LEN(K308:Q308)&gt;0))</f>
        <v>0</v>
      </c>
      <c r="S308" s="24" t="str">
        <f aca="false">IF(R308=0,"Готово к передаче","Требует исправления")</f>
        <v>Готово к передаче</v>
      </c>
      <c r="T308" s="24" t="str">
        <f aca="false">IF(R308=0,"",_xlfn.TEXTJOIN("; ",TRUE(),K308:Q308))</f>
        <v/>
      </c>
      <c r="U308" s="24" t="str">
        <f aca="false">IF(R308=0,"","Здравствуйте! В данных организации «"&amp;B308&amp;"» обнаружены ошибки: "&amp;T308&amp;". Просим проверить и прислать исправленную информацию.")</f>
        <v/>
      </c>
      <c r="V308" s="21" t="str">
        <f aca="false">IF(R308&gt;0,COUNTIF($R$2:R308,"&gt;0"),"")</f>
        <v/>
      </c>
      <c r="W308" s="21" t="n">
        <f aca="false">IF(R308=0,COUNTIF($R$2:R308,0),"")</f>
        <v>211</v>
      </c>
    </row>
    <row r="309" customFormat="false" ht="15" hidden="false" customHeight="false" outlineLevel="0" collapsed="false">
      <c r="A309" s="21" t="n">
        <v>308</v>
      </c>
      <c r="B309" s="22" t="s">
        <v>2490</v>
      </c>
      <c r="C309" s="23" t="s">
        <v>2491</v>
      </c>
      <c r="D309" s="23" t="s">
        <v>2492</v>
      </c>
      <c r="E309" s="23" t="s">
        <v>2493</v>
      </c>
      <c r="F309" s="22" t="s">
        <v>2494</v>
      </c>
      <c r="G309" s="22" t="s">
        <v>2495</v>
      </c>
      <c r="H309" s="22" t="s">
        <v>2496</v>
      </c>
      <c r="I309" s="23" t="s">
        <v>2497</v>
      </c>
      <c r="J309" s="24" t="str">
        <f aca="false">IFERROR(VLOOKUP(VALUE(LEFT(C309,2)),Справочники!$A$2:$B$16,2,FALSE()),"не определён")</f>
        <v>г. Севастополь</v>
      </c>
      <c r="K309" s="24" t="str">
        <f aca="false">IF(TRIM(C309)="","ИНН не указан",IF(LEN(C309)&lt;&gt;10,"ИНН: должно быть 10 цифр",IF(NOT(ISNUMBER(IFERROR(VALUE(C309),"x"))),"ИНН: есть нецифровые символы",IF(MOD(MOD(SUMPRODUCT(--MID(C309,{1,2,3,4,5,6,7,8,9},1),{2,4,10,3,5,9,4,6,8}),11),10)=VALUE(RIGHT(C309,1)),"","ИНН: неверная контрольная цифра"))))</f>
        <v/>
      </c>
      <c r="L309" s="24" t="str">
        <f aca="false">IF(TRIM(D309)="","ОГРН не указан",IF(LEN(D309)&lt;&gt;13,"ОГРН: должно быть 13 цифр",IF(NOT(ISNUMBER(IFERROR(VALUE(D309),"x"))),"ОГРН: есть нецифровые символы",IF(MOD(VALUE(LEFT(D309,12))-11*INT(VALUE(LEFT(D309,12))/11),10)=VALUE(RIGHT(D309,1)),"","ОГРН: неверная контрольная цифра"))))</f>
        <v/>
      </c>
      <c r="M309" s="24" t="str">
        <f aca="false">IF(TRIM(E309)="","КПП не указан",IF(LEN(E309)&lt;&gt;9,"КПП: должно быть 9 знаков",IF(NOT(AND(ISNUMBER(IFERROR(VALUE(LEFT(E309,4)),"x")),ISNUMBER(IFERROR(VALUE(RIGHT(E309,3)),"x")))),"КПП: неверный формат",IF(LEFT(E309,2)&lt;&gt;LEFT(C309,2),"КПП: код региона не совпадает с ИНН",""))))</f>
        <v/>
      </c>
      <c r="N309" s="24" t="str">
        <f aca="false">IF(TRIM(C309)="","",IF(COUNTIF($C$2:$C$401,C309)&gt;1,"Дубликат ИНН в реестре",""))</f>
        <v/>
      </c>
      <c r="O309" s="24" t="str">
        <f aca="false">IF(TRIM(H309)="","Email не указан",IF(AND(ISNUMBER(FIND("@",H309)),ISNUMBER(FIND(".",H309,IFERROR(FIND("@",H309),1))),ISERROR(FIND(" ",H309)),LEFT(H309,1)&lt;&gt;"@",RIGHT(H309,1)&lt;&gt;".",LEN(H309)-LEN(SUBSTITUTE(H309,"@",""))=1),"","Email: неверный формат"))</f>
        <v/>
      </c>
      <c r="P309" s="24" t="str">
        <f aca="false">IF(TRIM(I309)="","Телефон не указан",IF(AND(LEN(SUBSTITUTE(SUBSTITUTE(SUBSTITUTE(SUBSTITUTE(SUBSTITUTE(I309," ",""),"-",""),"(",""),")",""),"+",""))=11,OR(LEFT(SUBSTITUTE(SUBSTITUTE(SUBSTITUTE(SUBSTITUTE(SUBSTITUTE(I309," ",""),"-",""),"(",""),")",""),"+",""),1)="7",LEFT(SUBSTITUTE(SUBSTITUTE(SUBSTITUTE(SUBSTITUTE(SUBSTITUTE(I309," ",""),"-",""),"(",""),")",""),"+",""),1)="8"),ISNUMBER(IFERROR(VALUE(SUBSTITUTE(SUBSTITUTE(SUBSTITUTE(SUBSTITUTE(SUBSTITUTE(I309," ",""),"-",""),"(",""),")",""),"+","")),"x"))),"","Телефон: неверный формат"))</f>
        <v/>
      </c>
      <c r="Q309" s="24" t="str">
        <f aca="false">TRIM(IF(TRIM(B309)="","Нет наименования. ","")&amp;IF(TRIM(F309)="","Нет адреса. ","")&amp;IF(TRIM(G309)="","Нет контактного лица.",""))</f>
        <v/>
      </c>
      <c r="R309" s="21" t="n">
        <f aca="false">SUMPRODUCT(--(LEN(K309:Q309)&gt;0))</f>
        <v>0</v>
      </c>
      <c r="S309" s="24" t="str">
        <f aca="false">IF(R309=0,"Готово к передаче","Требует исправления")</f>
        <v>Готово к передаче</v>
      </c>
      <c r="T309" s="24" t="str">
        <f aca="false">IF(R309=0,"",_xlfn.TEXTJOIN("; ",TRUE(),K309:Q309))</f>
        <v/>
      </c>
      <c r="U309" s="24" t="str">
        <f aca="false">IF(R309=0,"","Здравствуйте! В данных организации «"&amp;B309&amp;"» обнаружены ошибки: "&amp;T309&amp;". Просим проверить и прислать исправленную информацию.")</f>
        <v/>
      </c>
      <c r="V309" s="21" t="str">
        <f aca="false">IF(R309&gt;0,COUNTIF($R$2:R309,"&gt;0"),"")</f>
        <v/>
      </c>
      <c r="W309" s="21" t="n">
        <f aca="false">IF(R309=0,COUNTIF($R$2:R309,0),"")</f>
        <v>212</v>
      </c>
    </row>
    <row r="310" customFormat="false" ht="15" hidden="false" customHeight="false" outlineLevel="0" collapsed="false">
      <c r="A310" s="21" t="n">
        <v>309</v>
      </c>
      <c r="B310" s="22" t="s">
        <v>2498</v>
      </c>
      <c r="C310" s="23" t="s">
        <v>2499</v>
      </c>
      <c r="D310" s="23" t="s">
        <v>2500</v>
      </c>
      <c r="E310" s="23" t="s">
        <v>2470</v>
      </c>
      <c r="F310" s="22" t="s">
        <v>2501</v>
      </c>
      <c r="G310" s="22" t="s">
        <v>2502</v>
      </c>
      <c r="H310" s="22" t="s">
        <v>2503</v>
      </c>
      <c r="I310" s="23" t="s">
        <v>2504</v>
      </c>
      <c r="J310" s="24" t="str">
        <f aca="false">IFERROR(VLOOKUP(VALUE(LEFT(C310,2)),Справочники!$A$2:$B$16,2,FALSE()),"не определён")</f>
        <v>Краснодарский край</v>
      </c>
      <c r="K310" s="24" t="str">
        <f aca="false">IF(TRIM(C310)="","ИНН не указан",IF(LEN(C310)&lt;&gt;10,"ИНН: должно быть 10 цифр",IF(NOT(ISNUMBER(IFERROR(VALUE(C310),"x"))),"ИНН: есть нецифровые символы",IF(MOD(MOD(SUMPRODUCT(--MID(C310,{1,2,3,4,5,6,7,8,9},1),{2,4,10,3,5,9,4,6,8}),11),10)=VALUE(RIGHT(C310,1)),"","ИНН: неверная контрольная цифра"))))</f>
        <v/>
      </c>
      <c r="L310" s="24" t="str">
        <f aca="false">IF(TRIM(D310)="","ОГРН не указан",IF(LEN(D310)&lt;&gt;13,"ОГРН: должно быть 13 цифр",IF(NOT(ISNUMBER(IFERROR(VALUE(D310),"x"))),"ОГРН: есть нецифровые символы",IF(MOD(VALUE(LEFT(D310,12))-11*INT(VALUE(LEFT(D310,12))/11),10)=VALUE(RIGHT(D310,1)),"","ОГРН: неверная контрольная цифра"))))</f>
        <v/>
      </c>
      <c r="M310" s="24" t="str">
        <f aca="false">IF(TRIM(E310)="","КПП не указан",IF(LEN(E310)&lt;&gt;9,"КПП: должно быть 9 знаков",IF(NOT(AND(ISNUMBER(IFERROR(VALUE(LEFT(E310,4)),"x")),ISNUMBER(IFERROR(VALUE(RIGHT(E310,3)),"x")))),"КПП: неверный формат",IF(LEFT(E310,2)&lt;&gt;LEFT(C310,2),"КПП: код региона не совпадает с ИНН",""))))</f>
        <v/>
      </c>
      <c r="N310" s="24" t="str">
        <f aca="false">IF(TRIM(C310)="","",IF(COUNTIF($C$2:$C$401,C310)&gt;1,"Дубликат ИНН в реестре",""))</f>
        <v/>
      </c>
      <c r="O310" s="24" t="str">
        <f aca="false">IF(TRIM(H310)="","Email не указан",IF(AND(ISNUMBER(FIND("@",H310)),ISNUMBER(FIND(".",H310,IFERROR(FIND("@",H310),1))),ISERROR(FIND(" ",H310)),LEFT(H310,1)&lt;&gt;"@",RIGHT(H310,1)&lt;&gt;".",LEN(H310)-LEN(SUBSTITUTE(H310,"@",""))=1),"","Email: неверный формат"))</f>
        <v/>
      </c>
      <c r="P310" s="24" t="str">
        <f aca="false">IF(TRIM(I310)="","Телефон не указан",IF(AND(LEN(SUBSTITUTE(SUBSTITUTE(SUBSTITUTE(SUBSTITUTE(SUBSTITUTE(I310," ",""),"-",""),"(",""),")",""),"+",""))=11,OR(LEFT(SUBSTITUTE(SUBSTITUTE(SUBSTITUTE(SUBSTITUTE(SUBSTITUTE(I310," ",""),"-",""),"(",""),")",""),"+",""),1)="7",LEFT(SUBSTITUTE(SUBSTITUTE(SUBSTITUTE(SUBSTITUTE(SUBSTITUTE(I310," ",""),"-",""),"(",""),")",""),"+",""),1)="8"),ISNUMBER(IFERROR(VALUE(SUBSTITUTE(SUBSTITUTE(SUBSTITUTE(SUBSTITUTE(SUBSTITUTE(I310," ",""),"-",""),"(",""),")",""),"+","")),"x"))),"","Телефон: неверный формат"))</f>
        <v/>
      </c>
      <c r="Q310" s="24" t="str">
        <f aca="false">TRIM(IF(TRIM(B310)="","Нет наименования. ","")&amp;IF(TRIM(F310)="","Нет адреса. ","")&amp;IF(TRIM(G310)="","Нет контактного лица.",""))</f>
        <v/>
      </c>
      <c r="R310" s="21" t="n">
        <f aca="false">SUMPRODUCT(--(LEN(K310:Q310)&gt;0))</f>
        <v>0</v>
      </c>
      <c r="S310" s="24" t="str">
        <f aca="false">IF(R310=0,"Готово к передаче","Требует исправления")</f>
        <v>Готово к передаче</v>
      </c>
      <c r="T310" s="24" t="str">
        <f aca="false">IF(R310=0,"",_xlfn.TEXTJOIN("; ",TRUE(),K310:Q310))</f>
        <v/>
      </c>
      <c r="U310" s="24" t="str">
        <f aca="false">IF(R310=0,"","Здравствуйте! В данных организации «"&amp;B310&amp;"» обнаружены ошибки: "&amp;T310&amp;". Просим проверить и прислать исправленную информацию.")</f>
        <v/>
      </c>
      <c r="V310" s="21" t="str">
        <f aca="false">IF(R310&gt;0,COUNTIF($R$2:R310,"&gt;0"),"")</f>
        <v/>
      </c>
      <c r="W310" s="21" t="n">
        <f aca="false">IF(R310=0,COUNTIF($R$2:R310,0),"")</f>
        <v>213</v>
      </c>
    </row>
    <row r="311" customFormat="false" ht="15" hidden="false" customHeight="false" outlineLevel="0" collapsed="false">
      <c r="A311" s="21" t="n">
        <v>310</v>
      </c>
      <c r="B311" s="22" t="s">
        <v>2505</v>
      </c>
      <c r="C311" s="23" t="s">
        <v>2506</v>
      </c>
      <c r="D311" s="23" t="s">
        <v>2507</v>
      </c>
      <c r="E311" s="23" t="s">
        <v>2508</v>
      </c>
      <c r="F311" s="22" t="s">
        <v>2509</v>
      </c>
      <c r="G311" s="22" t="s">
        <v>2510</v>
      </c>
      <c r="H311" s="22" t="s">
        <v>2511</v>
      </c>
      <c r="I311" s="23" t="s">
        <v>2512</v>
      </c>
      <c r="J311" s="24" t="str">
        <f aca="false">IFERROR(VLOOKUP(VALUE(LEFT(C311,2)),Справочники!$A$2:$B$16,2,FALSE()),"не определён")</f>
        <v>г. Москва</v>
      </c>
      <c r="K311" s="24" t="str">
        <f aca="false">IF(TRIM(C311)="","ИНН не указан",IF(LEN(C311)&lt;&gt;10,"ИНН: должно быть 10 цифр",IF(NOT(ISNUMBER(IFERROR(VALUE(C311),"x"))),"ИНН: есть нецифровые символы",IF(MOD(MOD(SUMPRODUCT(--MID(C311,{1,2,3,4,5,6,7,8,9},1),{2,4,10,3,5,9,4,6,8}),11),10)=VALUE(RIGHT(C311,1)),"","ИНН: неверная контрольная цифра"))))</f>
        <v/>
      </c>
      <c r="L311" s="24" t="str">
        <f aca="false">IF(TRIM(D311)="","ОГРН не указан",IF(LEN(D311)&lt;&gt;13,"ОГРН: должно быть 13 цифр",IF(NOT(ISNUMBER(IFERROR(VALUE(D311),"x"))),"ОГРН: есть нецифровые символы",IF(MOD(VALUE(LEFT(D311,12))-11*INT(VALUE(LEFT(D311,12))/11),10)=VALUE(RIGHT(D311,1)),"","ОГРН: неверная контрольная цифра"))))</f>
        <v/>
      </c>
      <c r="M311" s="24" t="str">
        <f aca="false">IF(TRIM(E311)="","КПП не указан",IF(LEN(E311)&lt;&gt;9,"КПП: должно быть 9 знаков",IF(NOT(AND(ISNUMBER(IFERROR(VALUE(LEFT(E311,4)),"x")),ISNUMBER(IFERROR(VALUE(RIGHT(E311,3)),"x")))),"КПП: неверный формат",IF(LEFT(E311,2)&lt;&gt;LEFT(C311,2),"КПП: код региона не совпадает с ИНН",""))))</f>
        <v/>
      </c>
      <c r="N311" s="24" t="str">
        <f aca="false">IF(TRIM(C311)="","",IF(COUNTIF($C$2:$C$401,C311)&gt;1,"Дубликат ИНН в реестре",""))</f>
        <v/>
      </c>
      <c r="O311" s="24" t="str">
        <f aca="false">IF(TRIM(H311)="","Email не указан",IF(AND(ISNUMBER(FIND("@",H311)),ISNUMBER(FIND(".",H311,IFERROR(FIND("@",H311),1))),ISERROR(FIND(" ",H311)),LEFT(H311,1)&lt;&gt;"@",RIGHT(H311,1)&lt;&gt;".",LEN(H311)-LEN(SUBSTITUTE(H311,"@",""))=1),"","Email: неверный формат"))</f>
        <v/>
      </c>
      <c r="P311" s="24" t="str">
        <f aca="false">IF(TRIM(I311)="","Телефон не указан",IF(AND(LEN(SUBSTITUTE(SUBSTITUTE(SUBSTITUTE(SUBSTITUTE(SUBSTITUTE(I311," ",""),"-",""),"(",""),")",""),"+",""))=11,OR(LEFT(SUBSTITUTE(SUBSTITUTE(SUBSTITUTE(SUBSTITUTE(SUBSTITUTE(I311," ",""),"-",""),"(",""),")",""),"+",""),1)="7",LEFT(SUBSTITUTE(SUBSTITUTE(SUBSTITUTE(SUBSTITUTE(SUBSTITUTE(I311," ",""),"-",""),"(",""),")",""),"+",""),1)="8"),ISNUMBER(IFERROR(VALUE(SUBSTITUTE(SUBSTITUTE(SUBSTITUTE(SUBSTITUTE(SUBSTITUTE(I311," ",""),"-",""),"(",""),")",""),"+","")),"x"))),"","Телефон: неверный формат"))</f>
        <v/>
      </c>
      <c r="Q311" s="24" t="str">
        <f aca="false">TRIM(IF(TRIM(B311)="","Нет наименования. ","")&amp;IF(TRIM(F311)="","Нет адреса. ","")&amp;IF(TRIM(G311)="","Нет контактного лица.",""))</f>
        <v/>
      </c>
      <c r="R311" s="21" t="n">
        <f aca="false">SUMPRODUCT(--(LEN(K311:Q311)&gt;0))</f>
        <v>0</v>
      </c>
      <c r="S311" s="24" t="str">
        <f aca="false">IF(R311=0,"Готово к передаче","Требует исправления")</f>
        <v>Готово к передаче</v>
      </c>
      <c r="T311" s="24" t="str">
        <f aca="false">IF(R311=0,"",_xlfn.TEXTJOIN("; ",TRUE(),K311:Q311))</f>
        <v/>
      </c>
      <c r="U311" s="24" t="str">
        <f aca="false">IF(R311=0,"","Здравствуйте! В данных организации «"&amp;B311&amp;"» обнаружены ошибки: "&amp;T311&amp;". Просим проверить и прислать исправленную информацию.")</f>
        <v/>
      </c>
      <c r="V311" s="21" t="str">
        <f aca="false">IF(R311&gt;0,COUNTIF($R$2:R311,"&gt;0"),"")</f>
        <v/>
      </c>
      <c r="W311" s="21" t="n">
        <f aca="false">IF(R311=0,COUNTIF($R$2:R311,0),"")</f>
        <v>214</v>
      </c>
    </row>
    <row r="312" customFormat="false" ht="15" hidden="false" customHeight="false" outlineLevel="0" collapsed="false">
      <c r="A312" s="21" t="n">
        <v>311</v>
      </c>
      <c r="B312" s="22" t="s">
        <v>2513</v>
      </c>
      <c r="C312" s="23" t="s">
        <v>2514</v>
      </c>
      <c r="D312" s="23" t="s">
        <v>2515</v>
      </c>
      <c r="E312" s="23" t="s">
        <v>2516</v>
      </c>
      <c r="F312" s="22" t="s">
        <v>2517</v>
      </c>
      <c r="G312" s="22" t="s">
        <v>2518</v>
      </c>
      <c r="H312" s="22" t="s">
        <v>2519</v>
      </c>
      <c r="I312" s="23" t="s">
        <v>2520</v>
      </c>
      <c r="J312" s="24" t="str">
        <f aca="false">IFERROR(VLOOKUP(VALUE(LEFT(C312,2)),Справочники!$A$2:$B$16,2,FALSE()),"не определён")</f>
        <v>Краснодарский край</v>
      </c>
      <c r="K312" s="24" t="str">
        <f aca="false">IF(TRIM(C312)="","ИНН не указан",IF(LEN(C312)&lt;&gt;10,"ИНН: должно быть 10 цифр",IF(NOT(ISNUMBER(IFERROR(VALUE(C312),"x"))),"ИНН: есть нецифровые символы",IF(MOD(MOD(SUMPRODUCT(--MID(C312,{1,2,3,4,5,6,7,8,9},1),{2,4,10,3,5,9,4,6,8}),11),10)=VALUE(RIGHT(C312,1)),"","ИНН: неверная контрольная цифра"))))</f>
        <v/>
      </c>
      <c r="L312" s="24" t="str">
        <f aca="false">IF(TRIM(D312)="","ОГРН не указан",IF(LEN(D312)&lt;&gt;13,"ОГРН: должно быть 13 цифр",IF(NOT(ISNUMBER(IFERROR(VALUE(D312),"x"))),"ОГРН: есть нецифровые символы",IF(MOD(VALUE(LEFT(D312,12))-11*INT(VALUE(LEFT(D312,12))/11),10)=VALUE(RIGHT(D312,1)),"","ОГРН: неверная контрольная цифра"))))</f>
        <v/>
      </c>
      <c r="M312" s="24" t="str">
        <f aca="false">IF(TRIM(E312)="","КПП не указан",IF(LEN(E312)&lt;&gt;9,"КПП: должно быть 9 знаков",IF(NOT(AND(ISNUMBER(IFERROR(VALUE(LEFT(E312,4)),"x")),ISNUMBER(IFERROR(VALUE(RIGHT(E312,3)),"x")))),"КПП: неверный формат",IF(LEFT(E312,2)&lt;&gt;LEFT(C312,2),"КПП: код региона не совпадает с ИНН",""))))</f>
        <v/>
      </c>
      <c r="N312" s="24" t="str">
        <f aca="false">IF(TRIM(C312)="","",IF(COUNTIF($C$2:$C$401,C312)&gt;1,"Дубликат ИНН в реестре",""))</f>
        <v/>
      </c>
      <c r="O312" s="24" t="str">
        <f aca="false">IF(TRIM(H312)="","Email не указан",IF(AND(ISNUMBER(FIND("@",H312)),ISNUMBER(FIND(".",H312,IFERROR(FIND("@",H312),1))),ISERROR(FIND(" ",H312)),LEFT(H312,1)&lt;&gt;"@",RIGHT(H312,1)&lt;&gt;".",LEN(H312)-LEN(SUBSTITUTE(H312,"@",""))=1),"","Email: неверный формат"))</f>
        <v/>
      </c>
      <c r="P312" s="24" t="str">
        <f aca="false">IF(TRIM(I312)="","Телефон не указан",IF(AND(LEN(SUBSTITUTE(SUBSTITUTE(SUBSTITUTE(SUBSTITUTE(SUBSTITUTE(I312," ",""),"-",""),"(",""),")",""),"+",""))=11,OR(LEFT(SUBSTITUTE(SUBSTITUTE(SUBSTITUTE(SUBSTITUTE(SUBSTITUTE(I312," ",""),"-",""),"(",""),")",""),"+",""),1)="7",LEFT(SUBSTITUTE(SUBSTITUTE(SUBSTITUTE(SUBSTITUTE(SUBSTITUTE(I312," ",""),"-",""),"(",""),")",""),"+",""),1)="8"),ISNUMBER(IFERROR(VALUE(SUBSTITUTE(SUBSTITUTE(SUBSTITUTE(SUBSTITUTE(SUBSTITUTE(I312," ",""),"-",""),"(",""),")",""),"+","")),"x"))),"","Телефон: неверный формат"))</f>
        <v/>
      </c>
      <c r="Q312" s="24" t="str">
        <f aca="false">TRIM(IF(TRIM(B312)="","Нет наименования. ","")&amp;IF(TRIM(F312)="","Нет адреса. ","")&amp;IF(TRIM(G312)="","Нет контактного лица.",""))</f>
        <v/>
      </c>
      <c r="R312" s="21" t="n">
        <f aca="false">SUMPRODUCT(--(LEN(K312:Q312)&gt;0))</f>
        <v>0</v>
      </c>
      <c r="S312" s="24" t="str">
        <f aca="false">IF(R312=0,"Готово к передаче","Требует исправления")</f>
        <v>Готово к передаче</v>
      </c>
      <c r="T312" s="24" t="str">
        <f aca="false">IF(R312=0,"",_xlfn.TEXTJOIN("; ",TRUE(),K312:Q312))</f>
        <v/>
      </c>
      <c r="U312" s="24" t="str">
        <f aca="false">IF(R312=0,"","Здравствуйте! В данных организации «"&amp;B312&amp;"» обнаружены ошибки: "&amp;T312&amp;". Просим проверить и прислать исправленную информацию.")</f>
        <v/>
      </c>
      <c r="V312" s="21" t="str">
        <f aca="false">IF(R312&gt;0,COUNTIF($R$2:R312,"&gt;0"),"")</f>
        <v/>
      </c>
      <c r="W312" s="21" t="n">
        <f aca="false">IF(R312=0,COUNTIF($R$2:R312,0),"")</f>
        <v>215</v>
      </c>
    </row>
    <row r="313" customFormat="false" ht="15" hidden="false" customHeight="false" outlineLevel="0" collapsed="false">
      <c r="A313" s="21" t="n">
        <v>312</v>
      </c>
      <c r="B313" s="22" t="s">
        <v>2521</v>
      </c>
      <c r="C313" s="23" t="s">
        <v>2522</v>
      </c>
      <c r="D313" s="23" t="s">
        <v>2523</v>
      </c>
      <c r="E313" s="23" t="s">
        <v>2524</v>
      </c>
      <c r="F313" s="22" t="s">
        <v>2525</v>
      </c>
      <c r="G313" s="22" t="s">
        <v>2526</v>
      </c>
      <c r="H313" s="22" t="s">
        <v>2527</v>
      </c>
      <c r="I313" s="23" t="s">
        <v>2528</v>
      </c>
      <c r="J313" s="24" t="str">
        <f aca="false">IFERROR(VLOOKUP(VALUE(LEFT(C313,2)),Справочники!$A$2:$B$16,2,FALSE()),"не определён")</f>
        <v>Ростовская область</v>
      </c>
      <c r="K313" s="24" t="str">
        <f aca="false">IF(TRIM(C313)="","ИНН не указан",IF(LEN(C313)&lt;&gt;10,"ИНН: должно быть 10 цифр",IF(NOT(ISNUMBER(IFERROR(VALUE(C313),"x"))),"ИНН: есть нецифровые символы",IF(MOD(MOD(SUMPRODUCT(--MID(C313,{1,2,3,4,5,6,7,8,9},1),{2,4,10,3,5,9,4,6,8}),11),10)=VALUE(RIGHT(C313,1)),"","ИНН: неверная контрольная цифра"))))</f>
        <v/>
      </c>
      <c r="L313" s="24" t="str">
        <f aca="false">IF(TRIM(D313)="","ОГРН не указан",IF(LEN(D313)&lt;&gt;13,"ОГРН: должно быть 13 цифр",IF(NOT(ISNUMBER(IFERROR(VALUE(D313),"x"))),"ОГРН: есть нецифровые символы",IF(MOD(VALUE(LEFT(D313,12))-11*INT(VALUE(LEFT(D313,12))/11),10)=VALUE(RIGHT(D313,1)),"","ОГРН: неверная контрольная цифра"))))</f>
        <v/>
      </c>
      <c r="M313" s="24" t="str">
        <f aca="false">IF(TRIM(E313)="","КПП не указан",IF(LEN(E313)&lt;&gt;9,"КПП: должно быть 9 знаков",IF(NOT(AND(ISNUMBER(IFERROR(VALUE(LEFT(E313,4)),"x")),ISNUMBER(IFERROR(VALUE(RIGHT(E313,3)),"x")))),"КПП: неверный формат",IF(LEFT(E313,2)&lt;&gt;LEFT(C313,2),"КПП: код региона не совпадает с ИНН",""))))</f>
        <v/>
      </c>
      <c r="N313" s="24" t="str">
        <f aca="false">IF(TRIM(C313)="","",IF(COUNTIF($C$2:$C$401,C313)&gt;1,"Дубликат ИНН в реестре",""))</f>
        <v/>
      </c>
      <c r="O313" s="24" t="str">
        <f aca="false">IF(TRIM(H313)="","Email не указан",IF(AND(ISNUMBER(FIND("@",H313)),ISNUMBER(FIND(".",H313,IFERROR(FIND("@",H313),1))),ISERROR(FIND(" ",H313)),LEFT(H313,1)&lt;&gt;"@",RIGHT(H313,1)&lt;&gt;".",LEN(H313)-LEN(SUBSTITUTE(H313,"@",""))=1),"","Email: неверный формат"))</f>
        <v/>
      </c>
      <c r="P313" s="24" t="str">
        <f aca="false">IF(TRIM(I313)="","Телефон не указан",IF(AND(LEN(SUBSTITUTE(SUBSTITUTE(SUBSTITUTE(SUBSTITUTE(SUBSTITUTE(I313," ",""),"-",""),"(",""),")",""),"+",""))=11,OR(LEFT(SUBSTITUTE(SUBSTITUTE(SUBSTITUTE(SUBSTITUTE(SUBSTITUTE(I313," ",""),"-",""),"(",""),")",""),"+",""),1)="7",LEFT(SUBSTITUTE(SUBSTITUTE(SUBSTITUTE(SUBSTITUTE(SUBSTITUTE(I313," ",""),"-",""),"(",""),")",""),"+",""),1)="8"),ISNUMBER(IFERROR(VALUE(SUBSTITUTE(SUBSTITUTE(SUBSTITUTE(SUBSTITUTE(SUBSTITUTE(I313," ",""),"-",""),"(",""),")",""),"+","")),"x"))),"","Телефон: неверный формат"))</f>
        <v/>
      </c>
      <c r="Q313" s="24" t="str">
        <f aca="false">TRIM(IF(TRIM(B313)="","Нет наименования. ","")&amp;IF(TRIM(F313)="","Нет адреса. ","")&amp;IF(TRIM(G313)="","Нет контактного лица.",""))</f>
        <v/>
      </c>
      <c r="R313" s="21" t="n">
        <f aca="false">SUMPRODUCT(--(LEN(K313:Q313)&gt;0))</f>
        <v>0</v>
      </c>
      <c r="S313" s="24" t="str">
        <f aca="false">IF(R313=0,"Готово к передаче","Требует исправления")</f>
        <v>Готово к передаче</v>
      </c>
      <c r="T313" s="24" t="str">
        <f aca="false">IF(R313=0,"",_xlfn.TEXTJOIN("; ",TRUE(),K313:Q313))</f>
        <v/>
      </c>
      <c r="U313" s="24" t="str">
        <f aca="false">IF(R313=0,"","Здравствуйте! В данных организации «"&amp;B313&amp;"» обнаружены ошибки: "&amp;T313&amp;". Просим проверить и прислать исправленную информацию.")</f>
        <v/>
      </c>
      <c r="V313" s="21" t="str">
        <f aca="false">IF(R313&gt;0,COUNTIF($R$2:R313,"&gt;0"),"")</f>
        <v/>
      </c>
      <c r="W313" s="21" t="n">
        <f aca="false">IF(R313=0,COUNTIF($R$2:R313,0),"")</f>
        <v>216</v>
      </c>
    </row>
    <row r="314" customFormat="false" ht="15" hidden="false" customHeight="false" outlineLevel="0" collapsed="false">
      <c r="A314" s="21" t="n">
        <v>313</v>
      </c>
      <c r="B314" s="22" t="s">
        <v>2529</v>
      </c>
      <c r="C314" s="23" t="s">
        <v>2530</v>
      </c>
      <c r="D314" s="23" t="s">
        <v>2531</v>
      </c>
      <c r="E314" s="23" t="s">
        <v>2532</v>
      </c>
      <c r="F314" s="22" t="s">
        <v>2533</v>
      </c>
      <c r="G314" s="22" t="s">
        <v>2534</v>
      </c>
      <c r="H314" s="22" t="s">
        <v>2535</v>
      </c>
      <c r="I314" s="23" t="s">
        <v>2536</v>
      </c>
      <c r="J314" s="24" t="str">
        <f aca="false">IFERROR(VLOOKUP(VALUE(LEFT(C314,2)),Справочники!$A$2:$B$16,2,FALSE()),"не определён")</f>
        <v>Республика Крым</v>
      </c>
      <c r="K314" s="24" t="str">
        <f aca="false">IF(TRIM(C314)="","ИНН не указан",IF(LEN(C314)&lt;&gt;10,"ИНН: должно быть 10 цифр",IF(NOT(ISNUMBER(IFERROR(VALUE(C314),"x"))),"ИНН: есть нецифровые символы",IF(MOD(MOD(SUMPRODUCT(--MID(C314,{1,2,3,4,5,6,7,8,9},1),{2,4,10,3,5,9,4,6,8}),11),10)=VALUE(RIGHT(C314,1)),"","ИНН: неверная контрольная цифра"))))</f>
        <v/>
      </c>
      <c r="L314" s="24" t="str">
        <f aca="false">IF(TRIM(D314)="","ОГРН не указан",IF(LEN(D314)&lt;&gt;13,"ОГРН: должно быть 13 цифр",IF(NOT(ISNUMBER(IFERROR(VALUE(D314),"x"))),"ОГРН: есть нецифровые символы",IF(MOD(VALUE(LEFT(D314,12))-11*INT(VALUE(LEFT(D314,12))/11),10)=VALUE(RIGHT(D314,1)),"","ОГРН: неверная контрольная цифра"))))</f>
        <v/>
      </c>
      <c r="M314" s="24" t="str">
        <f aca="false">IF(TRIM(E314)="","КПП не указан",IF(LEN(E314)&lt;&gt;9,"КПП: должно быть 9 знаков",IF(NOT(AND(ISNUMBER(IFERROR(VALUE(LEFT(E314,4)),"x")),ISNUMBER(IFERROR(VALUE(RIGHT(E314,3)),"x")))),"КПП: неверный формат",IF(LEFT(E314,2)&lt;&gt;LEFT(C314,2),"КПП: код региона не совпадает с ИНН",""))))</f>
        <v/>
      </c>
      <c r="N314" s="24" t="str">
        <f aca="false">IF(TRIM(C314)="","",IF(COUNTIF($C$2:$C$401,C314)&gt;1,"Дубликат ИНН в реестре",""))</f>
        <v/>
      </c>
      <c r="O314" s="24" t="str">
        <f aca="false">IF(TRIM(H314)="","Email не указан",IF(AND(ISNUMBER(FIND("@",H314)),ISNUMBER(FIND(".",H314,IFERROR(FIND("@",H314),1))),ISERROR(FIND(" ",H314)),LEFT(H314,1)&lt;&gt;"@",RIGHT(H314,1)&lt;&gt;".",LEN(H314)-LEN(SUBSTITUTE(H314,"@",""))=1),"","Email: неверный формат"))</f>
        <v/>
      </c>
      <c r="P314" s="24" t="str">
        <f aca="false">IF(TRIM(I314)="","Телефон не указан",IF(AND(LEN(SUBSTITUTE(SUBSTITUTE(SUBSTITUTE(SUBSTITUTE(SUBSTITUTE(I314," ",""),"-",""),"(",""),")",""),"+",""))=11,OR(LEFT(SUBSTITUTE(SUBSTITUTE(SUBSTITUTE(SUBSTITUTE(SUBSTITUTE(I314," ",""),"-",""),"(",""),")",""),"+",""),1)="7",LEFT(SUBSTITUTE(SUBSTITUTE(SUBSTITUTE(SUBSTITUTE(SUBSTITUTE(I314," ",""),"-",""),"(",""),")",""),"+",""),1)="8"),ISNUMBER(IFERROR(VALUE(SUBSTITUTE(SUBSTITUTE(SUBSTITUTE(SUBSTITUTE(SUBSTITUTE(I314," ",""),"-",""),"(",""),")",""),"+","")),"x"))),"","Телефон: неверный формат"))</f>
        <v/>
      </c>
      <c r="Q314" s="24" t="str">
        <f aca="false">TRIM(IF(TRIM(B314)="","Нет наименования. ","")&amp;IF(TRIM(F314)="","Нет адреса. ","")&amp;IF(TRIM(G314)="","Нет контактного лица.",""))</f>
        <v/>
      </c>
      <c r="R314" s="21" t="n">
        <f aca="false">SUMPRODUCT(--(LEN(K314:Q314)&gt;0))</f>
        <v>0</v>
      </c>
      <c r="S314" s="24" t="str">
        <f aca="false">IF(R314=0,"Готово к передаче","Требует исправления")</f>
        <v>Готово к передаче</v>
      </c>
      <c r="T314" s="24" t="str">
        <f aca="false">IF(R314=0,"",_xlfn.TEXTJOIN("; ",TRUE(),K314:Q314))</f>
        <v/>
      </c>
      <c r="U314" s="24" t="str">
        <f aca="false">IF(R314=0,"","Здравствуйте! В данных организации «"&amp;B314&amp;"» обнаружены ошибки: "&amp;T314&amp;". Просим проверить и прислать исправленную информацию.")</f>
        <v/>
      </c>
      <c r="V314" s="21" t="str">
        <f aca="false">IF(R314&gt;0,COUNTIF($R$2:R314,"&gt;0"),"")</f>
        <v/>
      </c>
      <c r="W314" s="21" t="n">
        <f aca="false">IF(R314=0,COUNTIF($R$2:R314,0),"")</f>
        <v>217</v>
      </c>
    </row>
    <row r="315" customFormat="false" ht="15" hidden="false" customHeight="false" outlineLevel="0" collapsed="false">
      <c r="A315" s="21" t="n">
        <v>314</v>
      </c>
      <c r="B315" s="22" t="s">
        <v>2537</v>
      </c>
      <c r="C315" s="23" t="s">
        <v>2538</v>
      </c>
      <c r="D315" s="23" t="s">
        <v>2539</v>
      </c>
      <c r="E315" s="23" t="s">
        <v>2540</v>
      </c>
      <c r="F315" s="22" t="s">
        <v>2541</v>
      </c>
      <c r="G315" s="22" t="s">
        <v>2542</v>
      </c>
      <c r="H315" s="22" t="s">
        <v>2543</v>
      </c>
      <c r="I315" s="23" t="s">
        <v>2544</v>
      </c>
      <c r="J315" s="24" t="str">
        <f aca="false">IFERROR(VLOOKUP(VALUE(LEFT(C315,2)),Справочники!$A$2:$B$16,2,FALSE()),"не определён")</f>
        <v>Ростовская область</v>
      </c>
      <c r="K315" s="24" t="str">
        <f aca="false">IF(TRIM(C315)="","ИНН не указан",IF(LEN(C315)&lt;&gt;10,"ИНН: должно быть 10 цифр",IF(NOT(ISNUMBER(IFERROR(VALUE(C315),"x"))),"ИНН: есть нецифровые символы",IF(MOD(MOD(SUMPRODUCT(--MID(C315,{1,2,3,4,5,6,7,8,9},1),{2,4,10,3,5,9,4,6,8}),11),10)=VALUE(RIGHT(C315,1)),"","ИНН: неверная контрольная цифра"))))</f>
        <v/>
      </c>
      <c r="L315" s="24" t="str">
        <f aca="false">IF(TRIM(D315)="","ОГРН не указан",IF(LEN(D315)&lt;&gt;13,"ОГРН: должно быть 13 цифр",IF(NOT(ISNUMBER(IFERROR(VALUE(D315),"x"))),"ОГРН: есть нецифровые символы",IF(MOD(VALUE(LEFT(D315,12))-11*INT(VALUE(LEFT(D315,12))/11),10)=VALUE(RIGHT(D315,1)),"","ОГРН: неверная контрольная цифра"))))</f>
        <v/>
      </c>
      <c r="M315" s="24" t="str">
        <f aca="false">IF(TRIM(E315)="","КПП не указан",IF(LEN(E315)&lt;&gt;9,"КПП: должно быть 9 знаков",IF(NOT(AND(ISNUMBER(IFERROR(VALUE(LEFT(E315,4)),"x")),ISNUMBER(IFERROR(VALUE(RIGHT(E315,3)),"x")))),"КПП: неверный формат",IF(LEFT(E315,2)&lt;&gt;LEFT(C315,2),"КПП: код региона не совпадает с ИНН",""))))</f>
        <v/>
      </c>
      <c r="N315" s="24" t="str">
        <f aca="false">IF(TRIM(C315)="","",IF(COUNTIF($C$2:$C$401,C315)&gt;1,"Дубликат ИНН в реестре",""))</f>
        <v/>
      </c>
      <c r="O315" s="24" t="str">
        <f aca="false">IF(TRIM(H315)="","Email не указан",IF(AND(ISNUMBER(FIND("@",H315)),ISNUMBER(FIND(".",H315,IFERROR(FIND("@",H315),1))),ISERROR(FIND(" ",H315)),LEFT(H315,1)&lt;&gt;"@",RIGHT(H315,1)&lt;&gt;".",LEN(H315)-LEN(SUBSTITUTE(H315,"@",""))=1),"","Email: неверный формат"))</f>
        <v/>
      </c>
      <c r="P315" s="24" t="str">
        <f aca="false">IF(TRIM(I315)="","Телефон не указан",IF(AND(LEN(SUBSTITUTE(SUBSTITUTE(SUBSTITUTE(SUBSTITUTE(SUBSTITUTE(I315," ",""),"-",""),"(",""),")",""),"+",""))=11,OR(LEFT(SUBSTITUTE(SUBSTITUTE(SUBSTITUTE(SUBSTITUTE(SUBSTITUTE(I315," ",""),"-",""),"(",""),")",""),"+",""),1)="7",LEFT(SUBSTITUTE(SUBSTITUTE(SUBSTITUTE(SUBSTITUTE(SUBSTITUTE(I315," ",""),"-",""),"(",""),")",""),"+",""),1)="8"),ISNUMBER(IFERROR(VALUE(SUBSTITUTE(SUBSTITUTE(SUBSTITUTE(SUBSTITUTE(SUBSTITUTE(I315," ",""),"-",""),"(",""),")",""),"+","")),"x"))),"","Телефон: неверный формат"))</f>
        <v/>
      </c>
      <c r="Q315" s="24" t="str">
        <f aca="false">TRIM(IF(TRIM(B315)="","Нет наименования. ","")&amp;IF(TRIM(F315)="","Нет адреса. ","")&amp;IF(TRIM(G315)="","Нет контактного лица.",""))</f>
        <v/>
      </c>
      <c r="R315" s="21" t="n">
        <f aca="false">SUMPRODUCT(--(LEN(K315:Q315)&gt;0))</f>
        <v>0</v>
      </c>
      <c r="S315" s="24" t="str">
        <f aca="false">IF(R315=0,"Готово к передаче","Требует исправления")</f>
        <v>Готово к передаче</v>
      </c>
      <c r="T315" s="24" t="str">
        <f aca="false">IF(R315=0,"",_xlfn.TEXTJOIN("; ",TRUE(),K315:Q315))</f>
        <v/>
      </c>
      <c r="U315" s="24" t="str">
        <f aca="false">IF(R315=0,"","Здравствуйте! В данных организации «"&amp;B315&amp;"» обнаружены ошибки: "&amp;T315&amp;". Просим проверить и прислать исправленную информацию.")</f>
        <v/>
      </c>
      <c r="V315" s="21" t="str">
        <f aca="false">IF(R315&gt;0,COUNTIF($R$2:R315,"&gt;0"),"")</f>
        <v/>
      </c>
      <c r="W315" s="21" t="n">
        <f aca="false">IF(R315=0,COUNTIF($R$2:R315,0),"")</f>
        <v>218</v>
      </c>
    </row>
    <row r="316" customFormat="false" ht="15" hidden="false" customHeight="false" outlineLevel="0" collapsed="false">
      <c r="A316" s="21" t="n">
        <v>315</v>
      </c>
      <c r="B316" s="22" t="s">
        <v>2545</v>
      </c>
      <c r="C316" s="23" t="s">
        <v>2546</v>
      </c>
      <c r="D316" s="23" t="s">
        <v>2547</v>
      </c>
      <c r="E316" s="23" t="s">
        <v>2548</v>
      </c>
      <c r="F316" s="22" t="s">
        <v>2549</v>
      </c>
      <c r="G316" s="22" t="s">
        <v>2550</v>
      </c>
      <c r="H316" s="22" t="s">
        <v>2551</v>
      </c>
      <c r="I316" s="23" t="s">
        <v>2552</v>
      </c>
      <c r="J316" s="24" t="str">
        <f aca="false">IFERROR(VLOOKUP(VALUE(LEFT(C316,2)),Справочники!$A$2:$B$16,2,FALSE()),"не определён")</f>
        <v>Республика Крым</v>
      </c>
      <c r="K316" s="24" t="str">
        <f aca="false">IF(TRIM(C316)="","ИНН не указан",IF(LEN(C316)&lt;&gt;10,"ИНН: должно быть 10 цифр",IF(NOT(ISNUMBER(IFERROR(VALUE(C316),"x"))),"ИНН: есть нецифровые символы",IF(MOD(MOD(SUMPRODUCT(--MID(C316,{1,2,3,4,5,6,7,8,9},1),{2,4,10,3,5,9,4,6,8}),11),10)=VALUE(RIGHT(C316,1)),"","ИНН: неверная контрольная цифра"))))</f>
        <v/>
      </c>
      <c r="L316" s="24" t="str">
        <f aca="false">IF(TRIM(D316)="","ОГРН не указан",IF(LEN(D316)&lt;&gt;13,"ОГРН: должно быть 13 цифр",IF(NOT(ISNUMBER(IFERROR(VALUE(D316),"x"))),"ОГРН: есть нецифровые символы",IF(MOD(VALUE(LEFT(D316,12))-11*INT(VALUE(LEFT(D316,12))/11),10)=VALUE(RIGHT(D316,1)),"","ОГРН: неверная контрольная цифра"))))</f>
        <v/>
      </c>
      <c r="M316" s="24" t="str">
        <f aca="false">IF(TRIM(E316)="","КПП не указан",IF(LEN(E316)&lt;&gt;9,"КПП: должно быть 9 знаков",IF(NOT(AND(ISNUMBER(IFERROR(VALUE(LEFT(E316,4)),"x")),ISNUMBER(IFERROR(VALUE(RIGHT(E316,3)),"x")))),"КПП: неверный формат",IF(LEFT(E316,2)&lt;&gt;LEFT(C316,2),"КПП: код региона не совпадает с ИНН",""))))</f>
        <v/>
      </c>
      <c r="N316" s="24" t="str">
        <f aca="false">IF(TRIM(C316)="","",IF(COUNTIF($C$2:$C$401,C316)&gt;1,"Дубликат ИНН в реестре",""))</f>
        <v/>
      </c>
      <c r="O316" s="24" t="str">
        <f aca="false">IF(TRIM(H316)="","Email не указан",IF(AND(ISNUMBER(FIND("@",H316)),ISNUMBER(FIND(".",H316,IFERROR(FIND("@",H316),1))),ISERROR(FIND(" ",H316)),LEFT(H316,1)&lt;&gt;"@",RIGHT(H316,1)&lt;&gt;".",LEN(H316)-LEN(SUBSTITUTE(H316,"@",""))=1),"","Email: неверный формат"))</f>
        <v/>
      </c>
      <c r="P316" s="24" t="str">
        <f aca="false">IF(TRIM(I316)="","Телефон не указан",IF(AND(LEN(SUBSTITUTE(SUBSTITUTE(SUBSTITUTE(SUBSTITUTE(SUBSTITUTE(I316," ",""),"-",""),"(",""),")",""),"+",""))=11,OR(LEFT(SUBSTITUTE(SUBSTITUTE(SUBSTITUTE(SUBSTITUTE(SUBSTITUTE(I316," ",""),"-",""),"(",""),")",""),"+",""),1)="7",LEFT(SUBSTITUTE(SUBSTITUTE(SUBSTITUTE(SUBSTITUTE(SUBSTITUTE(I316," ",""),"-",""),"(",""),")",""),"+",""),1)="8"),ISNUMBER(IFERROR(VALUE(SUBSTITUTE(SUBSTITUTE(SUBSTITUTE(SUBSTITUTE(SUBSTITUTE(I316," ",""),"-",""),"(",""),")",""),"+","")),"x"))),"","Телефон: неверный формат"))</f>
        <v/>
      </c>
      <c r="Q316" s="24" t="str">
        <f aca="false">TRIM(IF(TRIM(B316)="","Нет наименования. ","")&amp;IF(TRIM(F316)="","Нет адреса. ","")&amp;IF(TRIM(G316)="","Нет контактного лица.",""))</f>
        <v/>
      </c>
      <c r="R316" s="21" t="n">
        <f aca="false">SUMPRODUCT(--(LEN(K316:Q316)&gt;0))</f>
        <v>0</v>
      </c>
      <c r="S316" s="24" t="str">
        <f aca="false">IF(R316=0,"Готово к передаче","Требует исправления")</f>
        <v>Готово к передаче</v>
      </c>
      <c r="T316" s="24" t="str">
        <f aca="false">IF(R316=0,"",_xlfn.TEXTJOIN("; ",TRUE(),K316:Q316))</f>
        <v/>
      </c>
      <c r="U316" s="24" t="str">
        <f aca="false">IF(R316=0,"","Здравствуйте! В данных организации «"&amp;B316&amp;"» обнаружены ошибки: "&amp;T316&amp;". Просим проверить и прислать исправленную информацию.")</f>
        <v/>
      </c>
      <c r="V316" s="21" t="str">
        <f aca="false">IF(R316&gt;0,COUNTIF($R$2:R316,"&gt;0"),"")</f>
        <v/>
      </c>
      <c r="W316" s="21" t="n">
        <f aca="false">IF(R316=0,COUNTIF($R$2:R316,0),"")</f>
        <v>219</v>
      </c>
    </row>
    <row r="317" customFormat="false" ht="15" hidden="false" customHeight="false" outlineLevel="0" collapsed="false">
      <c r="A317" s="21" t="n">
        <v>316</v>
      </c>
      <c r="B317" s="22" t="s">
        <v>2553</v>
      </c>
      <c r="C317" s="23" t="s">
        <v>2554</v>
      </c>
      <c r="D317" s="23" t="s">
        <v>2555</v>
      </c>
      <c r="E317" s="23" t="s">
        <v>2556</v>
      </c>
      <c r="F317" s="22" t="s">
        <v>2557</v>
      </c>
      <c r="G317" s="22" t="s">
        <v>2558</v>
      </c>
      <c r="H317" s="22" t="s">
        <v>2559</v>
      </c>
      <c r="I317" s="23" t="s">
        <v>2560</v>
      </c>
      <c r="J317" s="24" t="str">
        <f aca="false">IFERROR(VLOOKUP(VALUE(LEFT(C317,2)),Справочники!$A$2:$B$16,2,FALSE()),"не определён")</f>
        <v>Ростовская область</v>
      </c>
      <c r="K317" s="24" t="str">
        <f aca="false">IF(TRIM(C317)="","ИНН не указан",IF(LEN(C317)&lt;&gt;10,"ИНН: должно быть 10 цифр",IF(NOT(ISNUMBER(IFERROR(VALUE(C317),"x"))),"ИНН: есть нецифровые символы",IF(MOD(MOD(SUMPRODUCT(--MID(C317,{1,2,3,4,5,6,7,8,9},1),{2,4,10,3,5,9,4,6,8}),11),10)=VALUE(RIGHT(C317,1)),"","ИНН: неверная контрольная цифра"))))</f>
        <v/>
      </c>
      <c r="L317" s="24" t="str">
        <f aca="false">IF(TRIM(D317)="","ОГРН не указан",IF(LEN(D317)&lt;&gt;13,"ОГРН: должно быть 13 цифр",IF(NOT(ISNUMBER(IFERROR(VALUE(D317),"x"))),"ОГРН: есть нецифровые символы",IF(MOD(VALUE(LEFT(D317,12))-11*INT(VALUE(LEFT(D317,12))/11),10)=VALUE(RIGHT(D317,1)),"","ОГРН: неверная контрольная цифра"))))</f>
        <v/>
      </c>
      <c r="M317" s="24" t="str">
        <f aca="false">IF(TRIM(E317)="","КПП не указан",IF(LEN(E317)&lt;&gt;9,"КПП: должно быть 9 знаков",IF(NOT(AND(ISNUMBER(IFERROR(VALUE(LEFT(E317,4)),"x")),ISNUMBER(IFERROR(VALUE(RIGHT(E317,3)),"x")))),"КПП: неверный формат",IF(LEFT(E317,2)&lt;&gt;LEFT(C317,2),"КПП: код региона не совпадает с ИНН",""))))</f>
        <v/>
      </c>
      <c r="N317" s="24" t="str">
        <f aca="false">IF(TRIM(C317)="","",IF(COUNTIF($C$2:$C$401,C317)&gt;1,"Дубликат ИНН в реестре",""))</f>
        <v/>
      </c>
      <c r="O317" s="24" t="str">
        <f aca="false">IF(TRIM(H317)="","Email не указан",IF(AND(ISNUMBER(FIND("@",H317)),ISNUMBER(FIND(".",H317,IFERROR(FIND("@",H317),1))),ISERROR(FIND(" ",H317)),LEFT(H317,1)&lt;&gt;"@",RIGHT(H317,1)&lt;&gt;".",LEN(H317)-LEN(SUBSTITUTE(H317,"@",""))=1),"","Email: неверный формат"))</f>
        <v/>
      </c>
      <c r="P317" s="24" t="str">
        <f aca="false">IF(TRIM(I317)="","Телефон не указан",IF(AND(LEN(SUBSTITUTE(SUBSTITUTE(SUBSTITUTE(SUBSTITUTE(SUBSTITUTE(I317," ",""),"-",""),"(",""),")",""),"+",""))=11,OR(LEFT(SUBSTITUTE(SUBSTITUTE(SUBSTITUTE(SUBSTITUTE(SUBSTITUTE(I317," ",""),"-",""),"(",""),")",""),"+",""),1)="7",LEFT(SUBSTITUTE(SUBSTITUTE(SUBSTITUTE(SUBSTITUTE(SUBSTITUTE(I317," ",""),"-",""),"(",""),")",""),"+",""),1)="8"),ISNUMBER(IFERROR(VALUE(SUBSTITUTE(SUBSTITUTE(SUBSTITUTE(SUBSTITUTE(SUBSTITUTE(I317," ",""),"-",""),"(",""),")",""),"+","")),"x"))),"","Телефон: неверный формат"))</f>
        <v/>
      </c>
      <c r="Q317" s="24" t="str">
        <f aca="false">TRIM(IF(TRIM(B317)="","Нет наименования. ","")&amp;IF(TRIM(F317)="","Нет адреса. ","")&amp;IF(TRIM(G317)="","Нет контактного лица.",""))</f>
        <v/>
      </c>
      <c r="R317" s="21" t="n">
        <f aca="false">SUMPRODUCT(--(LEN(K317:Q317)&gt;0))</f>
        <v>0</v>
      </c>
      <c r="S317" s="24" t="str">
        <f aca="false">IF(R317=0,"Готово к передаче","Требует исправления")</f>
        <v>Готово к передаче</v>
      </c>
      <c r="T317" s="24" t="str">
        <f aca="false">IF(R317=0,"",_xlfn.TEXTJOIN("; ",TRUE(),K317:Q317))</f>
        <v/>
      </c>
      <c r="U317" s="24" t="str">
        <f aca="false">IF(R317=0,"","Здравствуйте! В данных организации «"&amp;B317&amp;"» обнаружены ошибки: "&amp;T317&amp;". Просим проверить и прислать исправленную информацию.")</f>
        <v/>
      </c>
      <c r="V317" s="21" t="str">
        <f aca="false">IF(R317&gt;0,COUNTIF($R$2:R317,"&gt;0"),"")</f>
        <v/>
      </c>
      <c r="W317" s="21" t="n">
        <f aca="false">IF(R317=0,COUNTIF($R$2:R317,0),"")</f>
        <v>220</v>
      </c>
    </row>
    <row r="318" customFormat="false" ht="15" hidden="false" customHeight="false" outlineLevel="0" collapsed="false">
      <c r="A318" s="21" t="n">
        <v>317</v>
      </c>
      <c r="B318" s="22" t="s">
        <v>2561</v>
      </c>
      <c r="C318" s="23" t="s">
        <v>2562</v>
      </c>
      <c r="D318" s="23" t="s">
        <v>2563</v>
      </c>
      <c r="E318" s="23" t="s">
        <v>2564</v>
      </c>
      <c r="F318" s="22" t="s">
        <v>2565</v>
      </c>
      <c r="G318" s="22" t="s">
        <v>2566</v>
      </c>
      <c r="H318" s="22" t="s">
        <v>2567</v>
      </c>
      <c r="I318" s="23" t="s">
        <v>2568</v>
      </c>
      <c r="J318" s="24" t="str">
        <f aca="false">IFERROR(VLOOKUP(VALUE(LEFT(C318,2)),Справочники!$A$2:$B$16,2,FALSE()),"не определён")</f>
        <v>Свердловская область</v>
      </c>
      <c r="K318" s="24" t="str">
        <f aca="false">IF(TRIM(C318)="","ИНН не указан",IF(LEN(C318)&lt;&gt;10,"ИНН: должно быть 10 цифр",IF(NOT(ISNUMBER(IFERROR(VALUE(C318),"x"))),"ИНН: есть нецифровые символы",IF(MOD(MOD(SUMPRODUCT(--MID(C318,{1,2,3,4,5,6,7,8,9},1),{2,4,10,3,5,9,4,6,8}),11),10)=VALUE(RIGHT(C318,1)),"","ИНН: неверная контрольная цифра"))))</f>
        <v/>
      </c>
      <c r="L318" s="24" t="str">
        <f aca="false">IF(TRIM(D318)="","ОГРН не указан",IF(LEN(D318)&lt;&gt;13,"ОГРН: должно быть 13 цифр",IF(NOT(ISNUMBER(IFERROR(VALUE(D318),"x"))),"ОГРН: есть нецифровые символы",IF(MOD(VALUE(LEFT(D318,12))-11*INT(VALUE(LEFT(D318,12))/11),10)=VALUE(RIGHT(D318,1)),"","ОГРН: неверная контрольная цифра"))))</f>
        <v/>
      </c>
      <c r="M318" s="24" t="str">
        <f aca="false">IF(TRIM(E318)="","КПП не указан",IF(LEN(E318)&lt;&gt;9,"КПП: должно быть 9 знаков",IF(NOT(AND(ISNUMBER(IFERROR(VALUE(LEFT(E318,4)),"x")),ISNUMBER(IFERROR(VALUE(RIGHT(E318,3)),"x")))),"КПП: неверный формат",IF(LEFT(E318,2)&lt;&gt;LEFT(C318,2),"КПП: код региона не совпадает с ИНН",""))))</f>
        <v/>
      </c>
      <c r="N318" s="24" t="str">
        <f aca="false">IF(TRIM(C318)="","",IF(COUNTIF($C$2:$C$401,C318)&gt;1,"Дубликат ИНН в реестре",""))</f>
        <v/>
      </c>
      <c r="O318" s="24" t="str">
        <f aca="false">IF(TRIM(H318)="","Email не указан",IF(AND(ISNUMBER(FIND("@",H318)),ISNUMBER(FIND(".",H318,IFERROR(FIND("@",H318),1))),ISERROR(FIND(" ",H318)),LEFT(H318,1)&lt;&gt;"@",RIGHT(H318,1)&lt;&gt;".",LEN(H318)-LEN(SUBSTITUTE(H318,"@",""))=1),"","Email: неверный формат"))</f>
        <v/>
      </c>
      <c r="P318" s="24" t="str">
        <f aca="false">IF(TRIM(I318)="","Телефон не указан",IF(AND(LEN(SUBSTITUTE(SUBSTITUTE(SUBSTITUTE(SUBSTITUTE(SUBSTITUTE(I318," ",""),"-",""),"(",""),")",""),"+",""))=11,OR(LEFT(SUBSTITUTE(SUBSTITUTE(SUBSTITUTE(SUBSTITUTE(SUBSTITUTE(I318," ",""),"-",""),"(",""),")",""),"+",""),1)="7",LEFT(SUBSTITUTE(SUBSTITUTE(SUBSTITUTE(SUBSTITUTE(SUBSTITUTE(I318," ",""),"-",""),"(",""),")",""),"+",""),1)="8"),ISNUMBER(IFERROR(VALUE(SUBSTITUTE(SUBSTITUTE(SUBSTITUTE(SUBSTITUTE(SUBSTITUTE(I318," ",""),"-",""),"(",""),")",""),"+","")),"x"))),"","Телефон: неверный формат"))</f>
        <v/>
      </c>
      <c r="Q318" s="24" t="str">
        <f aca="false">TRIM(IF(TRIM(B318)="","Нет наименования. ","")&amp;IF(TRIM(F318)="","Нет адреса. ","")&amp;IF(TRIM(G318)="","Нет контактного лица.",""))</f>
        <v/>
      </c>
      <c r="R318" s="21" t="n">
        <f aca="false">SUMPRODUCT(--(LEN(K318:Q318)&gt;0))</f>
        <v>0</v>
      </c>
      <c r="S318" s="24" t="str">
        <f aca="false">IF(R318=0,"Готово к передаче","Требует исправления")</f>
        <v>Готово к передаче</v>
      </c>
      <c r="T318" s="24" t="str">
        <f aca="false">IF(R318=0,"",_xlfn.TEXTJOIN("; ",TRUE(),K318:Q318))</f>
        <v/>
      </c>
      <c r="U318" s="24" t="str">
        <f aca="false">IF(R318=0,"","Здравствуйте! В данных организации «"&amp;B318&amp;"» обнаружены ошибки: "&amp;T318&amp;". Просим проверить и прислать исправленную информацию.")</f>
        <v/>
      </c>
      <c r="V318" s="21" t="str">
        <f aca="false">IF(R318&gt;0,COUNTIF($R$2:R318,"&gt;0"),"")</f>
        <v/>
      </c>
      <c r="W318" s="21" t="n">
        <f aca="false">IF(R318=0,COUNTIF($R$2:R318,0),"")</f>
        <v>221</v>
      </c>
    </row>
    <row r="319" customFormat="false" ht="15" hidden="false" customHeight="false" outlineLevel="0" collapsed="false">
      <c r="A319" s="21" t="n">
        <v>318</v>
      </c>
      <c r="B319" s="22" t="s">
        <v>2569</v>
      </c>
      <c r="C319" s="23" t="s">
        <v>2570</v>
      </c>
      <c r="D319" s="23" t="s">
        <v>2571</v>
      </c>
      <c r="E319" s="23" t="s">
        <v>2572</v>
      </c>
      <c r="F319" s="22" t="s">
        <v>2573</v>
      </c>
      <c r="G319" s="22" t="s">
        <v>2574</v>
      </c>
      <c r="H319" s="22" t="s">
        <v>2575</v>
      </c>
      <c r="I319" s="23" t="s">
        <v>2576</v>
      </c>
      <c r="J319" s="24" t="str">
        <f aca="false">IFERROR(VLOOKUP(VALUE(LEFT(C319,2)),Справочники!$A$2:$B$16,2,FALSE()),"не определён")</f>
        <v>г. Санкт-Петербург</v>
      </c>
      <c r="K319" s="24" t="str">
        <f aca="false">IF(TRIM(C319)="","ИНН не указан",IF(LEN(C319)&lt;&gt;10,"ИНН: должно быть 10 цифр",IF(NOT(ISNUMBER(IFERROR(VALUE(C319),"x"))),"ИНН: есть нецифровые символы",IF(MOD(MOD(SUMPRODUCT(--MID(C319,{1,2,3,4,5,6,7,8,9},1),{2,4,10,3,5,9,4,6,8}),11),10)=VALUE(RIGHT(C319,1)),"","ИНН: неверная контрольная цифра"))))</f>
        <v>ИНН: должно быть 10 цифр</v>
      </c>
      <c r="L319" s="24" t="str">
        <f aca="false">IF(TRIM(D319)="","ОГРН не указан",IF(LEN(D319)&lt;&gt;13,"ОГРН: должно быть 13 цифр",IF(NOT(ISNUMBER(IFERROR(VALUE(D319),"x"))),"ОГРН: есть нецифровые символы",IF(MOD(VALUE(LEFT(D319,12))-11*INT(VALUE(LEFT(D319,12))/11),10)=VALUE(RIGHT(D319,1)),"","ОГРН: неверная контрольная цифра"))))</f>
        <v/>
      </c>
      <c r="M319" s="24" t="str">
        <f aca="false">IF(TRIM(E319)="","КПП не указан",IF(LEN(E319)&lt;&gt;9,"КПП: должно быть 9 знаков",IF(NOT(AND(ISNUMBER(IFERROR(VALUE(LEFT(E319,4)),"x")),ISNUMBER(IFERROR(VALUE(RIGHT(E319,3)),"x")))),"КПП: неверный формат",IF(LEFT(E319,2)&lt;&gt;LEFT(C319,2),"КПП: код региона не совпадает с ИНН",""))))</f>
        <v/>
      </c>
      <c r="N319" s="24" t="str">
        <f aca="false">IF(TRIM(C319)="","",IF(COUNTIF($C$2:$C$401,C319)&gt;1,"Дубликат ИНН в реестре",""))</f>
        <v/>
      </c>
      <c r="O319" s="24" t="str">
        <f aca="false">IF(TRIM(H319)="","Email не указан",IF(AND(ISNUMBER(FIND("@",H319)),ISNUMBER(FIND(".",H319,IFERROR(FIND("@",H319),1))),ISERROR(FIND(" ",H319)),LEFT(H319,1)&lt;&gt;"@",RIGHT(H319,1)&lt;&gt;".",LEN(H319)-LEN(SUBSTITUTE(H319,"@",""))=1),"","Email: неверный формат"))</f>
        <v/>
      </c>
      <c r="P319" s="24" t="str">
        <f aca="false">IF(TRIM(I319)="","Телефон не указан",IF(AND(LEN(SUBSTITUTE(SUBSTITUTE(SUBSTITUTE(SUBSTITUTE(SUBSTITUTE(I319," ",""),"-",""),"(",""),")",""),"+",""))=11,OR(LEFT(SUBSTITUTE(SUBSTITUTE(SUBSTITUTE(SUBSTITUTE(SUBSTITUTE(I319," ",""),"-",""),"(",""),")",""),"+",""),1)="7",LEFT(SUBSTITUTE(SUBSTITUTE(SUBSTITUTE(SUBSTITUTE(SUBSTITUTE(I319," ",""),"-",""),"(",""),")",""),"+",""),1)="8"),ISNUMBER(IFERROR(VALUE(SUBSTITUTE(SUBSTITUTE(SUBSTITUTE(SUBSTITUTE(SUBSTITUTE(I319," ",""),"-",""),"(",""),")",""),"+","")),"x"))),"","Телефон: неверный формат"))</f>
        <v/>
      </c>
      <c r="Q319" s="24" t="str">
        <f aca="false">TRIM(IF(TRIM(B319)="","Нет наименования. ","")&amp;IF(TRIM(F319)="","Нет адреса. ","")&amp;IF(TRIM(G319)="","Нет контактного лица.",""))</f>
        <v/>
      </c>
      <c r="R319" s="21" t="n">
        <f aca="false">SUMPRODUCT(--(LEN(K319:Q319)&gt;0))</f>
        <v>1</v>
      </c>
      <c r="S319" s="24" t="str">
        <f aca="false">IF(R319=0,"Готово к передаче","Требует исправления")</f>
        <v>Требует исправления</v>
      </c>
      <c r="T319" s="24" t="str">
        <f aca="false">IF(R319=0,"",_xlfn.TEXTJOIN("; ",TRUE(),K319:Q319))</f>
        <v>ИНН: должно быть 10 цифр</v>
      </c>
      <c r="U319" s="24" t="str">
        <f aca="false">IF(R319=0,"","Здравствуйте! В данных организации «"&amp;B319&amp;"» обнаружены ошибки: "&amp;T319&amp;". Просим проверить и прислать исправленную информацию.")</f>
        <v>Здравствуйте! В данных организации «ООО «Орбита Стандарт»» обнаружены ошибки: ИНН: должно быть 10 цифр. Просим проверить и прислать исправленную информацию.</v>
      </c>
      <c r="V319" s="21" t="n">
        <f aca="false">IF(R319&gt;0,COUNTIF($R$2:R319,"&gt;0"),"")</f>
        <v>97</v>
      </c>
      <c r="W319" s="21" t="str">
        <f aca="false">IF(R319=0,COUNTIF($R$2:R319,0),"")</f>
        <v/>
      </c>
    </row>
    <row r="320" customFormat="false" ht="15" hidden="false" customHeight="false" outlineLevel="0" collapsed="false">
      <c r="A320" s="21" t="n">
        <v>319</v>
      </c>
      <c r="B320" s="22" t="s">
        <v>2577</v>
      </c>
      <c r="C320" s="23" t="s">
        <v>2578</v>
      </c>
      <c r="D320" s="23" t="s">
        <v>2579</v>
      </c>
      <c r="E320" s="23" t="s">
        <v>2580</v>
      </c>
      <c r="F320" s="22" t="s">
        <v>2581</v>
      </c>
      <c r="G320" s="22" t="s">
        <v>2582</v>
      </c>
      <c r="H320" s="22" t="s">
        <v>2583</v>
      </c>
      <c r="I320" s="23" t="s">
        <v>2584</v>
      </c>
      <c r="J320" s="24" t="str">
        <f aca="false">IFERROR(VLOOKUP(VALUE(LEFT(C320,2)),Справочники!$A$2:$B$16,2,FALSE()),"не определён")</f>
        <v>Самарская область</v>
      </c>
      <c r="K320" s="24" t="str">
        <f aca="false">IF(TRIM(C320)="","ИНН не указан",IF(LEN(C320)&lt;&gt;10,"ИНН: должно быть 10 цифр",IF(NOT(ISNUMBER(IFERROR(VALUE(C320),"x"))),"ИНН: есть нецифровые символы",IF(MOD(MOD(SUMPRODUCT(--MID(C320,{1,2,3,4,5,6,7,8,9},1),{2,4,10,3,5,9,4,6,8}),11),10)=VALUE(RIGHT(C320,1)),"","ИНН: неверная контрольная цифра"))))</f>
        <v/>
      </c>
      <c r="L320" s="24" t="str">
        <f aca="false">IF(TRIM(D320)="","ОГРН не указан",IF(LEN(D320)&lt;&gt;13,"ОГРН: должно быть 13 цифр",IF(NOT(ISNUMBER(IFERROR(VALUE(D320),"x"))),"ОГРН: есть нецифровые символы",IF(MOD(VALUE(LEFT(D320,12))-11*INT(VALUE(LEFT(D320,12))/11),10)=VALUE(RIGHT(D320,1)),"","ОГРН: неверная контрольная цифра"))))</f>
        <v/>
      </c>
      <c r="M320" s="24" t="str">
        <f aca="false">IF(TRIM(E320)="","КПП не указан",IF(LEN(E320)&lt;&gt;9,"КПП: должно быть 9 знаков",IF(NOT(AND(ISNUMBER(IFERROR(VALUE(LEFT(E320,4)),"x")),ISNUMBER(IFERROR(VALUE(RIGHT(E320,3)),"x")))),"КПП: неверный формат",IF(LEFT(E320,2)&lt;&gt;LEFT(C320,2),"КПП: код региона не совпадает с ИНН",""))))</f>
        <v/>
      </c>
      <c r="N320" s="24" t="str">
        <f aca="false">IF(TRIM(C320)="","",IF(COUNTIF($C$2:$C$401,C320)&gt;1,"Дубликат ИНН в реестре",""))</f>
        <v/>
      </c>
      <c r="O320" s="24" t="str">
        <f aca="false">IF(TRIM(H320)="","Email не указан",IF(AND(ISNUMBER(FIND("@",H320)),ISNUMBER(FIND(".",H320,IFERROR(FIND("@",H320),1))),ISERROR(FIND(" ",H320)),LEFT(H320,1)&lt;&gt;"@",RIGHT(H320,1)&lt;&gt;".",LEN(H320)-LEN(SUBSTITUTE(H320,"@",""))=1),"","Email: неверный формат"))</f>
        <v>Email: неверный формат</v>
      </c>
      <c r="P320" s="24" t="str">
        <f aca="false">IF(TRIM(I320)="","Телефон не указан",IF(AND(LEN(SUBSTITUTE(SUBSTITUTE(SUBSTITUTE(SUBSTITUTE(SUBSTITUTE(I320," ",""),"-",""),"(",""),")",""),"+",""))=11,OR(LEFT(SUBSTITUTE(SUBSTITUTE(SUBSTITUTE(SUBSTITUTE(SUBSTITUTE(I320," ",""),"-",""),"(",""),")",""),"+",""),1)="7",LEFT(SUBSTITUTE(SUBSTITUTE(SUBSTITUTE(SUBSTITUTE(SUBSTITUTE(I320," ",""),"-",""),"(",""),")",""),"+",""),1)="8"),ISNUMBER(IFERROR(VALUE(SUBSTITUTE(SUBSTITUTE(SUBSTITUTE(SUBSTITUTE(SUBSTITUTE(I320," ",""),"-",""),"(",""),")",""),"+","")),"x"))),"","Телефон: неверный формат"))</f>
        <v/>
      </c>
      <c r="Q320" s="24" t="str">
        <f aca="false">TRIM(IF(TRIM(B320)="","Нет наименования. ","")&amp;IF(TRIM(F320)="","Нет адреса. ","")&amp;IF(TRIM(G320)="","Нет контактного лица.",""))</f>
        <v/>
      </c>
      <c r="R320" s="21" t="n">
        <f aca="false">SUMPRODUCT(--(LEN(K320:Q320)&gt;0))</f>
        <v>1</v>
      </c>
      <c r="S320" s="24" t="str">
        <f aca="false">IF(R320=0,"Готово к передаче","Требует исправления")</f>
        <v>Требует исправления</v>
      </c>
      <c r="T320" s="24" t="str">
        <f aca="false">IF(R320=0,"",_xlfn.TEXTJOIN("; ",TRUE(),K320:Q320))</f>
        <v>Email: неверный формат</v>
      </c>
      <c r="U320" s="24" t="str">
        <f aca="false">IF(R320=0,"","Здравствуйте! В данных организации «"&amp;B320&amp;"» обнаружены ошибки: "&amp;T320&amp;". Просим проверить и прислать исправленную информацию.")</f>
        <v>Здравствуйте! В данных организации «АО «Атлант Агро»» обнаружены ошибки: Email: неверный формат. Просим проверить и прислать исправленную информацию.</v>
      </c>
      <c r="V320" s="21" t="n">
        <f aca="false">IF(R320&gt;0,COUNTIF($R$2:R320,"&gt;0"),"")</f>
        <v>98</v>
      </c>
      <c r="W320" s="21" t="str">
        <f aca="false">IF(R320=0,COUNTIF($R$2:R320,0),"")</f>
        <v/>
      </c>
    </row>
    <row r="321" customFormat="false" ht="15" hidden="false" customHeight="false" outlineLevel="0" collapsed="false">
      <c r="A321" s="21" t="n">
        <v>320</v>
      </c>
      <c r="B321" s="22" t="s">
        <v>2585</v>
      </c>
      <c r="C321" s="23" t="s">
        <v>2586</v>
      </c>
      <c r="D321" s="23" t="s">
        <v>2587</v>
      </c>
      <c r="E321" s="23" t="s">
        <v>2588</v>
      </c>
      <c r="F321" s="22" t="s">
        <v>2589</v>
      </c>
      <c r="G321" s="22" t="s">
        <v>2590</v>
      </c>
      <c r="H321" s="22" t="s">
        <v>2591</v>
      </c>
      <c r="I321" s="23" t="s">
        <v>2592</v>
      </c>
      <c r="J321" s="24" t="str">
        <f aca="false">IFERROR(VLOOKUP(VALUE(LEFT(C321,2)),Справочники!$A$2:$B$16,2,FALSE()),"не определён")</f>
        <v>Республика Татарстан</v>
      </c>
      <c r="K321" s="24" t="str">
        <f aca="false">IF(TRIM(C321)="","ИНН не указан",IF(LEN(C321)&lt;&gt;10,"ИНН: должно быть 10 цифр",IF(NOT(ISNUMBER(IFERROR(VALUE(C321),"x"))),"ИНН: есть нецифровые символы",IF(MOD(MOD(SUMPRODUCT(--MID(C321,{1,2,3,4,5,6,7,8,9},1),{2,4,10,3,5,9,4,6,8}),11),10)=VALUE(RIGHT(C321,1)),"","ИНН: неверная контрольная цифра"))))</f>
        <v/>
      </c>
      <c r="L321" s="24" t="str">
        <f aca="false">IF(TRIM(D321)="","ОГРН не указан",IF(LEN(D321)&lt;&gt;13,"ОГРН: должно быть 13 цифр",IF(NOT(ISNUMBER(IFERROR(VALUE(D321),"x"))),"ОГРН: есть нецифровые символы",IF(MOD(VALUE(LEFT(D321,12))-11*INT(VALUE(LEFT(D321,12))/11),10)=VALUE(RIGHT(D321,1)),"","ОГРН: неверная контрольная цифра"))))</f>
        <v/>
      </c>
      <c r="M321" s="24" t="str">
        <f aca="false">IF(TRIM(E321)="","КПП не указан",IF(LEN(E321)&lt;&gt;9,"КПП: должно быть 9 знаков",IF(NOT(AND(ISNUMBER(IFERROR(VALUE(LEFT(E321,4)),"x")),ISNUMBER(IFERROR(VALUE(RIGHT(E321,3)),"x")))),"КПП: неверный формат",IF(LEFT(E321,2)&lt;&gt;LEFT(C321,2),"КПП: код региона не совпадает с ИНН",""))))</f>
        <v/>
      </c>
      <c r="N321" s="24" t="str">
        <f aca="false">IF(TRIM(C321)="","",IF(COUNTIF($C$2:$C$401,C321)&gt;1,"Дубликат ИНН в реестре",""))</f>
        <v/>
      </c>
      <c r="O321" s="24" t="str">
        <f aca="false">IF(TRIM(H321)="","Email не указан",IF(AND(ISNUMBER(FIND("@",H321)),ISNUMBER(FIND(".",H321,IFERROR(FIND("@",H321),1))),ISERROR(FIND(" ",H321)),LEFT(H321,1)&lt;&gt;"@",RIGHT(H321,1)&lt;&gt;".",LEN(H321)-LEN(SUBSTITUTE(H321,"@",""))=1),"","Email: неверный формат"))</f>
        <v/>
      </c>
      <c r="P321" s="24" t="str">
        <f aca="false">IF(TRIM(I321)="","Телефон не указан",IF(AND(LEN(SUBSTITUTE(SUBSTITUTE(SUBSTITUTE(SUBSTITUTE(SUBSTITUTE(I321," ",""),"-",""),"(",""),")",""),"+",""))=11,OR(LEFT(SUBSTITUTE(SUBSTITUTE(SUBSTITUTE(SUBSTITUTE(SUBSTITUTE(I321," ",""),"-",""),"(",""),")",""),"+",""),1)="7",LEFT(SUBSTITUTE(SUBSTITUTE(SUBSTITUTE(SUBSTITUTE(SUBSTITUTE(I321," ",""),"-",""),"(",""),")",""),"+",""),1)="8"),ISNUMBER(IFERROR(VALUE(SUBSTITUTE(SUBSTITUTE(SUBSTITUTE(SUBSTITUTE(SUBSTITUTE(I321," ",""),"-",""),"(",""),")",""),"+","")),"x"))),"","Телефон: неверный формат"))</f>
        <v/>
      </c>
      <c r="Q321" s="24" t="str">
        <f aca="false">TRIM(IF(TRIM(B321)="","Нет наименования. ","")&amp;IF(TRIM(F321)="","Нет адреса. ","")&amp;IF(TRIM(G321)="","Нет контактного лица.",""))</f>
        <v/>
      </c>
      <c r="R321" s="21" t="n">
        <f aca="false">SUMPRODUCT(--(LEN(K321:Q321)&gt;0))</f>
        <v>0</v>
      </c>
      <c r="S321" s="24" t="str">
        <f aca="false">IF(R321=0,"Готово к передаче","Требует исправления")</f>
        <v>Готово к передаче</v>
      </c>
      <c r="T321" s="24" t="str">
        <f aca="false">IF(R321=0,"",_xlfn.TEXTJOIN("; ",TRUE(),K321:Q321))</f>
        <v/>
      </c>
      <c r="U321" s="24" t="str">
        <f aca="false">IF(R321=0,"","Здравствуйте! В данных организации «"&amp;B321&amp;"» обнаружены ошибки: "&amp;T321&amp;". Просим проверить и прислать исправленную информацию.")</f>
        <v/>
      </c>
      <c r="V321" s="21" t="str">
        <f aca="false">IF(R321&gt;0,COUNTIF($R$2:R321,"&gt;0"),"")</f>
        <v/>
      </c>
      <c r="W321" s="21" t="n">
        <f aca="false">IF(R321=0,COUNTIF($R$2:R321,0),"")</f>
        <v>222</v>
      </c>
    </row>
    <row r="322" customFormat="false" ht="15" hidden="false" customHeight="false" outlineLevel="0" collapsed="false">
      <c r="A322" s="21" t="n">
        <v>321</v>
      </c>
      <c r="B322" s="22" t="s">
        <v>2593</v>
      </c>
      <c r="C322" s="23" t="s">
        <v>2594</v>
      </c>
      <c r="D322" s="23" t="s">
        <v>2595</v>
      </c>
      <c r="E322" s="23" t="s">
        <v>2596</v>
      </c>
      <c r="F322" s="22" t="s">
        <v>2597</v>
      </c>
      <c r="G322" s="22" t="s">
        <v>2598</v>
      </c>
      <c r="H322" s="22" t="s">
        <v>2599</v>
      </c>
      <c r="I322" s="23" t="s">
        <v>2600</v>
      </c>
      <c r="J322" s="24" t="str">
        <f aca="false">IFERROR(VLOOKUP(VALUE(LEFT(C322,2)),Справочники!$A$2:$B$16,2,FALSE()),"не определён")</f>
        <v>г. Москва</v>
      </c>
      <c r="K322" s="24" t="str">
        <f aca="false">IF(TRIM(C322)="","ИНН не указан",IF(LEN(C322)&lt;&gt;10,"ИНН: должно быть 10 цифр",IF(NOT(ISNUMBER(IFERROR(VALUE(C322),"x"))),"ИНН: есть нецифровые символы",IF(MOD(MOD(SUMPRODUCT(--MID(C322,{1,2,3,4,5,6,7,8,9},1),{2,4,10,3,5,9,4,6,8}),11),10)=VALUE(RIGHT(C322,1)),"","ИНН: неверная контрольная цифра"))))</f>
        <v/>
      </c>
      <c r="L322" s="24" t="str">
        <f aca="false">IF(TRIM(D322)="","ОГРН не указан",IF(LEN(D322)&lt;&gt;13,"ОГРН: должно быть 13 цифр",IF(NOT(ISNUMBER(IFERROR(VALUE(D322),"x"))),"ОГРН: есть нецифровые символы",IF(MOD(VALUE(LEFT(D322,12))-11*INT(VALUE(LEFT(D322,12))/11),10)=VALUE(RIGHT(D322,1)),"","ОГРН: неверная контрольная цифра"))))</f>
        <v/>
      </c>
      <c r="M322" s="24" t="str">
        <f aca="false">IF(TRIM(E322)="","КПП не указан",IF(LEN(E322)&lt;&gt;9,"КПП: должно быть 9 знаков",IF(NOT(AND(ISNUMBER(IFERROR(VALUE(LEFT(E322,4)),"x")),ISNUMBER(IFERROR(VALUE(RIGHT(E322,3)),"x")))),"КПП: неверный формат",IF(LEFT(E322,2)&lt;&gt;LEFT(C322,2),"КПП: код региона не совпадает с ИНН",""))))</f>
        <v/>
      </c>
      <c r="N322" s="24" t="str">
        <f aca="false">IF(TRIM(C322)="","",IF(COUNTIF($C$2:$C$401,C322)&gt;1,"Дубликат ИНН в реестре",""))</f>
        <v/>
      </c>
      <c r="O322" s="24" t="str">
        <f aca="false">IF(TRIM(H322)="","Email не указан",IF(AND(ISNUMBER(FIND("@",H322)),ISNUMBER(FIND(".",H322,IFERROR(FIND("@",H322),1))),ISERROR(FIND(" ",H322)),LEFT(H322,1)&lt;&gt;"@",RIGHT(H322,1)&lt;&gt;".",LEN(H322)-LEN(SUBSTITUTE(H322,"@",""))=1),"","Email: неверный формат"))</f>
        <v/>
      </c>
      <c r="P322" s="24" t="str">
        <f aca="false">IF(TRIM(I322)="","Телефон не указан",IF(AND(LEN(SUBSTITUTE(SUBSTITUTE(SUBSTITUTE(SUBSTITUTE(SUBSTITUTE(I322," ",""),"-",""),"(",""),")",""),"+",""))=11,OR(LEFT(SUBSTITUTE(SUBSTITUTE(SUBSTITUTE(SUBSTITUTE(SUBSTITUTE(I322," ",""),"-",""),"(",""),")",""),"+",""),1)="7",LEFT(SUBSTITUTE(SUBSTITUTE(SUBSTITUTE(SUBSTITUTE(SUBSTITUTE(I322," ",""),"-",""),"(",""),")",""),"+",""),1)="8"),ISNUMBER(IFERROR(VALUE(SUBSTITUTE(SUBSTITUTE(SUBSTITUTE(SUBSTITUTE(SUBSTITUTE(I322," ",""),"-",""),"(",""),")",""),"+","")),"x"))),"","Телефон: неверный формат"))</f>
        <v/>
      </c>
      <c r="Q322" s="24" t="str">
        <f aca="false">TRIM(IF(TRIM(B322)="","Нет наименования. ","")&amp;IF(TRIM(F322)="","Нет адреса. ","")&amp;IF(TRIM(G322)="","Нет контактного лица.",""))</f>
        <v/>
      </c>
      <c r="R322" s="21" t="n">
        <f aca="false">SUMPRODUCT(--(LEN(K322:Q322)&gt;0))</f>
        <v>0</v>
      </c>
      <c r="S322" s="24" t="str">
        <f aca="false">IF(R322=0,"Готово к передаче","Требует исправления")</f>
        <v>Готово к передаче</v>
      </c>
      <c r="T322" s="24" t="str">
        <f aca="false">IF(R322=0,"",_xlfn.TEXTJOIN("; ",TRUE(),K322:Q322))</f>
        <v/>
      </c>
      <c r="U322" s="24" t="str">
        <f aca="false">IF(R322=0,"","Здравствуйте! В данных организации «"&amp;B322&amp;"» обнаружены ошибки: "&amp;T322&amp;". Просим проверить и прислать исправленную информацию.")</f>
        <v/>
      </c>
      <c r="V322" s="21" t="str">
        <f aca="false">IF(R322&gt;0,COUNTIF($R$2:R322,"&gt;0"),"")</f>
        <v/>
      </c>
      <c r="W322" s="21" t="n">
        <f aca="false">IF(R322=0,COUNTIF($R$2:R322,0),"")</f>
        <v>223</v>
      </c>
    </row>
    <row r="323" customFormat="false" ht="15" hidden="false" customHeight="false" outlineLevel="0" collapsed="false">
      <c r="A323" s="21" t="n">
        <v>322</v>
      </c>
      <c r="B323" s="22" t="s">
        <v>2601</v>
      </c>
      <c r="C323" s="23" t="s">
        <v>2602</v>
      </c>
      <c r="D323" s="23" t="s">
        <v>2603</v>
      </c>
      <c r="E323" s="23" t="s">
        <v>2604</v>
      </c>
      <c r="F323" s="22" t="s">
        <v>2605</v>
      </c>
      <c r="G323" s="22" t="s">
        <v>2606</v>
      </c>
      <c r="H323" s="22" t="s">
        <v>2607</v>
      </c>
      <c r="I323" s="23" t="s">
        <v>2608</v>
      </c>
      <c r="J323" s="24" t="str">
        <f aca="false">IFERROR(VLOOKUP(VALUE(LEFT(C323,2)),Справочники!$A$2:$B$16,2,FALSE()),"не определён")</f>
        <v>Свердловская область</v>
      </c>
      <c r="K323" s="24" t="str">
        <f aca="false">IF(TRIM(C323)="","ИНН не указан",IF(LEN(C323)&lt;&gt;10,"ИНН: должно быть 10 цифр",IF(NOT(ISNUMBER(IFERROR(VALUE(C323),"x"))),"ИНН: есть нецифровые символы",IF(MOD(MOD(SUMPRODUCT(--MID(C323,{1,2,3,4,5,6,7,8,9},1),{2,4,10,3,5,9,4,6,8}),11),10)=VALUE(RIGHT(C323,1)),"","ИНН: неверная контрольная цифра"))))</f>
        <v/>
      </c>
      <c r="L323" s="24" t="str">
        <f aca="false">IF(TRIM(D323)="","ОГРН не указан",IF(LEN(D323)&lt;&gt;13,"ОГРН: должно быть 13 цифр",IF(NOT(ISNUMBER(IFERROR(VALUE(D323),"x"))),"ОГРН: есть нецифровые символы",IF(MOD(VALUE(LEFT(D323,12))-11*INT(VALUE(LEFT(D323,12))/11),10)=VALUE(RIGHT(D323,1)),"","ОГРН: неверная контрольная цифра"))))</f>
        <v/>
      </c>
      <c r="M323" s="24" t="str">
        <f aca="false">IF(TRIM(E323)="","КПП не указан",IF(LEN(E323)&lt;&gt;9,"КПП: должно быть 9 знаков",IF(NOT(AND(ISNUMBER(IFERROR(VALUE(LEFT(E323,4)),"x")),ISNUMBER(IFERROR(VALUE(RIGHT(E323,3)),"x")))),"КПП: неверный формат",IF(LEFT(E323,2)&lt;&gt;LEFT(C323,2),"КПП: код региона не совпадает с ИНН",""))))</f>
        <v/>
      </c>
      <c r="N323" s="24" t="str">
        <f aca="false">IF(TRIM(C323)="","",IF(COUNTIF($C$2:$C$401,C323)&gt;1,"Дубликат ИНН в реестре",""))</f>
        <v/>
      </c>
      <c r="O323" s="24" t="str">
        <f aca="false">IF(TRIM(H323)="","Email не указан",IF(AND(ISNUMBER(FIND("@",H323)),ISNUMBER(FIND(".",H323,IFERROR(FIND("@",H323),1))),ISERROR(FIND(" ",H323)),LEFT(H323,1)&lt;&gt;"@",RIGHT(H323,1)&lt;&gt;".",LEN(H323)-LEN(SUBSTITUTE(H323,"@",""))=1),"","Email: неверный формат"))</f>
        <v/>
      </c>
      <c r="P323" s="24" t="str">
        <f aca="false">IF(TRIM(I323)="","Телефон не указан",IF(AND(LEN(SUBSTITUTE(SUBSTITUTE(SUBSTITUTE(SUBSTITUTE(SUBSTITUTE(I323," ",""),"-",""),"(",""),")",""),"+",""))=11,OR(LEFT(SUBSTITUTE(SUBSTITUTE(SUBSTITUTE(SUBSTITUTE(SUBSTITUTE(I323," ",""),"-",""),"(",""),")",""),"+",""),1)="7",LEFT(SUBSTITUTE(SUBSTITUTE(SUBSTITUTE(SUBSTITUTE(SUBSTITUTE(I323," ",""),"-",""),"(",""),")",""),"+",""),1)="8"),ISNUMBER(IFERROR(VALUE(SUBSTITUTE(SUBSTITUTE(SUBSTITUTE(SUBSTITUTE(SUBSTITUTE(I323," ",""),"-",""),"(",""),")",""),"+","")),"x"))),"","Телефон: неверный формат"))</f>
        <v/>
      </c>
      <c r="Q323" s="24" t="str">
        <f aca="false">TRIM(IF(TRIM(B323)="","Нет наименования. ","")&amp;IF(TRIM(F323)="","Нет адреса. ","")&amp;IF(TRIM(G323)="","Нет контактного лица.",""))</f>
        <v/>
      </c>
      <c r="R323" s="21" t="n">
        <f aca="false">SUMPRODUCT(--(LEN(K323:Q323)&gt;0))</f>
        <v>0</v>
      </c>
      <c r="S323" s="24" t="str">
        <f aca="false">IF(R323=0,"Готово к передаче","Требует исправления")</f>
        <v>Готово к передаче</v>
      </c>
      <c r="T323" s="24" t="str">
        <f aca="false">IF(R323=0,"",_xlfn.TEXTJOIN("; ",TRUE(),K323:Q323))</f>
        <v/>
      </c>
      <c r="U323" s="24" t="str">
        <f aca="false">IF(R323=0,"","Здравствуйте! В данных организации «"&amp;B323&amp;"» обнаружены ошибки: "&amp;T323&amp;". Просим проверить и прислать исправленную информацию.")</f>
        <v/>
      </c>
      <c r="V323" s="21" t="str">
        <f aca="false">IF(R323&gt;0,COUNTIF($R$2:R323,"&gt;0"),"")</f>
        <v/>
      </c>
      <c r="W323" s="21" t="n">
        <f aca="false">IF(R323=0,COUNTIF($R$2:R323,0),"")</f>
        <v>224</v>
      </c>
    </row>
    <row r="324" customFormat="false" ht="15" hidden="false" customHeight="false" outlineLevel="0" collapsed="false">
      <c r="A324" s="21" t="n">
        <v>323</v>
      </c>
      <c r="B324" s="22" t="s">
        <v>2609</v>
      </c>
      <c r="C324" s="23" t="s">
        <v>2610</v>
      </c>
      <c r="D324" s="23" t="s">
        <v>2611</v>
      </c>
      <c r="E324" s="23" t="s">
        <v>2612</v>
      </c>
      <c r="F324" s="22" t="s">
        <v>2613</v>
      </c>
      <c r="G324" s="22" t="s">
        <v>2146</v>
      </c>
      <c r="H324" s="22" t="s">
        <v>2614</v>
      </c>
      <c r="I324" s="23" t="s">
        <v>2615</v>
      </c>
      <c r="J324" s="24" t="str">
        <f aca="false">IFERROR(VLOOKUP(VALUE(LEFT(C324,2)),Справочники!$A$2:$B$16,2,FALSE()),"не определён")</f>
        <v>г. Москва</v>
      </c>
      <c r="K324" s="24" t="str">
        <f aca="false">IF(TRIM(C324)="","ИНН не указан",IF(LEN(C324)&lt;&gt;10,"ИНН: должно быть 10 цифр",IF(NOT(ISNUMBER(IFERROR(VALUE(C324),"x"))),"ИНН: есть нецифровые символы",IF(MOD(MOD(SUMPRODUCT(--MID(C324,{1,2,3,4,5,6,7,8,9},1),{2,4,10,3,5,9,4,6,8}),11),10)=VALUE(RIGHT(C324,1)),"","ИНН: неверная контрольная цифра"))))</f>
        <v/>
      </c>
      <c r="L324" s="24" t="str">
        <f aca="false">IF(TRIM(D324)="","ОГРН не указан",IF(LEN(D324)&lt;&gt;13,"ОГРН: должно быть 13 цифр",IF(NOT(ISNUMBER(IFERROR(VALUE(D324),"x"))),"ОГРН: есть нецифровые символы",IF(MOD(VALUE(LEFT(D324,12))-11*INT(VALUE(LEFT(D324,12))/11),10)=VALUE(RIGHT(D324,1)),"","ОГРН: неверная контрольная цифра"))))</f>
        <v/>
      </c>
      <c r="M324" s="24" t="str">
        <f aca="false">IF(TRIM(E324)="","КПП не указан",IF(LEN(E324)&lt;&gt;9,"КПП: должно быть 9 знаков",IF(NOT(AND(ISNUMBER(IFERROR(VALUE(LEFT(E324,4)),"x")),ISNUMBER(IFERROR(VALUE(RIGHT(E324,3)),"x")))),"КПП: неверный формат",IF(LEFT(E324,2)&lt;&gt;LEFT(C324,2),"КПП: код региона не совпадает с ИНН",""))))</f>
        <v/>
      </c>
      <c r="N324" s="24" t="str">
        <f aca="false">IF(TRIM(C324)="","",IF(COUNTIF($C$2:$C$401,C324)&gt;1,"Дубликат ИНН в реестре",""))</f>
        <v/>
      </c>
      <c r="O324" s="24" t="str">
        <f aca="false">IF(TRIM(H324)="","Email не указан",IF(AND(ISNUMBER(FIND("@",H324)),ISNUMBER(FIND(".",H324,IFERROR(FIND("@",H324),1))),ISERROR(FIND(" ",H324)),LEFT(H324,1)&lt;&gt;"@",RIGHT(H324,1)&lt;&gt;".",LEN(H324)-LEN(SUBSTITUTE(H324,"@",""))=1),"","Email: неверный формат"))</f>
        <v/>
      </c>
      <c r="P324" s="24" t="str">
        <f aca="false">IF(TRIM(I324)="","Телефон не указан",IF(AND(LEN(SUBSTITUTE(SUBSTITUTE(SUBSTITUTE(SUBSTITUTE(SUBSTITUTE(I324," ",""),"-",""),"(",""),")",""),"+",""))=11,OR(LEFT(SUBSTITUTE(SUBSTITUTE(SUBSTITUTE(SUBSTITUTE(SUBSTITUTE(I324," ",""),"-",""),"(",""),")",""),"+",""),1)="7",LEFT(SUBSTITUTE(SUBSTITUTE(SUBSTITUTE(SUBSTITUTE(SUBSTITUTE(I324," ",""),"-",""),"(",""),")",""),"+",""),1)="8"),ISNUMBER(IFERROR(VALUE(SUBSTITUTE(SUBSTITUTE(SUBSTITUTE(SUBSTITUTE(SUBSTITUTE(I324," ",""),"-",""),"(",""),")",""),"+","")),"x"))),"","Телефон: неверный формат"))</f>
        <v/>
      </c>
      <c r="Q324" s="24" t="str">
        <f aca="false">TRIM(IF(TRIM(B324)="","Нет наименования. ","")&amp;IF(TRIM(F324)="","Нет адреса. ","")&amp;IF(TRIM(G324)="","Нет контактного лица.",""))</f>
        <v/>
      </c>
      <c r="R324" s="21" t="n">
        <f aca="false">SUMPRODUCT(--(LEN(K324:Q324)&gt;0))</f>
        <v>0</v>
      </c>
      <c r="S324" s="24" t="str">
        <f aca="false">IF(R324=0,"Готово к передаче","Требует исправления")</f>
        <v>Готово к передаче</v>
      </c>
      <c r="T324" s="24" t="str">
        <f aca="false">IF(R324=0,"",_xlfn.TEXTJOIN("; ",TRUE(),K324:Q324))</f>
        <v/>
      </c>
      <c r="U324" s="24" t="str">
        <f aca="false">IF(R324=0,"","Здравствуйте! В данных организации «"&amp;B324&amp;"» обнаружены ошибки: "&amp;T324&amp;". Просим проверить и прислать исправленную информацию.")</f>
        <v/>
      </c>
      <c r="V324" s="21" t="str">
        <f aca="false">IF(R324&gt;0,COUNTIF($R$2:R324,"&gt;0"),"")</f>
        <v/>
      </c>
      <c r="W324" s="21" t="n">
        <f aca="false">IF(R324=0,COUNTIF($R$2:R324,0),"")</f>
        <v>225</v>
      </c>
    </row>
    <row r="325" customFormat="false" ht="15" hidden="false" customHeight="false" outlineLevel="0" collapsed="false">
      <c r="A325" s="21" t="n">
        <v>324</v>
      </c>
      <c r="B325" s="22" t="s">
        <v>2616</v>
      </c>
      <c r="C325" s="23" t="s">
        <v>2617</v>
      </c>
      <c r="D325" s="23" t="s">
        <v>2618</v>
      </c>
      <c r="E325" s="23" t="s">
        <v>2619</v>
      </c>
      <c r="F325" s="22" t="s">
        <v>2620</v>
      </c>
      <c r="G325" s="22" t="s">
        <v>2621</v>
      </c>
      <c r="H325" s="22" t="s">
        <v>2622</v>
      </c>
      <c r="I325" s="23" t="s">
        <v>2623</v>
      </c>
      <c r="J325" s="24" t="str">
        <f aca="false">IFERROR(VLOOKUP(VALUE(LEFT(C325,2)),Справочники!$A$2:$B$16,2,FALSE()),"не определён")</f>
        <v>г. Москва</v>
      </c>
      <c r="K325" s="24" t="str">
        <f aca="false">IF(TRIM(C325)="","ИНН не указан",IF(LEN(C325)&lt;&gt;10,"ИНН: должно быть 10 цифр",IF(NOT(ISNUMBER(IFERROR(VALUE(C325),"x"))),"ИНН: есть нецифровые символы",IF(MOD(MOD(SUMPRODUCT(--MID(C325,{1,2,3,4,5,6,7,8,9},1),{2,4,10,3,5,9,4,6,8}),11),10)=VALUE(RIGHT(C325,1)),"","ИНН: неверная контрольная цифра"))))</f>
        <v/>
      </c>
      <c r="L325" s="24" t="str">
        <f aca="false">IF(TRIM(D325)="","ОГРН не указан",IF(LEN(D325)&lt;&gt;13,"ОГРН: должно быть 13 цифр",IF(NOT(ISNUMBER(IFERROR(VALUE(D325),"x"))),"ОГРН: есть нецифровые символы",IF(MOD(VALUE(LEFT(D325,12))-11*INT(VALUE(LEFT(D325,12))/11),10)=VALUE(RIGHT(D325,1)),"","ОГРН: неверная контрольная цифра"))))</f>
        <v/>
      </c>
      <c r="M325" s="24" t="str">
        <f aca="false">IF(TRIM(E325)="","КПП не указан",IF(LEN(E325)&lt;&gt;9,"КПП: должно быть 9 знаков",IF(NOT(AND(ISNUMBER(IFERROR(VALUE(LEFT(E325,4)),"x")),ISNUMBER(IFERROR(VALUE(RIGHT(E325,3)),"x")))),"КПП: неверный формат",IF(LEFT(E325,2)&lt;&gt;LEFT(C325,2),"КПП: код региона не совпадает с ИНН",""))))</f>
        <v/>
      </c>
      <c r="N325" s="24" t="str">
        <f aca="false">IF(TRIM(C325)="","",IF(COUNTIF($C$2:$C$401,C325)&gt;1,"Дубликат ИНН в реестре",""))</f>
        <v/>
      </c>
      <c r="O325" s="24" t="str">
        <f aca="false">IF(TRIM(H325)="","Email не указан",IF(AND(ISNUMBER(FIND("@",H325)),ISNUMBER(FIND(".",H325,IFERROR(FIND("@",H325),1))),ISERROR(FIND(" ",H325)),LEFT(H325,1)&lt;&gt;"@",RIGHT(H325,1)&lt;&gt;".",LEN(H325)-LEN(SUBSTITUTE(H325,"@",""))=1),"","Email: неверный формат"))</f>
        <v/>
      </c>
      <c r="P325" s="24" t="str">
        <f aca="false">IF(TRIM(I325)="","Телефон не указан",IF(AND(LEN(SUBSTITUTE(SUBSTITUTE(SUBSTITUTE(SUBSTITUTE(SUBSTITUTE(I325," ",""),"-",""),"(",""),")",""),"+",""))=11,OR(LEFT(SUBSTITUTE(SUBSTITUTE(SUBSTITUTE(SUBSTITUTE(SUBSTITUTE(I325," ",""),"-",""),"(",""),")",""),"+",""),1)="7",LEFT(SUBSTITUTE(SUBSTITUTE(SUBSTITUTE(SUBSTITUTE(SUBSTITUTE(I325," ",""),"-",""),"(",""),")",""),"+",""),1)="8"),ISNUMBER(IFERROR(VALUE(SUBSTITUTE(SUBSTITUTE(SUBSTITUTE(SUBSTITUTE(SUBSTITUTE(I325," ",""),"-",""),"(",""),")",""),"+","")),"x"))),"","Телефон: неверный формат"))</f>
        <v/>
      </c>
      <c r="Q325" s="24" t="str">
        <f aca="false">TRIM(IF(TRIM(B325)="","Нет наименования. ","")&amp;IF(TRIM(F325)="","Нет адреса. ","")&amp;IF(TRIM(G325)="","Нет контактного лица.",""))</f>
        <v/>
      </c>
      <c r="R325" s="21" t="n">
        <f aca="false">SUMPRODUCT(--(LEN(K325:Q325)&gt;0))</f>
        <v>0</v>
      </c>
      <c r="S325" s="24" t="str">
        <f aca="false">IF(R325=0,"Готово к передаче","Требует исправления")</f>
        <v>Готово к передаче</v>
      </c>
      <c r="T325" s="24" t="str">
        <f aca="false">IF(R325=0,"",_xlfn.TEXTJOIN("; ",TRUE(),K325:Q325))</f>
        <v/>
      </c>
      <c r="U325" s="24" t="str">
        <f aca="false">IF(R325=0,"","Здравствуйте! В данных организации «"&amp;B325&amp;"» обнаружены ошибки: "&amp;T325&amp;". Просим проверить и прислать исправленную информацию.")</f>
        <v/>
      </c>
      <c r="V325" s="21" t="str">
        <f aca="false">IF(R325&gt;0,COUNTIF($R$2:R325,"&gt;0"),"")</f>
        <v/>
      </c>
      <c r="W325" s="21" t="n">
        <f aca="false">IF(R325=0,COUNTIF($R$2:R325,0),"")</f>
        <v>226</v>
      </c>
    </row>
    <row r="326" customFormat="false" ht="15" hidden="false" customHeight="false" outlineLevel="0" collapsed="false">
      <c r="A326" s="21" t="n">
        <v>325</v>
      </c>
      <c r="B326" s="22" t="s">
        <v>2624</v>
      </c>
      <c r="C326" s="23" t="s">
        <v>2625</v>
      </c>
      <c r="D326" s="23" t="s">
        <v>2626</v>
      </c>
      <c r="E326" s="23" t="s">
        <v>2627</v>
      </c>
      <c r="F326" s="22" t="s">
        <v>2628</v>
      </c>
      <c r="G326" s="22" t="s">
        <v>2629</v>
      </c>
      <c r="H326" s="22" t="s">
        <v>2630</v>
      </c>
      <c r="I326" s="23" t="s">
        <v>2631</v>
      </c>
      <c r="J326" s="24" t="str">
        <f aca="false">IFERROR(VLOOKUP(VALUE(LEFT(C326,2)),Справочники!$A$2:$B$16,2,FALSE()),"не определён")</f>
        <v>г. Санкт-Петербург</v>
      </c>
      <c r="K326" s="24" t="str">
        <f aca="false">IF(TRIM(C326)="","ИНН не указан",IF(LEN(C326)&lt;&gt;10,"ИНН: должно быть 10 цифр",IF(NOT(ISNUMBER(IFERROR(VALUE(C326),"x"))),"ИНН: есть нецифровые символы",IF(MOD(MOD(SUMPRODUCT(--MID(C326,{1,2,3,4,5,6,7,8,9},1),{2,4,10,3,5,9,4,6,8}),11),10)=VALUE(RIGHT(C326,1)),"","ИНН: неверная контрольная цифра"))))</f>
        <v/>
      </c>
      <c r="L326" s="24" t="str">
        <f aca="false">IF(TRIM(D326)="","ОГРН не указан",IF(LEN(D326)&lt;&gt;13,"ОГРН: должно быть 13 цифр",IF(NOT(ISNUMBER(IFERROR(VALUE(D326),"x"))),"ОГРН: есть нецифровые символы",IF(MOD(VALUE(LEFT(D326,12))-11*INT(VALUE(LEFT(D326,12))/11),10)=VALUE(RIGHT(D326,1)),"","ОГРН: неверная контрольная цифра"))))</f>
        <v/>
      </c>
      <c r="M326" s="24" t="str">
        <f aca="false">IF(TRIM(E326)="","КПП не указан",IF(LEN(E326)&lt;&gt;9,"КПП: должно быть 9 знаков",IF(NOT(AND(ISNUMBER(IFERROR(VALUE(LEFT(E326,4)),"x")),ISNUMBER(IFERROR(VALUE(RIGHT(E326,3)),"x")))),"КПП: неверный формат",IF(LEFT(E326,2)&lt;&gt;LEFT(C326,2),"КПП: код региона не совпадает с ИНН",""))))</f>
        <v/>
      </c>
      <c r="N326" s="24" t="str">
        <f aca="false">IF(TRIM(C326)="","",IF(COUNTIF($C$2:$C$401,C326)&gt;1,"Дубликат ИНН в реестре",""))</f>
        <v/>
      </c>
      <c r="O326" s="24" t="str">
        <f aca="false">IF(TRIM(H326)="","Email не указан",IF(AND(ISNUMBER(FIND("@",H326)),ISNUMBER(FIND(".",H326,IFERROR(FIND("@",H326),1))),ISERROR(FIND(" ",H326)),LEFT(H326,1)&lt;&gt;"@",RIGHT(H326,1)&lt;&gt;".",LEN(H326)-LEN(SUBSTITUTE(H326,"@",""))=1),"","Email: неверный формат"))</f>
        <v/>
      </c>
      <c r="P326" s="24" t="str">
        <f aca="false">IF(TRIM(I326)="","Телефон не указан",IF(AND(LEN(SUBSTITUTE(SUBSTITUTE(SUBSTITUTE(SUBSTITUTE(SUBSTITUTE(I326," ",""),"-",""),"(",""),")",""),"+",""))=11,OR(LEFT(SUBSTITUTE(SUBSTITUTE(SUBSTITUTE(SUBSTITUTE(SUBSTITUTE(I326," ",""),"-",""),"(",""),")",""),"+",""),1)="7",LEFT(SUBSTITUTE(SUBSTITUTE(SUBSTITUTE(SUBSTITUTE(SUBSTITUTE(I326," ",""),"-",""),"(",""),")",""),"+",""),1)="8"),ISNUMBER(IFERROR(VALUE(SUBSTITUTE(SUBSTITUTE(SUBSTITUTE(SUBSTITUTE(SUBSTITUTE(I326," ",""),"-",""),"(",""),")",""),"+","")),"x"))),"","Телефон: неверный формат"))</f>
        <v/>
      </c>
      <c r="Q326" s="24" t="str">
        <f aca="false">TRIM(IF(TRIM(B326)="","Нет наименования. ","")&amp;IF(TRIM(F326)="","Нет адреса. ","")&amp;IF(TRIM(G326)="","Нет контактного лица.",""))</f>
        <v/>
      </c>
      <c r="R326" s="21" t="n">
        <f aca="false">SUMPRODUCT(--(LEN(K326:Q326)&gt;0))</f>
        <v>0</v>
      </c>
      <c r="S326" s="24" t="str">
        <f aca="false">IF(R326=0,"Готово к передаче","Требует исправления")</f>
        <v>Готово к передаче</v>
      </c>
      <c r="T326" s="24" t="str">
        <f aca="false">IF(R326=0,"",_xlfn.TEXTJOIN("; ",TRUE(),K326:Q326))</f>
        <v/>
      </c>
      <c r="U326" s="24" t="str">
        <f aca="false">IF(R326=0,"","Здравствуйте! В данных организации «"&amp;B326&amp;"» обнаружены ошибки: "&amp;T326&amp;". Просим проверить и прислать исправленную информацию.")</f>
        <v/>
      </c>
      <c r="V326" s="21" t="str">
        <f aca="false">IF(R326&gt;0,COUNTIF($R$2:R326,"&gt;0"),"")</f>
        <v/>
      </c>
      <c r="W326" s="21" t="n">
        <f aca="false">IF(R326=0,COUNTIF($R$2:R326,0),"")</f>
        <v>227</v>
      </c>
    </row>
    <row r="327" customFormat="false" ht="15" hidden="false" customHeight="false" outlineLevel="0" collapsed="false">
      <c r="A327" s="21" t="n">
        <v>326</v>
      </c>
      <c r="B327" s="22" t="s">
        <v>2632</v>
      </c>
      <c r="C327" s="23" t="s">
        <v>2633</v>
      </c>
      <c r="D327" s="23" t="s">
        <v>2634</v>
      </c>
      <c r="E327" s="23" t="s">
        <v>2635</v>
      </c>
      <c r="F327" s="22" t="s">
        <v>2636</v>
      </c>
      <c r="G327" s="22" t="s">
        <v>2637</v>
      </c>
      <c r="H327" s="22" t="s">
        <v>2638</v>
      </c>
      <c r="I327" s="23" t="s">
        <v>2639</v>
      </c>
      <c r="J327" s="24" t="str">
        <f aca="false">IFERROR(VLOOKUP(VALUE(LEFT(C327,2)),Справочники!$A$2:$B$16,2,FALSE()),"не определён")</f>
        <v>г. Москва</v>
      </c>
      <c r="K327" s="24" t="str">
        <f aca="false">IF(TRIM(C327)="","ИНН не указан",IF(LEN(C327)&lt;&gt;10,"ИНН: должно быть 10 цифр",IF(NOT(ISNUMBER(IFERROR(VALUE(C327),"x"))),"ИНН: есть нецифровые символы",IF(MOD(MOD(SUMPRODUCT(--MID(C327,{1,2,3,4,5,6,7,8,9},1),{2,4,10,3,5,9,4,6,8}),11),10)=VALUE(RIGHT(C327,1)),"","ИНН: неверная контрольная цифра"))))</f>
        <v/>
      </c>
      <c r="L327" s="24" t="str">
        <f aca="false">IF(TRIM(D327)="","ОГРН не указан",IF(LEN(D327)&lt;&gt;13,"ОГРН: должно быть 13 цифр",IF(NOT(ISNUMBER(IFERROR(VALUE(D327),"x"))),"ОГРН: есть нецифровые символы",IF(MOD(VALUE(LEFT(D327,12))-11*INT(VALUE(LEFT(D327,12))/11),10)=VALUE(RIGHT(D327,1)),"","ОГРН: неверная контрольная цифра"))))</f>
        <v/>
      </c>
      <c r="M327" s="24" t="str">
        <f aca="false">IF(TRIM(E327)="","КПП не указан",IF(LEN(E327)&lt;&gt;9,"КПП: должно быть 9 знаков",IF(NOT(AND(ISNUMBER(IFERROR(VALUE(LEFT(E327,4)),"x")),ISNUMBER(IFERROR(VALUE(RIGHT(E327,3)),"x")))),"КПП: неверный формат",IF(LEFT(E327,2)&lt;&gt;LEFT(C327,2),"КПП: код региона не совпадает с ИНН",""))))</f>
        <v/>
      </c>
      <c r="N327" s="24" t="str">
        <f aca="false">IF(TRIM(C327)="","",IF(COUNTIF($C$2:$C$401,C327)&gt;1,"Дубликат ИНН в реестре",""))</f>
        <v/>
      </c>
      <c r="O327" s="24" t="str">
        <f aca="false">IF(TRIM(H327)="","Email не указан",IF(AND(ISNUMBER(FIND("@",H327)),ISNUMBER(FIND(".",H327,IFERROR(FIND("@",H327),1))),ISERROR(FIND(" ",H327)),LEFT(H327,1)&lt;&gt;"@",RIGHT(H327,1)&lt;&gt;".",LEN(H327)-LEN(SUBSTITUTE(H327,"@",""))=1),"","Email: неверный формат"))</f>
        <v/>
      </c>
      <c r="P327" s="24" t="str">
        <f aca="false">IF(TRIM(I327)="","Телефон не указан",IF(AND(LEN(SUBSTITUTE(SUBSTITUTE(SUBSTITUTE(SUBSTITUTE(SUBSTITUTE(I327," ",""),"-",""),"(",""),")",""),"+",""))=11,OR(LEFT(SUBSTITUTE(SUBSTITUTE(SUBSTITUTE(SUBSTITUTE(SUBSTITUTE(I327," ",""),"-",""),"(",""),")",""),"+",""),1)="7",LEFT(SUBSTITUTE(SUBSTITUTE(SUBSTITUTE(SUBSTITUTE(SUBSTITUTE(I327," ",""),"-",""),"(",""),")",""),"+",""),1)="8"),ISNUMBER(IFERROR(VALUE(SUBSTITUTE(SUBSTITUTE(SUBSTITUTE(SUBSTITUTE(SUBSTITUTE(I327," ",""),"-",""),"(",""),")",""),"+","")),"x"))),"","Телефон: неверный формат"))</f>
        <v/>
      </c>
      <c r="Q327" s="24" t="str">
        <f aca="false">TRIM(IF(TRIM(B327)="","Нет наименования. ","")&amp;IF(TRIM(F327)="","Нет адреса. ","")&amp;IF(TRIM(G327)="","Нет контактного лица.",""))</f>
        <v/>
      </c>
      <c r="R327" s="21" t="n">
        <f aca="false">SUMPRODUCT(--(LEN(K327:Q327)&gt;0))</f>
        <v>0</v>
      </c>
      <c r="S327" s="24" t="str">
        <f aca="false">IF(R327=0,"Готово к передаче","Требует исправления")</f>
        <v>Готово к передаче</v>
      </c>
      <c r="T327" s="24" t="str">
        <f aca="false">IF(R327=0,"",_xlfn.TEXTJOIN("; ",TRUE(),K327:Q327))</f>
        <v/>
      </c>
      <c r="U327" s="24" t="str">
        <f aca="false">IF(R327=0,"","Здравствуйте! В данных организации «"&amp;B327&amp;"» обнаружены ошибки: "&amp;T327&amp;". Просим проверить и прислать исправленную информацию.")</f>
        <v/>
      </c>
      <c r="V327" s="21" t="str">
        <f aca="false">IF(R327&gt;0,COUNTIF($R$2:R327,"&gt;0"),"")</f>
        <v/>
      </c>
      <c r="W327" s="21" t="n">
        <f aca="false">IF(R327=0,COUNTIF($R$2:R327,0),"")</f>
        <v>228</v>
      </c>
    </row>
    <row r="328" customFormat="false" ht="15" hidden="false" customHeight="false" outlineLevel="0" collapsed="false">
      <c r="A328" s="21" t="n">
        <v>327</v>
      </c>
      <c r="B328" s="22" t="s">
        <v>2640</v>
      </c>
      <c r="C328" s="23" t="s">
        <v>2641</v>
      </c>
      <c r="D328" s="23" t="s">
        <v>2642</v>
      </c>
      <c r="E328" s="23" t="s">
        <v>2643</v>
      </c>
      <c r="F328" s="22" t="s">
        <v>2644</v>
      </c>
      <c r="G328" s="22" t="s">
        <v>2645</v>
      </c>
      <c r="H328" s="22" t="s">
        <v>2646</v>
      </c>
      <c r="I328" s="23" t="s">
        <v>2647</v>
      </c>
      <c r="J328" s="24" t="str">
        <f aca="false">IFERROR(VLOOKUP(VALUE(LEFT(C328,2)),Справочники!$A$2:$B$16,2,FALSE()),"не определён")</f>
        <v>г. Санкт-Петербург</v>
      </c>
      <c r="K328" s="24" t="str">
        <f aca="false">IF(TRIM(C328)="","ИНН не указан",IF(LEN(C328)&lt;&gt;10,"ИНН: должно быть 10 цифр",IF(NOT(ISNUMBER(IFERROR(VALUE(C328),"x"))),"ИНН: есть нецифровые символы",IF(MOD(MOD(SUMPRODUCT(--MID(C328,{1,2,3,4,5,6,7,8,9},1),{2,4,10,3,5,9,4,6,8}),11),10)=VALUE(RIGHT(C328,1)),"","ИНН: неверная контрольная цифра"))))</f>
        <v/>
      </c>
      <c r="L328" s="24" t="str">
        <f aca="false">IF(TRIM(D328)="","ОГРН не указан",IF(LEN(D328)&lt;&gt;13,"ОГРН: должно быть 13 цифр",IF(NOT(ISNUMBER(IFERROR(VALUE(D328),"x"))),"ОГРН: есть нецифровые символы",IF(MOD(VALUE(LEFT(D328,12))-11*INT(VALUE(LEFT(D328,12))/11),10)=VALUE(RIGHT(D328,1)),"","ОГРН: неверная контрольная цифра"))))</f>
        <v/>
      </c>
      <c r="M328" s="24" t="str">
        <f aca="false">IF(TRIM(E328)="","КПП не указан",IF(LEN(E328)&lt;&gt;9,"КПП: должно быть 9 знаков",IF(NOT(AND(ISNUMBER(IFERROR(VALUE(LEFT(E328,4)),"x")),ISNUMBER(IFERROR(VALUE(RIGHT(E328,3)),"x")))),"КПП: неверный формат",IF(LEFT(E328,2)&lt;&gt;LEFT(C328,2),"КПП: код региона не совпадает с ИНН",""))))</f>
        <v/>
      </c>
      <c r="N328" s="24" t="str">
        <f aca="false">IF(TRIM(C328)="","",IF(COUNTIF($C$2:$C$401,C328)&gt;1,"Дубликат ИНН в реестре",""))</f>
        <v/>
      </c>
      <c r="O328" s="24" t="str">
        <f aca="false">IF(TRIM(H328)="","Email не указан",IF(AND(ISNUMBER(FIND("@",H328)),ISNUMBER(FIND(".",H328,IFERROR(FIND("@",H328),1))),ISERROR(FIND(" ",H328)),LEFT(H328,1)&lt;&gt;"@",RIGHT(H328,1)&lt;&gt;".",LEN(H328)-LEN(SUBSTITUTE(H328,"@",""))=1),"","Email: неверный формат"))</f>
        <v/>
      </c>
      <c r="P328" s="24" t="str">
        <f aca="false">IF(TRIM(I328)="","Телефон не указан",IF(AND(LEN(SUBSTITUTE(SUBSTITUTE(SUBSTITUTE(SUBSTITUTE(SUBSTITUTE(I328," ",""),"-",""),"(",""),")",""),"+",""))=11,OR(LEFT(SUBSTITUTE(SUBSTITUTE(SUBSTITUTE(SUBSTITUTE(SUBSTITUTE(I328," ",""),"-",""),"(",""),")",""),"+",""),1)="7",LEFT(SUBSTITUTE(SUBSTITUTE(SUBSTITUTE(SUBSTITUTE(SUBSTITUTE(I328," ",""),"-",""),"(",""),")",""),"+",""),1)="8"),ISNUMBER(IFERROR(VALUE(SUBSTITUTE(SUBSTITUTE(SUBSTITUTE(SUBSTITUTE(SUBSTITUTE(I328," ",""),"-",""),"(",""),")",""),"+","")),"x"))),"","Телефон: неверный формат"))</f>
        <v/>
      </c>
      <c r="Q328" s="24" t="str">
        <f aca="false">TRIM(IF(TRIM(B328)="","Нет наименования. ","")&amp;IF(TRIM(F328)="","Нет адреса. ","")&amp;IF(TRIM(G328)="","Нет контактного лица.",""))</f>
        <v/>
      </c>
      <c r="R328" s="21" t="n">
        <f aca="false">SUMPRODUCT(--(LEN(K328:Q328)&gt;0))</f>
        <v>0</v>
      </c>
      <c r="S328" s="24" t="str">
        <f aca="false">IF(R328=0,"Готово к передаче","Требует исправления")</f>
        <v>Готово к передаче</v>
      </c>
      <c r="T328" s="24" t="str">
        <f aca="false">IF(R328=0,"",_xlfn.TEXTJOIN("; ",TRUE(),K328:Q328))</f>
        <v/>
      </c>
      <c r="U328" s="24" t="str">
        <f aca="false">IF(R328=0,"","Здравствуйте! В данных организации «"&amp;B328&amp;"» обнаружены ошибки: "&amp;T328&amp;". Просим проверить и прислать исправленную информацию.")</f>
        <v/>
      </c>
      <c r="V328" s="21" t="str">
        <f aca="false">IF(R328&gt;0,COUNTIF($R$2:R328,"&gt;0"),"")</f>
        <v/>
      </c>
      <c r="W328" s="21" t="n">
        <f aca="false">IF(R328=0,COUNTIF($R$2:R328,0),"")</f>
        <v>229</v>
      </c>
    </row>
    <row r="329" customFormat="false" ht="15" hidden="false" customHeight="false" outlineLevel="0" collapsed="false">
      <c r="A329" s="21" t="n">
        <v>328</v>
      </c>
      <c r="B329" s="22" t="s">
        <v>2648</v>
      </c>
      <c r="C329" s="23" t="s">
        <v>2649</v>
      </c>
      <c r="D329" s="23" t="s">
        <v>2650</v>
      </c>
      <c r="E329" s="23" t="s">
        <v>2651</v>
      </c>
      <c r="F329" s="22" t="s">
        <v>2652</v>
      </c>
      <c r="G329" s="22" t="s">
        <v>454</v>
      </c>
      <c r="H329" s="22" t="s">
        <v>2653</v>
      </c>
      <c r="I329" s="23" t="s">
        <v>2654</v>
      </c>
      <c r="J329" s="24" t="str">
        <f aca="false">IFERROR(VLOOKUP(VALUE(LEFT(C329,2)),Справочники!$A$2:$B$16,2,FALSE()),"не определён")</f>
        <v>г. Севастополь</v>
      </c>
      <c r="K329" s="24" t="str">
        <f aca="false">IF(TRIM(C329)="","ИНН не указан",IF(LEN(C329)&lt;&gt;10,"ИНН: должно быть 10 цифр",IF(NOT(ISNUMBER(IFERROR(VALUE(C329),"x"))),"ИНН: есть нецифровые символы",IF(MOD(MOD(SUMPRODUCT(--MID(C329,{1,2,3,4,5,6,7,8,9},1),{2,4,10,3,5,9,4,6,8}),11),10)=VALUE(RIGHT(C329,1)),"","ИНН: неверная контрольная цифра"))))</f>
        <v/>
      </c>
      <c r="L329" s="24" t="str">
        <f aca="false">IF(TRIM(D329)="","ОГРН не указан",IF(LEN(D329)&lt;&gt;13,"ОГРН: должно быть 13 цифр",IF(NOT(ISNUMBER(IFERROR(VALUE(D329),"x"))),"ОГРН: есть нецифровые символы",IF(MOD(VALUE(LEFT(D329,12))-11*INT(VALUE(LEFT(D329,12))/11),10)=VALUE(RIGHT(D329,1)),"","ОГРН: неверная контрольная цифра"))))</f>
        <v/>
      </c>
      <c r="M329" s="24" t="str">
        <f aca="false">IF(TRIM(E329)="","КПП не указан",IF(LEN(E329)&lt;&gt;9,"КПП: должно быть 9 знаков",IF(NOT(AND(ISNUMBER(IFERROR(VALUE(LEFT(E329,4)),"x")),ISNUMBER(IFERROR(VALUE(RIGHT(E329,3)),"x")))),"КПП: неверный формат",IF(LEFT(E329,2)&lt;&gt;LEFT(C329,2),"КПП: код региона не совпадает с ИНН",""))))</f>
        <v/>
      </c>
      <c r="N329" s="24" t="str">
        <f aca="false">IF(TRIM(C329)="","",IF(COUNTIF($C$2:$C$401,C329)&gt;1,"Дубликат ИНН в реестре",""))</f>
        <v/>
      </c>
      <c r="O329" s="24" t="str">
        <f aca="false">IF(TRIM(H329)="","Email не указан",IF(AND(ISNUMBER(FIND("@",H329)),ISNUMBER(FIND(".",H329,IFERROR(FIND("@",H329),1))),ISERROR(FIND(" ",H329)),LEFT(H329,1)&lt;&gt;"@",RIGHT(H329,1)&lt;&gt;".",LEN(H329)-LEN(SUBSTITUTE(H329,"@",""))=1),"","Email: неверный формат"))</f>
        <v/>
      </c>
      <c r="P329" s="24" t="str">
        <f aca="false">IF(TRIM(I329)="","Телефон не указан",IF(AND(LEN(SUBSTITUTE(SUBSTITUTE(SUBSTITUTE(SUBSTITUTE(SUBSTITUTE(I329," ",""),"-",""),"(",""),")",""),"+",""))=11,OR(LEFT(SUBSTITUTE(SUBSTITUTE(SUBSTITUTE(SUBSTITUTE(SUBSTITUTE(I329," ",""),"-",""),"(",""),")",""),"+",""),1)="7",LEFT(SUBSTITUTE(SUBSTITUTE(SUBSTITUTE(SUBSTITUTE(SUBSTITUTE(I329," ",""),"-",""),"(",""),")",""),"+",""),1)="8"),ISNUMBER(IFERROR(VALUE(SUBSTITUTE(SUBSTITUTE(SUBSTITUTE(SUBSTITUTE(SUBSTITUTE(I329," ",""),"-",""),"(",""),")",""),"+","")),"x"))),"","Телефон: неверный формат"))</f>
        <v/>
      </c>
      <c r="Q329" s="24" t="str">
        <f aca="false">TRIM(IF(TRIM(B329)="","Нет наименования. ","")&amp;IF(TRIM(F329)="","Нет адреса. ","")&amp;IF(TRIM(G329)="","Нет контактного лица.",""))</f>
        <v/>
      </c>
      <c r="R329" s="21" t="n">
        <f aca="false">SUMPRODUCT(--(LEN(K329:Q329)&gt;0))</f>
        <v>0</v>
      </c>
      <c r="S329" s="24" t="str">
        <f aca="false">IF(R329=0,"Готово к передаче","Требует исправления")</f>
        <v>Готово к передаче</v>
      </c>
      <c r="T329" s="24" t="str">
        <f aca="false">IF(R329=0,"",_xlfn.TEXTJOIN("; ",TRUE(),K329:Q329))</f>
        <v/>
      </c>
      <c r="U329" s="24" t="str">
        <f aca="false">IF(R329=0,"","Здравствуйте! В данных организации «"&amp;B329&amp;"» обнаружены ошибки: "&amp;T329&amp;". Просим проверить и прислать исправленную информацию.")</f>
        <v/>
      </c>
      <c r="V329" s="21" t="str">
        <f aca="false">IF(R329&gt;0,COUNTIF($R$2:R329,"&gt;0"),"")</f>
        <v/>
      </c>
      <c r="W329" s="21" t="n">
        <f aca="false">IF(R329=0,COUNTIF($R$2:R329,0),"")</f>
        <v>230</v>
      </c>
    </row>
    <row r="330" customFormat="false" ht="15" hidden="false" customHeight="false" outlineLevel="0" collapsed="false">
      <c r="A330" s="21" t="n">
        <v>329</v>
      </c>
      <c r="B330" s="22" t="s">
        <v>2655</v>
      </c>
      <c r="C330" s="23" t="s">
        <v>2656</v>
      </c>
      <c r="D330" s="23" t="s">
        <v>2657</v>
      </c>
      <c r="E330" s="23" t="s">
        <v>2658</v>
      </c>
      <c r="F330" s="22" t="s">
        <v>2659</v>
      </c>
      <c r="G330" s="22" t="s">
        <v>2660</v>
      </c>
      <c r="H330" s="22" t="s">
        <v>2661</v>
      </c>
      <c r="I330" s="23" t="s">
        <v>2662</v>
      </c>
      <c r="J330" s="24" t="str">
        <f aca="false">IFERROR(VLOOKUP(VALUE(LEFT(C330,2)),Справочники!$A$2:$B$16,2,FALSE()),"не определён")</f>
        <v>г. Санкт-Петербург</v>
      </c>
      <c r="K330" s="24" t="str">
        <f aca="false">IF(TRIM(C330)="","ИНН не указан",IF(LEN(C330)&lt;&gt;10,"ИНН: должно быть 10 цифр",IF(NOT(ISNUMBER(IFERROR(VALUE(C330),"x"))),"ИНН: есть нецифровые символы",IF(MOD(MOD(SUMPRODUCT(--MID(C330,{1,2,3,4,5,6,7,8,9},1),{2,4,10,3,5,9,4,6,8}),11),10)=VALUE(RIGHT(C330,1)),"","ИНН: неверная контрольная цифра"))))</f>
        <v/>
      </c>
      <c r="L330" s="24" t="str">
        <f aca="false">IF(TRIM(D330)="","ОГРН не указан",IF(LEN(D330)&lt;&gt;13,"ОГРН: должно быть 13 цифр",IF(NOT(ISNUMBER(IFERROR(VALUE(D330),"x"))),"ОГРН: есть нецифровые символы",IF(MOD(VALUE(LEFT(D330,12))-11*INT(VALUE(LEFT(D330,12))/11),10)=VALUE(RIGHT(D330,1)),"","ОГРН: неверная контрольная цифра"))))</f>
        <v/>
      </c>
      <c r="M330" s="24" t="str">
        <f aca="false">IF(TRIM(E330)="","КПП не указан",IF(LEN(E330)&lt;&gt;9,"КПП: должно быть 9 знаков",IF(NOT(AND(ISNUMBER(IFERROR(VALUE(LEFT(E330,4)),"x")),ISNUMBER(IFERROR(VALUE(RIGHT(E330,3)),"x")))),"КПП: неверный формат",IF(LEFT(E330,2)&lt;&gt;LEFT(C330,2),"КПП: код региона не совпадает с ИНН",""))))</f>
        <v/>
      </c>
      <c r="N330" s="24" t="str">
        <f aca="false">IF(TRIM(C330)="","",IF(COUNTIF($C$2:$C$401,C330)&gt;1,"Дубликат ИНН в реестре",""))</f>
        <v/>
      </c>
      <c r="O330" s="24" t="str">
        <f aca="false">IF(TRIM(H330)="","Email не указан",IF(AND(ISNUMBER(FIND("@",H330)),ISNUMBER(FIND(".",H330,IFERROR(FIND("@",H330),1))),ISERROR(FIND(" ",H330)),LEFT(H330,1)&lt;&gt;"@",RIGHT(H330,1)&lt;&gt;".",LEN(H330)-LEN(SUBSTITUTE(H330,"@",""))=1),"","Email: неверный формат"))</f>
        <v/>
      </c>
      <c r="P330" s="24" t="str">
        <f aca="false">IF(TRIM(I330)="","Телефон не указан",IF(AND(LEN(SUBSTITUTE(SUBSTITUTE(SUBSTITUTE(SUBSTITUTE(SUBSTITUTE(I330," ",""),"-",""),"(",""),")",""),"+",""))=11,OR(LEFT(SUBSTITUTE(SUBSTITUTE(SUBSTITUTE(SUBSTITUTE(SUBSTITUTE(I330," ",""),"-",""),"(",""),")",""),"+",""),1)="7",LEFT(SUBSTITUTE(SUBSTITUTE(SUBSTITUTE(SUBSTITUTE(SUBSTITUTE(I330," ",""),"-",""),"(",""),")",""),"+",""),1)="8"),ISNUMBER(IFERROR(VALUE(SUBSTITUTE(SUBSTITUTE(SUBSTITUTE(SUBSTITUTE(SUBSTITUTE(I330," ",""),"-",""),"(",""),")",""),"+","")),"x"))),"","Телефон: неверный формат"))</f>
        <v/>
      </c>
      <c r="Q330" s="24" t="str">
        <f aca="false">TRIM(IF(TRIM(B330)="","Нет наименования. ","")&amp;IF(TRIM(F330)="","Нет адреса. ","")&amp;IF(TRIM(G330)="","Нет контактного лица.",""))</f>
        <v/>
      </c>
      <c r="R330" s="21" t="n">
        <f aca="false">SUMPRODUCT(--(LEN(K330:Q330)&gt;0))</f>
        <v>0</v>
      </c>
      <c r="S330" s="24" t="str">
        <f aca="false">IF(R330=0,"Готово к передаче","Требует исправления")</f>
        <v>Готово к передаче</v>
      </c>
      <c r="T330" s="24" t="str">
        <f aca="false">IF(R330=0,"",_xlfn.TEXTJOIN("; ",TRUE(),K330:Q330))</f>
        <v/>
      </c>
      <c r="U330" s="24" t="str">
        <f aca="false">IF(R330=0,"","Здравствуйте! В данных организации «"&amp;B330&amp;"» обнаружены ошибки: "&amp;T330&amp;". Просим проверить и прислать исправленную информацию.")</f>
        <v/>
      </c>
      <c r="V330" s="21" t="str">
        <f aca="false">IF(R330&gt;0,COUNTIF($R$2:R330,"&gt;0"),"")</f>
        <v/>
      </c>
      <c r="W330" s="21" t="n">
        <f aca="false">IF(R330=0,COUNTIF($R$2:R330,0),"")</f>
        <v>231</v>
      </c>
    </row>
    <row r="331" customFormat="false" ht="15" hidden="false" customHeight="false" outlineLevel="0" collapsed="false">
      <c r="A331" s="21" t="n">
        <v>330</v>
      </c>
      <c r="B331" s="22" t="s">
        <v>2663</v>
      </c>
      <c r="C331" s="23" t="s">
        <v>2664</v>
      </c>
      <c r="D331" s="23" t="s">
        <v>2665</v>
      </c>
      <c r="E331" s="23" t="s">
        <v>2666</v>
      </c>
      <c r="F331" s="22" t="s">
        <v>2667</v>
      </c>
      <c r="G331" s="22" t="s">
        <v>2668</v>
      </c>
      <c r="H331" s="22" t="s">
        <v>2669</v>
      </c>
      <c r="I331" s="23" t="s">
        <v>2670</v>
      </c>
      <c r="J331" s="24" t="str">
        <f aca="false">IFERROR(VLOOKUP(VALUE(LEFT(C331,2)),Справочники!$A$2:$B$16,2,FALSE()),"не определён")</f>
        <v>Краснодарский край</v>
      </c>
      <c r="K331" s="24" t="str">
        <f aca="false">IF(TRIM(C331)="","ИНН не указан",IF(LEN(C331)&lt;&gt;10,"ИНН: должно быть 10 цифр",IF(NOT(ISNUMBER(IFERROR(VALUE(C331),"x"))),"ИНН: есть нецифровые символы",IF(MOD(MOD(SUMPRODUCT(--MID(C331,{1,2,3,4,5,6,7,8,9},1),{2,4,10,3,5,9,4,6,8}),11),10)=VALUE(RIGHT(C331,1)),"","ИНН: неверная контрольная цифра"))))</f>
        <v/>
      </c>
      <c r="L331" s="24" t="str">
        <f aca="false">IF(TRIM(D331)="","ОГРН не указан",IF(LEN(D331)&lt;&gt;13,"ОГРН: должно быть 13 цифр",IF(NOT(ISNUMBER(IFERROR(VALUE(D331),"x"))),"ОГРН: есть нецифровые символы",IF(MOD(VALUE(LEFT(D331,12))-11*INT(VALUE(LEFT(D331,12))/11),10)=VALUE(RIGHT(D331,1)),"","ОГРН: неверная контрольная цифра"))))</f>
        <v/>
      </c>
      <c r="M331" s="24" t="str">
        <f aca="false">IF(TRIM(E331)="","КПП не указан",IF(LEN(E331)&lt;&gt;9,"КПП: должно быть 9 знаков",IF(NOT(AND(ISNUMBER(IFERROR(VALUE(LEFT(E331,4)),"x")),ISNUMBER(IFERROR(VALUE(RIGHT(E331,3)),"x")))),"КПП: неверный формат",IF(LEFT(E331,2)&lt;&gt;LEFT(C331,2),"КПП: код региона не совпадает с ИНН",""))))</f>
        <v>КПП: код региона не совпадает с ИНН</v>
      </c>
      <c r="N331" s="24" t="str">
        <f aca="false">IF(TRIM(C331)="","",IF(COUNTIF($C$2:$C$401,C331)&gt;1,"Дубликат ИНН в реестре",""))</f>
        <v/>
      </c>
      <c r="O331" s="24" t="str">
        <f aca="false">IF(TRIM(H331)="","Email не указан",IF(AND(ISNUMBER(FIND("@",H331)),ISNUMBER(FIND(".",H331,IFERROR(FIND("@",H331),1))),ISERROR(FIND(" ",H331)),LEFT(H331,1)&lt;&gt;"@",RIGHT(H331,1)&lt;&gt;".",LEN(H331)-LEN(SUBSTITUTE(H331,"@",""))=1),"","Email: неверный формат"))</f>
        <v/>
      </c>
      <c r="P331" s="24" t="str">
        <f aca="false">IF(TRIM(I331)="","Телефон не указан",IF(AND(LEN(SUBSTITUTE(SUBSTITUTE(SUBSTITUTE(SUBSTITUTE(SUBSTITUTE(I331," ",""),"-",""),"(",""),")",""),"+",""))=11,OR(LEFT(SUBSTITUTE(SUBSTITUTE(SUBSTITUTE(SUBSTITUTE(SUBSTITUTE(I331," ",""),"-",""),"(",""),")",""),"+",""),1)="7",LEFT(SUBSTITUTE(SUBSTITUTE(SUBSTITUTE(SUBSTITUTE(SUBSTITUTE(I331," ",""),"-",""),"(",""),")",""),"+",""),1)="8"),ISNUMBER(IFERROR(VALUE(SUBSTITUTE(SUBSTITUTE(SUBSTITUTE(SUBSTITUTE(SUBSTITUTE(I331," ",""),"-",""),"(",""),")",""),"+","")),"x"))),"","Телефон: неверный формат"))</f>
        <v/>
      </c>
      <c r="Q331" s="24" t="str">
        <f aca="false">TRIM(IF(TRIM(B331)="","Нет наименования. ","")&amp;IF(TRIM(F331)="","Нет адреса. ","")&amp;IF(TRIM(G331)="","Нет контактного лица.",""))</f>
        <v/>
      </c>
      <c r="R331" s="21" t="n">
        <f aca="false">SUMPRODUCT(--(LEN(K331:Q331)&gt;0))</f>
        <v>1</v>
      </c>
      <c r="S331" s="24" t="str">
        <f aca="false">IF(R331=0,"Готово к передаче","Требует исправления")</f>
        <v>Требует исправления</v>
      </c>
      <c r="T331" s="24" t="str">
        <f aca="false">IF(R331=0,"",_xlfn.TEXTJOIN("; ",TRUE(),K331:Q331))</f>
        <v>КПП: код региона не совпадает с ИНН</v>
      </c>
      <c r="U331" s="24" t="str">
        <f aca="false">IF(R331=0,"","Здравствуйте! В данных организации «"&amp;B331&amp;"» обнаружены ошибки: "&amp;T331&amp;". Просим проверить и прислать исправленную информацию.")</f>
        <v>Здравствуйте! В данных организации «ООО «Феникс Проект»» обнаружены ошибки: КПП: код региона не совпадает с ИНН. Просим проверить и прислать исправленную информацию.</v>
      </c>
      <c r="V331" s="21" t="n">
        <f aca="false">IF(R331&gt;0,COUNTIF($R$2:R331,"&gt;0"),"")</f>
        <v>99</v>
      </c>
      <c r="W331" s="21" t="str">
        <f aca="false">IF(R331=0,COUNTIF($R$2:R331,0),"")</f>
        <v/>
      </c>
    </row>
    <row r="332" customFormat="false" ht="15" hidden="false" customHeight="false" outlineLevel="0" collapsed="false">
      <c r="A332" s="21" t="n">
        <v>331</v>
      </c>
      <c r="B332" s="22" t="s">
        <v>2671</v>
      </c>
      <c r="C332" s="23" t="s">
        <v>2672</v>
      </c>
      <c r="D332" s="23" t="s">
        <v>2673</v>
      </c>
      <c r="E332" s="23" t="s">
        <v>2674</v>
      </c>
      <c r="F332" s="22" t="s">
        <v>2675</v>
      </c>
      <c r="G332" s="22"/>
      <c r="H332" s="22" t="s">
        <v>2676</v>
      </c>
      <c r="I332" s="23" t="s">
        <v>2677</v>
      </c>
      <c r="J332" s="24" t="str">
        <f aca="false">IFERROR(VLOOKUP(VALUE(LEFT(C332,2)),Справочники!$A$2:$B$16,2,FALSE()),"не определён")</f>
        <v>Новосибирская область</v>
      </c>
      <c r="K332" s="24" t="str">
        <f aca="false">IF(TRIM(C332)="","ИНН не указан",IF(LEN(C332)&lt;&gt;10,"ИНН: должно быть 10 цифр",IF(NOT(ISNUMBER(IFERROR(VALUE(C332),"x"))),"ИНН: есть нецифровые символы",IF(MOD(MOD(SUMPRODUCT(--MID(C332,{1,2,3,4,5,6,7,8,9},1),{2,4,10,3,5,9,4,6,8}),11),10)=VALUE(RIGHT(C332,1)),"","ИНН: неверная контрольная цифра"))))</f>
        <v/>
      </c>
      <c r="L332" s="24" t="str">
        <f aca="false">IF(TRIM(D332)="","ОГРН не указан",IF(LEN(D332)&lt;&gt;13,"ОГРН: должно быть 13 цифр",IF(NOT(ISNUMBER(IFERROR(VALUE(D332),"x"))),"ОГРН: есть нецифровые символы",IF(MOD(VALUE(LEFT(D332,12))-11*INT(VALUE(LEFT(D332,12))/11),10)=VALUE(RIGHT(D332,1)),"","ОГРН: неверная контрольная цифра"))))</f>
        <v/>
      </c>
      <c r="M332" s="24" t="str">
        <f aca="false">IF(TRIM(E332)="","КПП не указан",IF(LEN(E332)&lt;&gt;9,"КПП: должно быть 9 знаков",IF(NOT(AND(ISNUMBER(IFERROR(VALUE(LEFT(E332,4)),"x")),ISNUMBER(IFERROR(VALUE(RIGHT(E332,3)),"x")))),"КПП: неверный формат",IF(LEFT(E332,2)&lt;&gt;LEFT(C332,2),"КПП: код региона не совпадает с ИНН",""))))</f>
        <v/>
      </c>
      <c r="N332" s="24" t="str">
        <f aca="false">IF(TRIM(C332)="","",IF(COUNTIF($C$2:$C$401,C332)&gt;1,"Дубликат ИНН в реестре",""))</f>
        <v/>
      </c>
      <c r="O332" s="24" t="str">
        <f aca="false">IF(TRIM(H332)="","Email не указан",IF(AND(ISNUMBER(FIND("@",H332)),ISNUMBER(FIND(".",H332,IFERROR(FIND("@",H332),1))),ISERROR(FIND(" ",H332)),LEFT(H332,1)&lt;&gt;"@",RIGHT(H332,1)&lt;&gt;".",LEN(H332)-LEN(SUBSTITUTE(H332,"@",""))=1),"","Email: неверный формат"))</f>
        <v/>
      </c>
      <c r="P332" s="24" t="str">
        <f aca="false">IF(TRIM(I332)="","Телефон не указан",IF(AND(LEN(SUBSTITUTE(SUBSTITUTE(SUBSTITUTE(SUBSTITUTE(SUBSTITUTE(I332," ",""),"-",""),"(",""),")",""),"+",""))=11,OR(LEFT(SUBSTITUTE(SUBSTITUTE(SUBSTITUTE(SUBSTITUTE(SUBSTITUTE(I332," ",""),"-",""),"(",""),")",""),"+",""),1)="7",LEFT(SUBSTITUTE(SUBSTITUTE(SUBSTITUTE(SUBSTITUTE(SUBSTITUTE(I332," ",""),"-",""),"(",""),")",""),"+",""),1)="8"),ISNUMBER(IFERROR(VALUE(SUBSTITUTE(SUBSTITUTE(SUBSTITUTE(SUBSTITUTE(SUBSTITUTE(I332," ",""),"-",""),"(",""),")",""),"+","")),"x"))),"","Телефон: неверный формат"))</f>
        <v>Телефон: неверный формат</v>
      </c>
      <c r="Q332" s="24" t="str">
        <f aca="false">TRIM(IF(TRIM(B332)="","Нет наименования. ","")&amp;IF(TRIM(F332)="","Нет адреса. ","")&amp;IF(TRIM(G332)="","Нет контактного лица.",""))</f>
        <v>Нет контактного лица.</v>
      </c>
      <c r="R332" s="21" t="n">
        <f aca="false">SUMPRODUCT(--(LEN(K332:Q332)&gt;0))</f>
        <v>2</v>
      </c>
      <c r="S332" s="24" t="str">
        <f aca="false">IF(R332=0,"Готово к передаче","Требует исправления")</f>
        <v>Требует исправления</v>
      </c>
      <c r="T332" s="24" t="str">
        <f aca="false">IF(R332=0,"",_xlfn.TEXTJOIN("; ",TRUE(),K332:Q332))</f>
        <v>Телефон: неверный формат; Нет контактного лица.</v>
      </c>
      <c r="U332" s="24" t="str">
        <f aca="false">IF(R332=0,"","Здравствуйте! В данных организации «"&amp;B332&amp;"» обнаружены ошибки: "&amp;T332&amp;". Просим проверить и прислать исправленную информацию.")</f>
        <v>Здравствуйте! В данных организации «ООО «Атлант Монтаж»» обнаружены ошибки: Телефон: неверный формат; Нет контактного лица.. Просим проверить и прислать исправленную информацию.</v>
      </c>
      <c r="V332" s="21" t="n">
        <f aca="false">IF(R332&gt;0,COUNTIF($R$2:R332,"&gt;0"),"")</f>
        <v>100</v>
      </c>
      <c r="W332" s="21" t="str">
        <f aca="false">IF(R332=0,COUNTIF($R$2:R332,0),"")</f>
        <v/>
      </c>
    </row>
    <row r="333" customFormat="false" ht="15" hidden="false" customHeight="false" outlineLevel="0" collapsed="false">
      <c r="A333" s="21" t="n">
        <v>332</v>
      </c>
      <c r="B333" s="22" t="s">
        <v>2678</v>
      </c>
      <c r="C333" s="23" t="s">
        <v>2679</v>
      </c>
      <c r="D333" s="23" t="s">
        <v>2680</v>
      </c>
      <c r="E333" s="23" t="s">
        <v>2681</v>
      </c>
      <c r="F333" s="22" t="s">
        <v>2682</v>
      </c>
      <c r="G333" s="22" t="s">
        <v>2683</v>
      </c>
      <c r="H333" s="22" t="s">
        <v>2684</v>
      </c>
      <c r="I333" s="23" t="s">
        <v>2685</v>
      </c>
      <c r="J333" s="24" t="str">
        <f aca="false">IFERROR(VLOOKUP(VALUE(LEFT(C333,2)),Справочники!$A$2:$B$16,2,FALSE()),"не определён")</f>
        <v>Челябинская область</v>
      </c>
      <c r="K333" s="24" t="str">
        <f aca="false">IF(TRIM(C333)="","ИНН не указан",IF(LEN(C333)&lt;&gt;10,"ИНН: должно быть 10 цифр",IF(NOT(ISNUMBER(IFERROR(VALUE(C333),"x"))),"ИНН: есть нецифровые символы",IF(MOD(MOD(SUMPRODUCT(--MID(C333,{1,2,3,4,5,6,7,8,9},1),{2,4,10,3,5,9,4,6,8}),11),10)=VALUE(RIGHT(C333,1)),"","ИНН: неверная контрольная цифра"))))</f>
        <v/>
      </c>
      <c r="L333" s="24" t="str">
        <f aca="false">IF(TRIM(D333)="","ОГРН не указан",IF(LEN(D333)&lt;&gt;13,"ОГРН: должно быть 13 цифр",IF(NOT(ISNUMBER(IFERROR(VALUE(D333),"x"))),"ОГРН: есть нецифровые символы",IF(MOD(VALUE(LEFT(D333,12))-11*INT(VALUE(LEFT(D333,12))/11),10)=VALUE(RIGHT(D333,1)),"","ОГРН: неверная контрольная цифра"))))</f>
        <v/>
      </c>
      <c r="M333" s="24" t="str">
        <f aca="false">IF(TRIM(E333)="","КПП не указан",IF(LEN(E333)&lt;&gt;9,"КПП: должно быть 9 знаков",IF(NOT(AND(ISNUMBER(IFERROR(VALUE(LEFT(E333,4)),"x")),ISNUMBER(IFERROR(VALUE(RIGHT(E333,3)),"x")))),"КПП: неверный формат",IF(LEFT(E333,2)&lt;&gt;LEFT(C333,2),"КПП: код региона не совпадает с ИНН",""))))</f>
        <v/>
      </c>
      <c r="N333" s="24" t="str">
        <f aca="false">IF(TRIM(C333)="","",IF(COUNTIF($C$2:$C$401,C333)&gt;1,"Дубликат ИНН в реестре",""))</f>
        <v/>
      </c>
      <c r="O333" s="24" t="str">
        <f aca="false">IF(TRIM(H333)="","Email не указан",IF(AND(ISNUMBER(FIND("@",H333)),ISNUMBER(FIND(".",H333,IFERROR(FIND("@",H333),1))),ISERROR(FIND(" ",H333)),LEFT(H333,1)&lt;&gt;"@",RIGHT(H333,1)&lt;&gt;".",LEN(H333)-LEN(SUBSTITUTE(H333,"@",""))=1),"","Email: неверный формат"))</f>
        <v/>
      </c>
      <c r="P333" s="24" t="str">
        <f aca="false">IF(TRIM(I333)="","Телефон не указан",IF(AND(LEN(SUBSTITUTE(SUBSTITUTE(SUBSTITUTE(SUBSTITUTE(SUBSTITUTE(I333," ",""),"-",""),"(",""),")",""),"+",""))=11,OR(LEFT(SUBSTITUTE(SUBSTITUTE(SUBSTITUTE(SUBSTITUTE(SUBSTITUTE(I333," ",""),"-",""),"(",""),")",""),"+",""),1)="7",LEFT(SUBSTITUTE(SUBSTITUTE(SUBSTITUTE(SUBSTITUTE(SUBSTITUTE(I333," ",""),"-",""),"(",""),")",""),"+",""),1)="8"),ISNUMBER(IFERROR(VALUE(SUBSTITUTE(SUBSTITUTE(SUBSTITUTE(SUBSTITUTE(SUBSTITUTE(I333," ",""),"-",""),"(",""),")",""),"+","")),"x"))),"","Телефон: неверный формат"))</f>
        <v/>
      </c>
      <c r="Q333" s="24" t="str">
        <f aca="false">TRIM(IF(TRIM(B333)="","Нет наименования. ","")&amp;IF(TRIM(F333)="","Нет адреса. ","")&amp;IF(TRIM(G333)="","Нет контактного лица.",""))</f>
        <v/>
      </c>
      <c r="R333" s="21" t="n">
        <f aca="false">SUMPRODUCT(--(LEN(K333:Q333)&gt;0))</f>
        <v>0</v>
      </c>
      <c r="S333" s="24" t="str">
        <f aca="false">IF(R333=0,"Готово к передаче","Требует исправления")</f>
        <v>Готово к передаче</v>
      </c>
      <c r="T333" s="24" t="str">
        <f aca="false">IF(R333=0,"",_xlfn.TEXTJOIN("; ",TRUE(),K333:Q333))</f>
        <v/>
      </c>
      <c r="U333" s="24" t="str">
        <f aca="false">IF(R333=0,"","Здравствуйте! В данных организации «"&amp;B333&amp;"» обнаружены ошибки: "&amp;T333&amp;". Просим проверить и прислать исправленную информацию.")</f>
        <v/>
      </c>
      <c r="V333" s="21" t="str">
        <f aca="false">IF(R333&gt;0,COUNTIF($R$2:R333,"&gt;0"),"")</f>
        <v/>
      </c>
      <c r="W333" s="21" t="n">
        <f aca="false">IF(R333=0,COUNTIF($R$2:R333,0),"")</f>
        <v>232</v>
      </c>
    </row>
    <row r="334" customFormat="false" ht="15" hidden="false" customHeight="false" outlineLevel="0" collapsed="false">
      <c r="A334" s="21" t="n">
        <v>333</v>
      </c>
      <c r="B334" s="22" t="s">
        <v>2686</v>
      </c>
      <c r="C334" s="23" t="s">
        <v>2687</v>
      </c>
      <c r="D334" s="23" t="s">
        <v>2688</v>
      </c>
      <c r="E334" s="23" t="s">
        <v>2689</v>
      </c>
      <c r="F334" s="22" t="s">
        <v>2690</v>
      </c>
      <c r="G334" s="22" t="s">
        <v>2691</v>
      </c>
      <c r="H334" s="22" t="s">
        <v>2692</v>
      </c>
      <c r="I334" s="23" t="s">
        <v>2693</v>
      </c>
      <c r="J334" s="24" t="str">
        <f aca="false">IFERROR(VLOOKUP(VALUE(LEFT(C334,2)),Справочники!$A$2:$B$16,2,FALSE()),"не определён")</f>
        <v>г. Москва</v>
      </c>
      <c r="K334" s="24" t="str">
        <f aca="false">IF(TRIM(C334)="","ИНН не указан",IF(LEN(C334)&lt;&gt;10,"ИНН: должно быть 10 цифр",IF(NOT(ISNUMBER(IFERROR(VALUE(C334),"x"))),"ИНН: есть нецифровые символы",IF(MOD(MOD(SUMPRODUCT(--MID(C334,{1,2,3,4,5,6,7,8,9},1),{2,4,10,3,5,9,4,6,8}),11),10)=VALUE(RIGHT(C334,1)),"","ИНН: неверная контрольная цифра"))))</f>
        <v/>
      </c>
      <c r="L334" s="24" t="str">
        <f aca="false">IF(TRIM(D334)="","ОГРН не указан",IF(LEN(D334)&lt;&gt;13,"ОГРН: должно быть 13 цифр",IF(NOT(ISNUMBER(IFERROR(VALUE(D334),"x"))),"ОГРН: есть нецифровые символы",IF(MOD(VALUE(LEFT(D334,12))-11*INT(VALUE(LEFT(D334,12))/11),10)=VALUE(RIGHT(D334,1)),"","ОГРН: неверная контрольная цифра"))))</f>
        <v/>
      </c>
      <c r="M334" s="24" t="str">
        <f aca="false">IF(TRIM(E334)="","КПП не указан",IF(LEN(E334)&lt;&gt;9,"КПП: должно быть 9 знаков",IF(NOT(AND(ISNUMBER(IFERROR(VALUE(LEFT(E334,4)),"x")),ISNUMBER(IFERROR(VALUE(RIGHT(E334,3)),"x")))),"КПП: неверный формат",IF(LEFT(E334,2)&lt;&gt;LEFT(C334,2),"КПП: код региона не совпадает с ИНН",""))))</f>
        <v/>
      </c>
      <c r="N334" s="24" t="str">
        <f aca="false">IF(TRIM(C334)="","",IF(COUNTIF($C$2:$C$401,C334)&gt;1,"Дубликат ИНН в реестре",""))</f>
        <v/>
      </c>
      <c r="O334" s="24" t="str">
        <f aca="false">IF(TRIM(H334)="","Email не указан",IF(AND(ISNUMBER(FIND("@",H334)),ISNUMBER(FIND(".",H334,IFERROR(FIND("@",H334),1))),ISERROR(FIND(" ",H334)),LEFT(H334,1)&lt;&gt;"@",RIGHT(H334,1)&lt;&gt;".",LEN(H334)-LEN(SUBSTITUTE(H334,"@",""))=1),"","Email: неверный формат"))</f>
        <v/>
      </c>
      <c r="P334" s="24" t="str">
        <f aca="false">IF(TRIM(I334)="","Телефон не указан",IF(AND(LEN(SUBSTITUTE(SUBSTITUTE(SUBSTITUTE(SUBSTITUTE(SUBSTITUTE(I334," ",""),"-",""),"(",""),")",""),"+",""))=11,OR(LEFT(SUBSTITUTE(SUBSTITUTE(SUBSTITUTE(SUBSTITUTE(SUBSTITUTE(I334," ",""),"-",""),"(",""),")",""),"+",""),1)="7",LEFT(SUBSTITUTE(SUBSTITUTE(SUBSTITUTE(SUBSTITUTE(SUBSTITUTE(I334," ",""),"-",""),"(",""),")",""),"+",""),1)="8"),ISNUMBER(IFERROR(VALUE(SUBSTITUTE(SUBSTITUTE(SUBSTITUTE(SUBSTITUTE(SUBSTITUTE(I334," ",""),"-",""),"(",""),")",""),"+","")),"x"))),"","Телефон: неверный формат"))</f>
        <v/>
      </c>
      <c r="Q334" s="24" t="str">
        <f aca="false">TRIM(IF(TRIM(B334)="","Нет наименования. ","")&amp;IF(TRIM(F334)="","Нет адреса. ","")&amp;IF(TRIM(G334)="","Нет контактного лица.",""))</f>
        <v/>
      </c>
      <c r="R334" s="21" t="n">
        <f aca="false">SUMPRODUCT(--(LEN(K334:Q334)&gt;0))</f>
        <v>0</v>
      </c>
      <c r="S334" s="24" t="str">
        <f aca="false">IF(R334=0,"Готово к передаче","Требует исправления")</f>
        <v>Готово к передаче</v>
      </c>
      <c r="T334" s="24" t="str">
        <f aca="false">IF(R334=0,"",_xlfn.TEXTJOIN("; ",TRUE(),K334:Q334))</f>
        <v/>
      </c>
      <c r="U334" s="24" t="str">
        <f aca="false">IF(R334=0,"","Здравствуйте! В данных организации «"&amp;B334&amp;"» обнаружены ошибки: "&amp;T334&amp;". Просим проверить и прислать исправленную информацию.")</f>
        <v/>
      </c>
      <c r="V334" s="21" t="str">
        <f aca="false">IF(R334&gt;0,COUNTIF($R$2:R334,"&gt;0"),"")</f>
        <v/>
      </c>
      <c r="W334" s="21" t="n">
        <f aca="false">IF(R334=0,COUNTIF($R$2:R334,0),"")</f>
        <v>233</v>
      </c>
    </row>
    <row r="335" customFormat="false" ht="15" hidden="false" customHeight="false" outlineLevel="0" collapsed="false">
      <c r="A335" s="21" t="n">
        <v>334</v>
      </c>
      <c r="B335" s="22" t="s">
        <v>2694</v>
      </c>
      <c r="C335" s="23" t="s">
        <v>2695</v>
      </c>
      <c r="D335" s="23" t="s">
        <v>2696</v>
      </c>
      <c r="E335" s="23" t="s">
        <v>2697</v>
      </c>
      <c r="F335" s="22" t="s">
        <v>2698</v>
      </c>
      <c r="G335" s="22"/>
      <c r="H335" s="22" t="s">
        <v>2699</v>
      </c>
      <c r="I335" s="23" t="s">
        <v>2700</v>
      </c>
      <c r="J335" s="24" t="str">
        <f aca="false">IFERROR(VLOOKUP(VALUE(LEFT(C335,2)),Справочники!$A$2:$B$16,2,FALSE()),"не определён")</f>
        <v>Республика Татарстан</v>
      </c>
      <c r="K335" s="24" t="str">
        <f aca="false">IF(TRIM(C335)="","ИНН не указан",IF(LEN(C335)&lt;&gt;10,"ИНН: должно быть 10 цифр",IF(NOT(ISNUMBER(IFERROR(VALUE(C335),"x"))),"ИНН: есть нецифровые символы",IF(MOD(MOD(SUMPRODUCT(--MID(C335,{1,2,3,4,5,6,7,8,9},1),{2,4,10,3,5,9,4,6,8}),11),10)=VALUE(RIGHT(C335,1)),"","ИНН: неверная контрольная цифра"))))</f>
        <v/>
      </c>
      <c r="L335" s="24" t="str">
        <f aca="false">IF(TRIM(D335)="","ОГРН не указан",IF(LEN(D335)&lt;&gt;13,"ОГРН: должно быть 13 цифр",IF(NOT(ISNUMBER(IFERROR(VALUE(D335),"x"))),"ОГРН: есть нецифровые символы",IF(MOD(VALUE(LEFT(D335,12))-11*INT(VALUE(LEFT(D335,12))/11),10)=VALUE(RIGHT(D335,1)),"","ОГРН: неверная контрольная цифра"))))</f>
        <v/>
      </c>
      <c r="M335" s="24" t="str">
        <f aca="false">IF(TRIM(E335)="","КПП не указан",IF(LEN(E335)&lt;&gt;9,"КПП: должно быть 9 знаков",IF(NOT(AND(ISNUMBER(IFERROR(VALUE(LEFT(E335,4)),"x")),ISNUMBER(IFERROR(VALUE(RIGHT(E335,3)),"x")))),"КПП: неверный формат",IF(LEFT(E335,2)&lt;&gt;LEFT(C335,2),"КПП: код региона не совпадает с ИНН",""))))</f>
        <v/>
      </c>
      <c r="N335" s="24" t="str">
        <f aca="false">IF(TRIM(C335)="","",IF(COUNTIF($C$2:$C$401,C335)&gt;1,"Дубликат ИНН в реестре",""))</f>
        <v/>
      </c>
      <c r="O335" s="24" t="str">
        <f aca="false">IF(TRIM(H335)="","Email не указан",IF(AND(ISNUMBER(FIND("@",H335)),ISNUMBER(FIND(".",H335,IFERROR(FIND("@",H335),1))),ISERROR(FIND(" ",H335)),LEFT(H335,1)&lt;&gt;"@",RIGHT(H335,1)&lt;&gt;".",LEN(H335)-LEN(SUBSTITUTE(H335,"@",""))=1),"","Email: неверный формат"))</f>
        <v/>
      </c>
      <c r="P335" s="24" t="str">
        <f aca="false">IF(TRIM(I335)="","Телефон не указан",IF(AND(LEN(SUBSTITUTE(SUBSTITUTE(SUBSTITUTE(SUBSTITUTE(SUBSTITUTE(I335," ",""),"-",""),"(",""),")",""),"+",""))=11,OR(LEFT(SUBSTITUTE(SUBSTITUTE(SUBSTITUTE(SUBSTITUTE(SUBSTITUTE(I335," ",""),"-",""),"(",""),")",""),"+",""),1)="7",LEFT(SUBSTITUTE(SUBSTITUTE(SUBSTITUTE(SUBSTITUTE(SUBSTITUTE(I335," ",""),"-",""),"(",""),")",""),"+",""),1)="8"),ISNUMBER(IFERROR(VALUE(SUBSTITUTE(SUBSTITUTE(SUBSTITUTE(SUBSTITUTE(SUBSTITUTE(I335," ",""),"-",""),"(",""),")",""),"+","")),"x"))),"","Телефон: неверный формат"))</f>
        <v/>
      </c>
      <c r="Q335" s="24" t="str">
        <f aca="false">TRIM(IF(TRIM(B335)="","Нет наименования. ","")&amp;IF(TRIM(F335)="","Нет адреса. ","")&amp;IF(TRIM(G335)="","Нет контактного лица.",""))</f>
        <v>Нет контактного лица.</v>
      </c>
      <c r="R335" s="21" t="n">
        <f aca="false">SUMPRODUCT(--(LEN(K335:Q335)&gt;0))</f>
        <v>1</v>
      </c>
      <c r="S335" s="24" t="str">
        <f aca="false">IF(R335=0,"Готово к передаче","Требует исправления")</f>
        <v>Требует исправления</v>
      </c>
      <c r="T335" s="24" t="str">
        <f aca="false">IF(R335=0,"",_xlfn.TEXTJOIN("; ",TRUE(),K335:Q335))</f>
        <v>Нет контактного лица.</v>
      </c>
      <c r="U335" s="24" t="str">
        <f aca="false">IF(R335=0,"","Здравствуйте! В данных организации «"&amp;B335&amp;"» обнаружены ошибки: "&amp;T335&amp;". Просим проверить и прислать исправленную информацию.")</f>
        <v>Здравствуйте! В данных организации «АО «Берег Транс»» обнаружены ошибки: Нет контактного лица.. Просим проверить и прислать исправленную информацию.</v>
      </c>
      <c r="V335" s="21" t="n">
        <f aca="false">IF(R335&gt;0,COUNTIF($R$2:R335,"&gt;0"),"")</f>
        <v>101</v>
      </c>
      <c r="W335" s="21" t="str">
        <f aca="false">IF(R335=0,COUNTIF($R$2:R335,0),"")</f>
        <v/>
      </c>
    </row>
    <row r="336" customFormat="false" ht="15" hidden="false" customHeight="false" outlineLevel="0" collapsed="false">
      <c r="A336" s="21" t="n">
        <v>335</v>
      </c>
      <c r="B336" s="22" t="s">
        <v>2701</v>
      </c>
      <c r="C336" s="23" t="s">
        <v>2702</v>
      </c>
      <c r="D336" s="23" t="s">
        <v>2703</v>
      </c>
      <c r="E336" s="23" t="s">
        <v>2704</v>
      </c>
      <c r="F336" s="22" t="s">
        <v>2705</v>
      </c>
      <c r="G336" s="22" t="s">
        <v>1600</v>
      </c>
      <c r="H336" s="22" t="s">
        <v>2706</v>
      </c>
      <c r="I336" s="23" t="s">
        <v>2707</v>
      </c>
      <c r="J336" s="24" t="str">
        <f aca="false">IFERROR(VLOOKUP(VALUE(LEFT(C336,2)),Справочники!$A$2:$B$16,2,FALSE()),"не определён")</f>
        <v>Свердловская область</v>
      </c>
      <c r="K336" s="24" t="str">
        <f aca="false">IF(TRIM(C336)="","ИНН не указан",IF(LEN(C336)&lt;&gt;10,"ИНН: должно быть 10 цифр",IF(NOT(ISNUMBER(IFERROR(VALUE(C336),"x"))),"ИНН: есть нецифровые символы",IF(MOD(MOD(SUMPRODUCT(--MID(C336,{1,2,3,4,5,6,7,8,9},1),{2,4,10,3,5,9,4,6,8}),11),10)=VALUE(RIGHT(C336,1)),"","ИНН: неверная контрольная цифра"))))</f>
        <v/>
      </c>
      <c r="L336" s="24" t="str">
        <f aca="false">IF(TRIM(D336)="","ОГРН не указан",IF(LEN(D336)&lt;&gt;13,"ОГРН: должно быть 13 цифр",IF(NOT(ISNUMBER(IFERROR(VALUE(D336),"x"))),"ОГРН: есть нецифровые символы",IF(MOD(VALUE(LEFT(D336,12))-11*INT(VALUE(LEFT(D336,12))/11),10)=VALUE(RIGHT(D336,1)),"","ОГРН: неверная контрольная цифра"))))</f>
        <v/>
      </c>
      <c r="M336" s="24" t="str">
        <f aca="false">IF(TRIM(E336)="","КПП не указан",IF(LEN(E336)&lt;&gt;9,"КПП: должно быть 9 знаков",IF(NOT(AND(ISNUMBER(IFERROR(VALUE(LEFT(E336,4)),"x")),ISNUMBER(IFERROR(VALUE(RIGHT(E336,3)),"x")))),"КПП: неверный формат",IF(LEFT(E336,2)&lt;&gt;LEFT(C336,2),"КПП: код региона не совпадает с ИНН",""))))</f>
        <v/>
      </c>
      <c r="N336" s="24" t="str">
        <f aca="false">IF(TRIM(C336)="","",IF(COUNTIF($C$2:$C$401,C336)&gt;1,"Дубликат ИНН в реестре",""))</f>
        <v/>
      </c>
      <c r="O336" s="24" t="str">
        <f aca="false">IF(TRIM(H336)="","Email не указан",IF(AND(ISNUMBER(FIND("@",H336)),ISNUMBER(FIND(".",H336,IFERROR(FIND("@",H336),1))),ISERROR(FIND(" ",H336)),LEFT(H336,1)&lt;&gt;"@",RIGHT(H336,1)&lt;&gt;".",LEN(H336)-LEN(SUBSTITUTE(H336,"@",""))=1),"","Email: неверный формат"))</f>
        <v/>
      </c>
      <c r="P336" s="24" t="str">
        <f aca="false">IF(TRIM(I336)="","Телефон не указан",IF(AND(LEN(SUBSTITUTE(SUBSTITUTE(SUBSTITUTE(SUBSTITUTE(SUBSTITUTE(I336," ",""),"-",""),"(",""),")",""),"+",""))=11,OR(LEFT(SUBSTITUTE(SUBSTITUTE(SUBSTITUTE(SUBSTITUTE(SUBSTITUTE(I336," ",""),"-",""),"(",""),")",""),"+",""),1)="7",LEFT(SUBSTITUTE(SUBSTITUTE(SUBSTITUTE(SUBSTITUTE(SUBSTITUTE(I336," ",""),"-",""),"(",""),")",""),"+",""),1)="8"),ISNUMBER(IFERROR(VALUE(SUBSTITUTE(SUBSTITUTE(SUBSTITUTE(SUBSTITUTE(SUBSTITUTE(I336," ",""),"-",""),"(",""),")",""),"+","")),"x"))),"","Телефон: неверный формат"))</f>
        <v/>
      </c>
      <c r="Q336" s="24" t="str">
        <f aca="false">TRIM(IF(TRIM(B336)="","Нет наименования. ","")&amp;IF(TRIM(F336)="","Нет адреса. ","")&amp;IF(TRIM(G336)="","Нет контактного лица.",""))</f>
        <v/>
      </c>
      <c r="R336" s="21" t="n">
        <f aca="false">SUMPRODUCT(--(LEN(K336:Q336)&gt;0))</f>
        <v>0</v>
      </c>
      <c r="S336" s="24" t="str">
        <f aca="false">IF(R336=0,"Готово к передаче","Требует исправления")</f>
        <v>Готово к передаче</v>
      </c>
      <c r="T336" s="24" t="str">
        <f aca="false">IF(R336=0,"",_xlfn.TEXTJOIN("; ",TRUE(),K336:Q336))</f>
        <v/>
      </c>
      <c r="U336" s="24" t="str">
        <f aca="false">IF(R336=0,"","Здравствуйте! В данных организации «"&amp;B336&amp;"» обнаружены ошибки: "&amp;T336&amp;". Просим проверить и прислать исправленную информацию.")</f>
        <v/>
      </c>
      <c r="V336" s="21" t="str">
        <f aca="false">IF(R336&gt;0,COUNTIF($R$2:R336,"&gt;0"),"")</f>
        <v/>
      </c>
      <c r="W336" s="21" t="n">
        <f aca="false">IF(R336=0,COUNTIF($R$2:R336,0),"")</f>
        <v>234</v>
      </c>
    </row>
    <row r="337" customFormat="false" ht="15" hidden="false" customHeight="false" outlineLevel="0" collapsed="false">
      <c r="A337" s="21" t="n">
        <v>336</v>
      </c>
      <c r="B337" s="22" t="s">
        <v>2708</v>
      </c>
      <c r="C337" s="23" t="s">
        <v>2709</v>
      </c>
      <c r="D337" s="23" t="s">
        <v>2710</v>
      </c>
      <c r="E337" s="23" t="s">
        <v>2711</v>
      </c>
      <c r="F337" s="22" t="s">
        <v>2712</v>
      </c>
      <c r="G337" s="22" t="s">
        <v>2713</v>
      </c>
      <c r="H337" s="22" t="s">
        <v>2714</v>
      </c>
      <c r="I337" s="23" t="s">
        <v>2715</v>
      </c>
      <c r="J337" s="24" t="str">
        <f aca="false">IFERROR(VLOOKUP(VALUE(LEFT(C337,2)),Справочники!$A$2:$B$16,2,FALSE()),"не определён")</f>
        <v>г. Севастополь</v>
      </c>
      <c r="K337" s="24" t="str">
        <f aca="false">IF(TRIM(C337)="","ИНН не указан",IF(LEN(C337)&lt;&gt;10,"ИНН: должно быть 10 цифр",IF(NOT(ISNUMBER(IFERROR(VALUE(C337),"x"))),"ИНН: есть нецифровые символы",IF(MOD(MOD(SUMPRODUCT(--MID(C337,{1,2,3,4,5,6,7,8,9},1),{2,4,10,3,5,9,4,6,8}),11),10)=VALUE(RIGHT(C337,1)),"","ИНН: неверная контрольная цифра"))))</f>
        <v/>
      </c>
      <c r="L337" s="24" t="str">
        <f aca="false">IF(TRIM(D337)="","ОГРН не указан",IF(LEN(D337)&lt;&gt;13,"ОГРН: должно быть 13 цифр",IF(NOT(ISNUMBER(IFERROR(VALUE(D337),"x"))),"ОГРН: есть нецифровые символы",IF(MOD(VALUE(LEFT(D337,12))-11*INT(VALUE(LEFT(D337,12))/11),10)=VALUE(RIGHT(D337,1)),"","ОГРН: неверная контрольная цифра"))))</f>
        <v/>
      </c>
      <c r="M337" s="24" t="str">
        <f aca="false">IF(TRIM(E337)="","КПП не указан",IF(LEN(E337)&lt;&gt;9,"КПП: должно быть 9 знаков",IF(NOT(AND(ISNUMBER(IFERROR(VALUE(LEFT(E337,4)),"x")),ISNUMBER(IFERROR(VALUE(RIGHT(E337,3)),"x")))),"КПП: неверный формат",IF(LEFT(E337,2)&lt;&gt;LEFT(C337,2),"КПП: код региона не совпадает с ИНН",""))))</f>
        <v/>
      </c>
      <c r="N337" s="24" t="str">
        <f aca="false">IF(TRIM(C337)="","",IF(COUNTIF($C$2:$C$401,C337)&gt;1,"Дубликат ИНН в реестре",""))</f>
        <v/>
      </c>
      <c r="O337" s="24" t="str">
        <f aca="false">IF(TRIM(H337)="","Email не указан",IF(AND(ISNUMBER(FIND("@",H337)),ISNUMBER(FIND(".",H337,IFERROR(FIND("@",H337),1))),ISERROR(FIND(" ",H337)),LEFT(H337,1)&lt;&gt;"@",RIGHT(H337,1)&lt;&gt;".",LEN(H337)-LEN(SUBSTITUTE(H337,"@",""))=1),"","Email: неверный формат"))</f>
        <v/>
      </c>
      <c r="P337" s="24" t="str">
        <f aca="false">IF(TRIM(I337)="","Телефон не указан",IF(AND(LEN(SUBSTITUTE(SUBSTITUTE(SUBSTITUTE(SUBSTITUTE(SUBSTITUTE(I337," ",""),"-",""),"(",""),")",""),"+",""))=11,OR(LEFT(SUBSTITUTE(SUBSTITUTE(SUBSTITUTE(SUBSTITUTE(SUBSTITUTE(I337," ",""),"-",""),"(",""),")",""),"+",""),1)="7",LEFT(SUBSTITUTE(SUBSTITUTE(SUBSTITUTE(SUBSTITUTE(SUBSTITUTE(I337," ",""),"-",""),"(",""),")",""),"+",""),1)="8"),ISNUMBER(IFERROR(VALUE(SUBSTITUTE(SUBSTITUTE(SUBSTITUTE(SUBSTITUTE(SUBSTITUTE(I337," ",""),"-",""),"(",""),")",""),"+","")),"x"))),"","Телефон: неверный формат"))</f>
        <v/>
      </c>
      <c r="Q337" s="24" t="str">
        <f aca="false">TRIM(IF(TRIM(B337)="","Нет наименования. ","")&amp;IF(TRIM(F337)="","Нет адреса. ","")&amp;IF(TRIM(G337)="","Нет контактного лица.",""))</f>
        <v/>
      </c>
      <c r="R337" s="21" t="n">
        <f aca="false">SUMPRODUCT(--(LEN(K337:Q337)&gt;0))</f>
        <v>0</v>
      </c>
      <c r="S337" s="24" t="str">
        <f aca="false">IF(R337=0,"Готово к передаче","Требует исправления")</f>
        <v>Готово к передаче</v>
      </c>
      <c r="T337" s="24" t="str">
        <f aca="false">IF(R337=0,"",_xlfn.TEXTJOIN("; ",TRUE(),K337:Q337))</f>
        <v/>
      </c>
      <c r="U337" s="24" t="str">
        <f aca="false">IF(R337=0,"","Здравствуйте! В данных организации «"&amp;B337&amp;"» обнаружены ошибки: "&amp;T337&amp;". Просим проверить и прислать исправленную информацию.")</f>
        <v/>
      </c>
      <c r="V337" s="21" t="str">
        <f aca="false">IF(R337&gt;0,COUNTIF($R$2:R337,"&gt;0"),"")</f>
        <v/>
      </c>
      <c r="W337" s="21" t="n">
        <f aca="false">IF(R337=0,COUNTIF($R$2:R337,0),"")</f>
        <v>235</v>
      </c>
    </row>
    <row r="338" customFormat="false" ht="15" hidden="false" customHeight="false" outlineLevel="0" collapsed="false">
      <c r="A338" s="21" t="n">
        <v>337</v>
      </c>
      <c r="B338" s="22" t="s">
        <v>2716</v>
      </c>
      <c r="C338" s="23" t="s">
        <v>2717</v>
      </c>
      <c r="D338" s="23" t="s">
        <v>2718</v>
      </c>
      <c r="E338" s="23" t="s">
        <v>2719</v>
      </c>
      <c r="F338" s="22" t="s">
        <v>2720</v>
      </c>
      <c r="G338" s="22" t="s">
        <v>2721</v>
      </c>
      <c r="H338" s="22" t="s">
        <v>2722</v>
      </c>
      <c r="I338" s="23" t="s">
        <v>2723</v>
      </c>
      <c r="J338" s="24" t="str">
        <f aca="false">IFERROR(VLOOKUP(VALUE(LEFT(C338,2)),Справочники!$A$2:$B$16,2,FALSE()),"не определён")</f>
        <v>г. Санкт-Петербург</v>
      </c>
      <c r="K338" s="24" t="str">
        <f aca="false">IF(TRIM(C338)="","ИНН не указан",IF(LEN(C338)&lt;&gt;10,"ИНН: должно быть 10 цифр",IF(NOT(ISNUMBER(IFERROR(VALUE(C338),"x"))),"ИНН: есть нецифровые символы",IF(MOD(MOD(SUMPRODUCT(--MID(C338,{1,2,3,4,5,6,7,8,9},1),{2,4,10,3,5,9,4,6,8}),11),10)=VALUE(RIGHT(C338,1)),"","ИНН: неверная контрольная цифра"))))</f>
        <v/>
      </c>
      <c r="L338" s="24" t="str">
        <f aca="false">IF(TRIM(D338)="","ОГРН не указан",IF(LEN(D338)&lt;&gt;13,"ОГРН: должно быть 13 цифр",IF(NOT(ISNUMBER(IFERROR(VALUE(D338),"x"))),"ОГРН: есть нецифровые символы",IF(MOD(VALUE(LEFT(D338,12))-11*INT(VALUE(LEFT(D338,12))/11),10)=VALUE(RIGHT(D338,1)),"","ОГРН: неверная контрольная цифра"))))</f>
        <v/>
      </c>
      <c r="M338" s="24" t="str">
        <f aca="false">IF(TRIM(E338)="","КПП не указан",IF(LEN(E338)&lt;&gt;9,"КПП: должно быть 9 знаков",IF(NOT(AND(ISNUMBER(IFERROR(VALUE(LEFT(E338,4)),"x")),ISNUMBER(IFERROR(VALUE(RIGHT(E338,3)),"x")))),"КПП: неверный формат",IF(LEFT(E338,2)&lt;&gt;LEFT(C338,2),"КПП: код региона не совпадает с ИНН",""))))</f>
        <v/>
      </c>
      <c r="N338" s="24" t="str">
        <f aca="false">IF(TRIM(C338)="","",IF(COUNTIF($C$2:$C$401,C338)&gt;1,"Дубликат ИНН в реестре",""))</f>
        <v/>
      </c>
      <c r="O338" s="24" t="str">
        <f aca="false">IF(TRIM(H338)="","Email не указан",IF(AND(ISNUMBER(FIND("@",H338)),ISNUMBER(FIND(".",H338,IFERROR(FIND("@",H338),1))),ISERROR(FIND(" ",H338)),LEFT(H338,1)&lt;&gt;"@",RIGHT(H338,1)&lt;&gt;".",LEN(H338)-LEN(SUBSTITUTE(H338,"@",""))=1),"","Email: неверный формат"))</f>
        <v/>
      </c>
      <c r="P338" s="24" t="str">
        <f aca="false">IF(TRIM(I338)="","Телефон не указан",IF(AND(LEN(SUBSTITUTE(SUBSTITUTE(SUBSTITUTE(SUBSTITUTE(SUBSTITUTE(I338," ",""),"-",""),"(",""),")",""),"+",""))=11,OR(LEFT(SUBSTITUTE(SUBSTITUTE(SUBSTITUTE(SUBSTITUTE(SUBSTITUTE(I338," ",""),"-",""),"(",""),")",""),"+",""),1)="7",LEFT(SUBSTITUTE(SUBSTITUTE(SUBSTITUTE(SUBSTITUTE(SUBSTITUTE(I338," ",""),"-",""),"(",""),")",""),"+",""),1)="8"),ISNUMBER(IFERROR(VALUE(SUBSTITUTE(SUBSTITUTE(SUBSTITUTE(SUBSTITUTE(SUBSTITUTE(I338," ",""),"-",""),"(",""),")",""),"+","")),"x"))),"","Телефон: неверный формат"))</f>
        <v/>
      </c>
      <c r="Q338" s="24" t="str">
        <f aca="false">TRIM(IF(TRIM(B338)="","Нет наименования. ","")&amp;IF(TRIM(F338)="","Нет адреса. ","")&amp;IF(TRIM(G338)="","Нет контактного лица.",""))</f>
        <v/>
      </c>
      <c r="R338" s="21" t="n">
        <f aca="false">SUMPRODUCT(--(LEN(K338:Q338)&gt;0))</f>
        <v>0</v>
      </c>
      <c r="S338" s="24" t="str">
        <f aca="false">IF(R338=0,"Готово к передаче","Требует исправления")</f>
        <v>Готово к передаче</v>
      </c>
      <c r="T338" s="24" t="str">
        <f aca="false">IF(R338=0,"",_xlfn.TEXTJOIN("; ",TRUE(),K338:Q338))</f>
        <v/>
      </c>
      <c r="U338" s="24" t="str">
        <f aca="false">IF(R338=0,"","Здравствуйте! В данных организации «"&amp;B338&amp;"» обнаружены ошибки: "&amp;T338&amp;". Просим проверить и прислать исправленную информацию.")</f>
        <v/>
      </c>
      <c r="V338" s="21" t="str">
        <f aca="false">IF(R338&gt;0,COUNTIF($R$2:R338,"&gt;0"),"")</f>
        <v/>
      </c>
      <c r="W338" s="21" t="n">
        <f aca="false">IF(R338=0,COUNTIF($R$2:R338,0),"")</f>
        <v>236</v>
      </c>
    </row>
    <row r="339" customFormat="false" ht="15" hidden="false" customHeight="false" outlineLevel="0" collapsed="false">
      <c r="A339" s="21" t="n">
        <v>338</v>
      </c>
      <c r="B339" s="22" t="s">
        <v>2724</v>
      </c>
      <c r="C339" s="23" t="s">
        <v>2725</v>
      </c>
      <c r="D339" s="23" t="s">
        <v>2726</v>
      </c>
      <c r="E339" s="23" t="s">
        <v>2727</v>
      </c>
      <c r="F339" s="22" t="s">
        <v>2728</v>
      </c>
      <c r="G339" s="22" t="s">
        <v>2729</v>
      </c>
      <c r="H339" s="22" t="s">
        <v>2730</v>
      </c>
      <c r="I339" s="23" t="s">
        <v>2731</v>
      </c>
      <c r="J339" s="24" t="str">
        <f aca="false">IFERROR(VLOOKUP(VALUE(LEFT(C339,2)),Справочники!$A$2:$B$16,2,FALSE()),"не определён")</f>
        <v>Нижегородская область</v>
      </c>
      <c r="K339" s="24" t="str">
        <f aca="false">IF(TRIM(C339)="","ИНН не указан",IF(LEN(C339)&lt;&gt;10,"ИНН: должно быть 10 цифр",IF(NOT(ISNUMBER(IFERROR(VALUE(C339),"x"))),"ИНН: есть нецифровые символы",IF(MOD(MOD(SUMPRODUCT(--MID(C339,{1,2,3,4,5,6,7,8,9},1),{2,4,10,3,5,9,4,6,8}),11),10)=VALUE(RIGHT(C339,1)),"","ИНН: неверная контрольная цифра"))))</f>
        <v/>
      </c>
      <c r="L339" s="24" t="str">
        <f aca="false">IF(TRIM(D339)="","ОГРН не указан",IF(LEN(D339)&lt;&gt;13,"ОГРН: должно быть 13 цифр",IF(NOT(ISNUMBER(IFERROR(VALUE(D339),"x"))),"ОГРН: есть нецифровые символы",IF(MOD(VALUE(LEFT(D339,12))-11*INT(VALUE(LEFT(D339,12))/11),10)=VALUE(RIGHT(D339,1)),"","ОГРН: неверная контрольная цифра"))))</f>
        <v/>
      </c>
      <c r="M339" s="24" t="str">
        <f aca="false">IF(TRIM(E339)="","КПП не указан",IF(LEN(E339)&lt;&gt;9,"КПП: должно быть 9 знаков",IF(NOT(AND(ISNUMBER(IFERROR(VALUE(LEFT(E339,4)),"x")),ISNUMBER(IFERROR(VALUE(RIGHT(E339,3)),"x")))),"КПП: неверный формат",IF(LEFT(E339,2)&lt;&gt;LEFT(C339,2),"КПП: код региона не совпадает с ИНН",""))))</f>
        <v/>
      </c>
      <c r="N339" s="24" t="str">
        <f aca="false">IF(TRIM(C339)="","",IF(COUNTIF($C$2:$C$401,C339)&gt;1,"Дубликат ИНН в реестре",""))</f>
        <v/>
      </c>
      <c r="O339" s="24" t="str">
        <f aca="false">IF(TRIM(H339)="","Email не указан",IF(AND(ISNUMBER(FIND("@",H339)),ISNUMBER(FIND(".",H339,IFERROR(FIND("@",H339),1))),ISERROR(FIND(" ",H339)),LEFT(H339,1)&lt;&gt;"@",RIGHT(H339,1)&lt;&gt;".",LEN(H339)-LEN(SUBSTITUTE(H339,"@",""))=1),"","Email: неверный формат"))</f>
        <v/>
      </c>
      <c r="P339" s="24" t="str">
        <f aca="false">IF(TRIM(I339)="","Телефон не указан",IF(AND(LEN(SUBSTITUTE(SUBSTITUTE(SUBSTITUTE(SUBSTITUTE(SUBSTITUTE(I339," ",""),"-",""),"(",""),")",""),"+",""))=11,OR(LEFT(SUBSTITUTE(SUBSTITUTE(SUBSTITUTE(SUBSTITUTE(SUBSTITUTE(I339," ",""),"-",""),"(",""),")",""),"+",""),1)="7",LEFT(SUBSTITUTE(SUBSTITUTE(SUBSTITUTE(SUBSTITUTE(SUBSTITUTE(I339," ",""),"-",""),"(",""),")",""),"+",""),1)="8"),ISNUMBER(IFERROR(VALUE(SUBSTITUTE(SUBSTITUTE(SUBSTITUTE(SUBSTITUTE(SUBSTITUTE(I339," ",""),"-",""),"(",""),")",""),"+","")),"x"))),"","Телефон: неверный формат"))</f>
        <v/>
      </c>
      <c r="Q339" s="24" t="str">
        <f aca="false">TRIM(IF(TRIM(B339)="","Нет наименования. ","")&amp;IF(TRIM(F339)="","Нет адреса. ","")&amp;IF(TRIM(G339)="","Нет контактного лица.",""))</f>
        <v/>
      </c>
      <c r="R339" s="21" t="n">
        <f aca="false">SUMPRODUCT(--(LEN(K339:Q339)&gt;0))</f>
        <v>0</v>
      </c>
      <c r="S339" s="24" t="str">
        <f aca="false">IF(R339=0,"Готово к передаче","Требует исправления")</f>
        <v>Готово к передаче</v>
      </c>
      <c r="T339" s="24" t="str">
        <f aca="false">IF(R339=0,"",_xlfn.TEXTJOIN("; ",TRUE(),K339:Q339))</f>
        <v/>
      </c>
      <c r="U339" s="24" t="str">
        <f aca="false">IF(R339=0,"","Здравствуйте! В данных организации «"&amp;B339&amp;"» обнаружены ошибки: "&amp;T339&amp;". Просим проверить и прислать исправленную информацию.")</f>
        <v/>
      </c>
      <c r="V339" s="21" t="str">
        <f aca="false">IF(R339&gt;0,COUNTIF($R$2:R339,"&gt;0"),"")</f>
        <v/>
      </c>
      <c r="W339" s="21" t="n">
        <f aca="false">IF(R339=0,COUNTIF($R$2:R339,0),"")</f>
        <v>237</v>
      </c>
    </row>
    <row r="340" customFormat="false" ht="15" hidden="false" customHeight="false" outlineLevel="0" collapsed="false">
      <c r="A340" s="21" t="n">
        <v>339</v>
      </c>
      <c r="B340" s="22" t="s">
        <v>2732</v>
      </c>
      <c r="C340" s="23" t="s">
        <v>2733</v>
      </c>
      <c r="D340" s="23" t="s">
        <v>2734</v>
      </c>
      <c r="E340" s="23" t="s">
        <v>2735</v>
      </c>
      <c r="F340" s="22" t="s">
        <v>2736</v>
      </c>
      <c r="G340" s="22" t="s">
        <v>2737</v>
      </c>
      <c r="H340" s="22" t="s">
        <v>2738</v>
      </c>
      <c r="I340" s="23" t="s">
        <v>2739</v>
      </c>
      <c r="J340" s="24" t="str">
        <f aca="false">IFERROR(VLOOKUP(VALUE(LEFT(C340,2)),Справочники!$A$2:$B$16,2,FALSE()),"не определён")</f>
        <v>г. Санкт-Петербург</v>
      </c>
      <c r="K340" s="24" t="str">
        <f aca="false">IF(TRIM(C340)="","ИНН не указан",IF(LEN(C340)&lt;&gt;10,"ИНН: должно быть 10 цифр",IF(NOT(ISNUMBER(IFERROR(VALUE(C340),"x"))),"ИНН: есть нецифровые символы",IF(MOD(MOD(SUMPRODUCT(--MID(C340,{1,2,3,4,5,6,7,8,9},1),{2,4,10,3,5,9,4,6,8}),11),10)=VALUE(RIGHT(C340,1)),"","ИНН: неверная контрольная цифра"))))</f>
        <v>ИНН: неверная контрольная цифра</v>
      </c>
      <c r="L340" s="24" t="str">
        <f aca="false">IF(TRIM(D340)="","ОГРН не указан",IF(LEN(D340)&lt;&gt;13,"ОГРН: должно быть 13 цифр",IF(NOT(ISNUMBER(IFERROR(VALUE(D340),"x"))),"ОГРН: есть нецифровые символы",IF(MOD(VALUE(LEFT(D340,12))-11*INT(VALUE(LEFT(D340,12))/11),10)=VALUE(RIGHT(D340,1)),"","ОГРН: неверная контрольная цифра"))))</f>
        <v/>
      </c>
      <c r="M340" s="24" t="str">
        <f aca="false">IF(TRIM(E340)="","КПП не указан",IF(LEN(E340)&lt;&gt;9,"КПП: должно быть 9 знаков",IF(NOT(AND(ISNUMBER(IFERROR(VALUE(LEFT(E340,4)),"x")),ISNUMBER(IFERROR(VALUE(RIGHT(E340,3)),"x")))),"КПП: неверный формат",IF(LEFT(E340,2)&lt;&gt;LEFT(C340,2),"КПП: код региона не совпадает с ИНН",""))))</f>
        <v/>
      </c>
      <c r="N340" s="24" t="str">
        <f aca="false">IF(TRIM(C340)="","",IF(COUNTIF($C$2:$C$401,C340)&gt;1,"Дубликат ИНН в реестре",""))</f>
        <v/>
      </c>
      <c r="O340" s="24" t="str">
        <f aca="false">IF(TRIM(H340)="","Email не указан",IF(AND(ISNUMBER(FIND("@",H340)),ISNUMBER(FIND(".",H340,IFERROR(FIND("@",H340),1))),ISERROR(FIND(" ",H340)),LEFT(H340,1)&lt;&gt;"@",RIGHT(H340,1)&lt;&gt;".",LEN(H340)-LEN(SUBSTITUTE(H340,"@",""))=1),"","Email: неверный формат"))</f>
        <v/>
      </c>
      <c r="P340" s="24" t="str">
        <f aca="false">IF(TRIM(I340)="","Телефон не указан",IF(AND(LEN(SUBSTITUTE(SUBSTITUTE(SUBSTITUTE(SUBSTITUTE(SUBSTITUTE(I340," ",""),"-",""),"(",""),")",""),"+",""))=11,OR(LEFT(SUBSTITUTE(SUBSTITUTE(SUBSTITUTE(SUBSTITUTE(SUBSTITUTE(I340," ",""),"-",""),"(",""),")",""),"+",""),1)="7",LEFT(SUBSTITUTE(SUBSTITUTE(SUBSTITUTE(SUBSTITUTE(SUBSTITUTE(I340," ",""),"-",""),"(",""),")",""),"+",""),1)="8"),ISNUMBER(IFERROR(VALUE(SUBSTITUTE(SUBSTITUTE(SUBSTITUTE(SUBSTITUTE(SUBSTITUTE(I340," ",""),"-",""),"(",""),")",""),"+","")),"x"))),"","Телефон: неверный формат"))</f>
        <v/>
      </c>
      <c r="Q340" s="24" t="str">
        <f aca="false">TRIM(IF(TRIM(B340)="","Нет наименования. ","")&amp;IF(TRIM(F340)="","Нет адреса. ","")&amp;IF(TRIM(G340)="","Нет контактного лица.",""))</f>
        <v/>
      </c>
      <c r="R340" s="21" t="n">
        <f aca="false">SUMPRODUCT(--(LEN(K340:Q340)&gt;0))</f>
        <v>1</v>
      </c>
      <c r="S340" s="24" t="str">
        <f aca="false">IF(R340=0,"Готово к передаче","Требует исправления")</f>
        <v>Требует исправления</v>
      </c>
      <c r="T340" s="24" t="str">
        <f aca="false">IF(R340=0,"",_xlfn.TEXTJOIN("; ",TRUE(),K340:Q340))</f>
        <v>ИНН: неверная контрольная цифра</v>
      </c>
      <c r="U340" s="24" t="str">
        <f aca="false">IF(R340=0,"","Здравствуйте! В данных организации «"&amp;B340&amp;"» обнаружены ошибки: "&amp;T340&amp;". Просим проверить и прислать исправленную информацию.")</f>
        <v>Здравствуйте! В данных организации «ООО «Горизонт Стандарт»» обнаружены ошибки: ИНН: неверная контрольная цифра. Просим проверить и прислать исправленную информацию.</v>
      </c>
      <c r="V340" s="21" t="n">
        <f aca="false">IF(R340&gt;0,COUNTIF($R$2:R340,"&gt;0"),"")</f>
        <v>102</v>
      </c>
      <c r="W340" s="21" t="str">
        <f aca="false">IF(R340=0,COUNTIF($R$2:R340,0),"")</f>
        <v/>
      </c>
    </row>
    <row r="341" customFormat="false" ht="15" hidden="false" customHeight="false" outlineLevel="0" collapsed="false">
      <c r="A341" s="21" t="n">
        <v>340</v>
      </c>
      <c r="B341" s="22" t="s">
        <v>2740</v>
      </c>
      <c r="C341" s="23" t="s">
        <v>2741</v>
      </c>
      <c r="D341" s="23" t="s">
        <v>2742</v>
      </c>
      <c r="E341" s="23" t="s">
        <v>2743</v>
      </c>
      <c r="F341" s="22" t="s">
        <v>2744</v>
      </c>
      <c r="G341" s="22" t="s">
        <v>2745</v>
      </c>
      <c r="H341" s="22" t="s">
        <v>2746</v>
      </c>
      <c r="I341" s="23" t="s">
        <v>2747</v>
      </c>
      <c r="J341" s="24" t="str">
        <f aca="false">IFERROR(VLOOKUP(VALUE(LEFT(C341,2)),Справочники!$A$2:$B$16,2,FALSE()),"не определён")</f>
        <v>г. Санкт-Петербург</v>
      </c>
      <c r="K341" s="24" t="str">
        <f aca="false">IF(TRIM(C341)="","ИНН не указан",IF(LEN(C341)&lt;&gt;10,"ИНН: должно быть 10 цифр",IF(NOT(ISNUMBER(IFERROR(VALUE(C341),"x"))),"ИНН: есть нецифровые символы",IF(MOD(MOD(SUMPRODUCT(--MID(C341,{1,2,3,4,5,6,7,8,9},1),{2,4,10,3,5,9,4,6,8}),11),10)=VALUE(RIGHT(C341,1)),"","ИНН: неверная контрольная цифра"))))</f>
        <v/>
      </c>
      <c r="L341" s="24" t="str">
        <f aca="false">IF(TRIM(D341)="","ОГРН не указан",IF(LEN(D341)&lt;&gt;13,"ОГРН: должно быть 13 цифр",IF(NOT(ISNUMBER(IFERROR(VALUE(D341),"x"))),"ОГРН: есть нецифровые символы",IF(MOD(VALUE(LEFT(D341,12))-11*INT(VALUE(LEFT(D341,12))/11),10)=VALUE(RIGHT(D341,1)),"","ОГРН: неверная контрольная цифра"))))</f>
        <v/>
      </c>
      <c r="M341" s="24" t="str">
        <f aca="false">IF(TRIM(E341)="","КПП не указан",IF(LEN(E341)&lt;&gt;9,"КПП: должно быть 9 знаков",IF(NOT(AND(ISNUMBER(IFERROR(VALUE(LEFT(E341,4)),"x")),ISNUMBER(IFERROR(VALUE(RIGHT(E341,3)),"x")))),"КПП: неверный формат",IF(LEFT(E341,2)&lt;&gt;LEFT(C341,2),"КПП: код региона не совпадает с ИНН",""))))</f>
        <v/>
      </c>
      <c r="N341" s="24" t="str">
        <f aca="false">IF(TRIM(C341)="","",IF(COUNTIF($C$2:$C$401,C341)&gt;1,"Дубликат ИНН в реестре",""))</f>
        <v/>
      </c>
      <c r="O341" s="24" t="str">
        <f aca="false">IF(TRIM(H341)="","Email не указан",IF(AND(ISNUMBER(FIND("@",H341)),ISNUMBER(FIND(".",H341,IFERROR(FIND("@",H341),1))),ISERROR(FIND(" ",H341)),LEFT(H341,1)&lt;&gt;"@",RIGHT(H341,1)&lt;&gt;".",LEN(H341)-LEN(SUBSTITUTE(H341,"@",""))=1),"","Email: неверный формат"))</f>
        <v>Email: неверный формат</v>
      </c>
      <c r="P341" s="24" t="str">
        <f aca="false">IF(TRIM(I341)="","Телефон не указан",IF(AND(LEN(SUBSTITUTE(SUBSTITUTE(SUBSTITUTE(SUBSTITUTE(SUBSTITUTE(I341," ",""),"-",""),"(",""),")",""),"+",""))=11,OR(LEFT(SUBSTITUTE(SUBSTITUTE(SUBSTITUTE(SUBSTITUTE(SUBSTITUTE(I341," ",""),"-",""),"(",""),")",""),"+",""),1)="7",LEFT(SUBSTITUTE(SUBSTITUTE(SUBSTITUTE(SUBSTITUTE(SUBSTITUTE(I341," ",""),"-",""),"(",""),")",""),"+",""),1)="8"),ISNUMBER(IFERROR(VALUE(SUBSTITUTE(SUBSTITUTE(SUBSTITUTE(SUBSTITUTE(SUBSTITUTE(I341," ",""),"-",""),"(",""),")",""),"+","")),"x"))),"","Телефон: неверный формат"))</f>
        <v/>
      </c>
      <c r="Q341" s="24" t="str">
        <f aca="false">TRIM(IF(TRIM(B341)="","Нет наименования. ","")&amp;IF(TRIM(F341)="","Нет адреса. ","")&amp;IF(TRIM(G341)="","Нет контактного лица.",""))</f>
        <v/>
      </c>
      <c r="R341" s="21" t="n">
        <f aca="false">SUMPRODUCT(--(LEN(K341:Q341)&gt;0))</f>
        <v>1</v>
      </c>
      <c r="S341" s="24" t="str">
        <f aca="false">IF(R341=0,"Готово к передаче","Требует исправления")</f>
        <v>Требует исправления</v>
      </c>
      <c r="T341" s="24" t="str">
        <f aca="false">IF(R341=0,"",_xlfn.TEXTJOIN("; ",TRUE(),K341:Q341))</f>
        <v>Email: неверный формат</v>
      </c>
      <c r="U341" s="24" t="str">
        <f aca="false">IF(R341=0,"","Здравствуйте! В данных организации «"&amp;B341&amp;"» обнаружены ошибки: "&amp;T341&amp;". Просим проверить и прислать исправленную информацию.")</f>
        <v>Здравствуйте! В данных организации «ООО «Радуга Мед»» обнаружены ошибки: Email: неверный формат. Просим проверить и прислать исправленную информацию.</v>
      </c>
      <c r="V341" s="21" t="n">
        <f aca="false">IF(R341&gt;0,COUNTIF($R$2:R341,"&gt;0"),"")</f>
        <v>103</v>
      </c>
      <c r="W341" s="21" t="str">
        <f aca="false">IF(R341=0,COUNTIF($R$2:R341,0),"")</f>
        <v/>
      </c>
    </row>
    <row r="342" customFormat="false" ht="15" hidden="false" customHeight="false" outlineLevel="0" collapsed="false">
      <c r="A342" s="21" t="n">
        <v>341</v>
      </c>
      <c r="B342" s="22" t="s">
        <v>2748</v>
      </c>
      <c r="C342" s="23" t="s">
        <v>2749</v>
      </c>
      <c r="D342" s="23" t="s">
        <v>2750</v>
      </c>
      <c r="E342" s="23" t="s">
        <v>2751</v>
      </c>
      <c r="F342" s="22" t="s">
        <v>2752</v>
      </c>
      <c r="G342" s="22" t="s">
        <v>2753</v>
      </c>
      <c r="H342" s="22" t="s">
        <v>2754</v>
      </c>
      <c r="I342" s="23" t="s">
        <v>2755</v>
      </c>
      <c r="J342" s="24" t="str">
        <f aca="false">IFERROR(VLOOKUP(VALUE(LEFT(C342,2)),Справочники!$A$2:$B$16,2,FALSE()),"не определён")</f>
        <v>г. Москва</v>
      </c>
      <c r="K342" s="24" t="str">
        <f aca="false">IF(TRIM(C342)="","ИНН не указан",IF(LEN(C342)&lt;&gt;10,"ИНН: должно быть 10 цифр",IF(NOT(ISNUMBER(IFERROR(VALUE(C342),"x"))),"ИНН: есть нецифровые символы",IF(MOD(MOD(SUMPRODUCT(--MID(C342,{1,2,3,4,5,6,7,8,9},1),{2,4,10,3,5,9,4,6,8}),11),10)=VALUE(RIGHT(C342,1)),"","ИНН: неверная контрольная цифра"))))</f>
        <v/>
      </c>
      <c r="L342" s="24" t="str">
        <f aca="false">IF(TRIM(D342)="","ОГРН не указан",IF(LEN(D342)&lt;&gt;13,"ОГРН: должно быть 13 цифр",IF(NOT(ISNUMBER(IFERROR(VALUE(D342),"x"))),"ОГРН: есть нецифровые символы",IF(MOD(VALUE(LEFT(D342,12))-11*INT(VALUE(LEFT(D342,12))/11),10)=VALUE(RIGHT(D342,1)),"","ОГРН: неверная контрольная цифра"))))</f>
        <v/>
      </c>
      <c r="M342" s="24" t="str">
        <f aca="false">IF(TRIM(E342)="","КПП не указан",IF(LEN(E342)&lt;&gt;9,"КПП: должно быть 9 знаков",IF(NOT(AND(ISNUMBER(IFERROR(VALUE(LEFT(E342,4)),"x")),ISNUMBER(IFERROR(VALUE(RIGHT(E342,3)),"x")))),"КПП: неверный формат",IF(LEFT(E342,2)&lt;&gt;LEFT(C342,2),"КПП: код региона не совпадает с ИНН",""))))</f>
        <v/>
      </c>
      <c r="N342" s="24" t="str">
        <f aca="false">IF(TRIM(C342)="","",IF(COUNTIF($C$2:$C$401,C342)&gt;1,"Дубликат ИНН в реестре",""))</f>
        <v/>
      </c>
      <c r="O342" s="24" t="str">
        <f aca="false">IF(TRIM(H342)="","Email не указан",IF(AND(ISNUMBER(FIND("@",H342)),ISNUMBER(FIND(".",H342,IFERROR(FIND("@",H342),1))),ISERROR(FIND(" ",H342)),LEFT(H342,1)&lt;&gt;"@",RIGHT(H342,1)&lt;&gt;".",LEN(H342)-LEN(SUBSTITUTE(H342,"@",""))=1),"","Email: неверный формат"))</f>
        <v/>
      </c>
      <c r="P342" s="24" t="str">
        <f aca="false">IF(TRIM(I342)="","Телефон не указан",IF(AND(LEN(SUBSTITUTE(SUBSTITUTE(SUBSTITUTE(SUBSTITUTE(SUBSTITUTE(I342," ",""),"-",""),"(",""),")",""),"+",""))=11,OR(LEFT(SUBSTITUTE(SUBSTITUTE(SUBSTITUTE(SUBSTITUTE(SUBSTITUTE(I342," ",""),"-",""),"(",""),")",""),"+",""),1)="7",LEFT(SUBSTITUTE(SUBSTITUTE(SUBSTITUTE(SUBSTITUTE(SUBSTITUTE(I342," ",""),"-",""),"(",""),")",""),"+",""),1)="8"),ISNUMBER(IFERROR(VALUE(SUBSTITUTE(SUBSTITUTE(SUBSTITUTE(SUBSTITUTE(SUBSTITUTE(I342," ",""),"-",""),"(",""),")",""),"+","")),"x"))),"","Телефон: неверный формат"))</f>
        <v/>
      </c>
      <c r="Q342" s="24" t="str">
        <f aca="false">TRIM(IF(TRIM(B342)="","Нет наименования. ","")&amp;IF(TRIM(F342)="","Нет адреса. ","")&amp;IF(TRIM(G342)="","Нет контактного лица.",""))</f>
        <v/>
      </c>
      <c r="R342" s="21" t="n">
        <f aca="false">SUMPRODUCT(--(LEN(K342:Q342)&gt;0))</f>
        <v>0</v>
      </c>
      <c r="S342" s="24" t="str">
        <f aca="false">IF(R342=0,"Готово к передаче","Требует исправления")</f>
        <v>Готово к передаче</v>
      </c>
      <c r="T342" s="24" t="str">
        <f aca="false">IF(R342=0,"",_xlfn.TEXTJOIN("; ",TRUE(),K342:Q342))</f>
        <v/>
      </c>
      <c r="U342" s="24" t="str">
        <f aca="false">IF(R342=0,"","Здравствуйте! В данных организации «"&amp;B342&amp;"» обнаружены ошибки: "&amp;T342&amp;". Просим проверить и прислать исправленную информацию.")</f>
        <v/>
      </c>
      <c r="V342" s="21" t="str">
        <f aca="false">IF(R342&gt;0,COUNTIF($R$2:R342,"&gt;0"),"")</f>
        <v/>
      </c>
      <c r="W342" s="21" t="n">
        <f aca="false">IF(R342=0,COUNTIF($R$2:R342,0),"")</f>
        <v>238</v>
      </c>
    </row>
    <row r="343" customFormat="false" ht="15" hidden="false" customHeight="false" outlineLevel="0" collapsed="false">
      <c r="A343" s="21" t="n">
        <v>342</v>
      </c>
      <c r="B343" s="22" t="s">
        <v>2756</v>
      </c>
      <c r="C343" s="23" t="s">
        <v>2757</v>
      </c>
      <c r="D343" s="23" t="s">
        <v>2758</v>
      </c>
      <c r="E343" s="23" t="s">
        <v>2759</v>
      </c>
      <c r="F343" s="22" t="s">
        <v>2760</v>
      </c>
      <c r="G343" s="22" t="s">
        <v>2761</v>
      </c>
      <c r="H343" s="22" t="s">
        <v>2762</v>
      </c>
      <c r="I343" s="23" t="s">
        <v>2763</v>
      </c>
      <c r="J343" s="24" t="str">
        <f aca="false">IFERROR(VLOOKUP(VALUE(LEFT(C343,2)),Справочники!$A$2:$B$16,2,FALSE()),"не определён")</f>
        <v>Краснодарский край</v>
      </c>
      <c r="K343" s="24" t="str">
        <f aca="false">IF(TRIM(C343)="","ИНН не указан",IF(LEN(C343)&lt;&gt;10,"ИНН: должно быть 10 цифр",IF(NOT(ISNUMBER(IFERROR(VALUE(C343),"x"))),"ИНН: есть нецифровые символы",IF(MOD(MOD(SUMPRODUCT(--MID(C343,{1,2,3,4,5,6,7,8,9},1),{2,4,10,3,5,9,4,6,8}),11),10)=VALUE(RIGHT(C343,1)),"","ИНН: неверная контрольная цифра"))))</f>
        <v/>
      </c>
      <c r="L343" s="24" t="str">
        <f aca="false">IF(TRIM(D343)="","ОГРН не указан",IF(LEN(D343)&lt;&gt;13,"ОГРН: должно быть 13 цифр",IF(NOT(ISNUMBER(IFERROR(VALUE(D343),"x"))),"ОГРН: есть нецифровые символы",IF(MOD(VALUE(LEFT(D343,12))-11*INT(VALUE(LEFT(D343,12))/11),10)=VALUE(RIGHT(D343,1)),"","ОГРН: неверная контрольная цифра"))))</f>
        <v/>
      </c>
      <c r="M343" s="24" t="str">
        <f aca="false">IF(TRIM(E343)="","КПП не указан",IF(LEN(E343)&lt;&gt;9,"КПП: должно быть 9 знаков",IF(NOT(AND(ISNUMBER(IFERROR(VALUE(LEFT(E343,4)),"x")),ISNUMBER(IFERROR(VALUE(RIGHT(E343,3)),"x")))),"КПП: неверный формат",IF(LEFT(E343,2)&lt;&gt;LEFT(C343,2),"КПП: код региона не совпадает с ИНН",""))))</f>
        <v/>
      </c>
      <c r="N343" s="24" t="str">
        <f aca="false">IF(TRIM(C343)="","",IF(COUNTIF($C$2:$C$401,C343)&gt;1,"Дубликат ИНН в реестре",""))</f>
        <v/>
      </c>
      <c r="O343" s="24" t="str">
        <f aca="false">IF(TRIM(H343)="","Email не указан",IF(AND(ISNUMBER(FIND("@",H343)),ISNUMBER(FIND(".",H343,IFERROR(FIND("@",H343),1))),ISERROR(FIND(" ",H343)),LEFT(H343,1)&lt;&gt;"@",RIGHT(H343,1)&lt;&gt;".",LEN(H343)-LEN(SUBSTITUTE(H343,"@",""))=1),"","Email: неверный формат"))</f>
        <v/>
      </c>
      <c r="P343" s="24" t="str">
        <f aca="false">IF(TRIM(I343)="","Телефон не указан",IF(AND(LEN(SUBSTITUTE(SUBSTITUTE(SUBSTITUTE(SUBSTITUTE(SUBSTITUTE(I343," ",""),"-",""),"(",""),")",""),"+",""))=11,OR(LEFT(SUBSTITUTE(SUBSTITUTE(SUBSTITUTE(SUBSTITUTE(SUBSTITUTE(I343," ",""),"-",""),"(",""),")",""),"+",""),1)="7",LEFT(SUBSTITUTE(SUBSTITUTE(SUBSTITUTE(SUBSTITUTE(SUBSTITUTE(I343," ",""),"-",""),"(",""),")",""),"+",""),1)="8"),ISNUMBER(IFERROR(VALUE(SUBSTITUTE(SUBSTITUTE(SUBSTITUTE(SUBSTITUTE(SUBSTITUTE(I343," ",""),"-",""),"(",""),")",""),"+","")),"x"))),"","Телефон: неверный формат"))</f>
        <v/>
      </c>
      <c r="Q343" s="24" t="str">
        <f aca="false">TRIM(IF(TRIM(B343)="","Нет наименования. ","")&amp;IF(TRIM(F343)="","Нет адреса. ","")&amp;IF(TRIM(G343)="","Нет контактного лица.",""))</f>
        <v/>
      </c>
      <c r="R343" s="21" t="n">
        <f aca="false">SUMPRODUCT(--(LEN(K343:Q343)&gt;0))</f>
        <v>0</v>
      </c>
      <c r="S343" s="24" t="str">
        <f aca="false">IF(R343=0,"Готово к передаче","Требует исправления")</f>
        <v>Готово к передаче</v>
      </c>
      <c r="T343" s="24" t="str">
        <f aca="false">IF(R343=0,"",_xlfn.TEXTJOIN("; ",TRUE(),K343:Q343))</f>
        <v/>
      </c>
      <c r="U343" s="24" t="str">
        <f aca="false">IF(R343=0,"","Здравствуйте! В данных организации «"&amp;B343&amp;"» обнаружены ошибки: "&amp;T343&amp;". Просим проверить и прислать исправленную информацию.")</f>
        <v/>
      </c>
      <c r="V343" s="21" t="str">
        <f aca="false">IF(R343&gt;0,COUNTIF($R$2:R343,"&gt;0"),"")</f>
        <v/>
      </c>
      <c r="W343" s="21" t="n">
        <f aca="false">IF(R343=0,COUNTIF($R$2:R343,0),"")</f>
        <v>239</v>
      </c>
    </row>
    <row r="344" customFormat="false" ht="15" hidden="false" customHeight="false" outlineLevel="0" collapsed="false">
      <c r="A344" s="21" t="n">
        <v>343</v>
      </c>
      <c r="B344" s="22" t="s">
        <v>2764</v>
      </c>
      <c r="C344" s="23" t="s">
        <v>2765</v>
      </c>
      <c r="D344" s="23" t="s">
        <v>2766</v>
      </c>
      <c r="E344" s="23" t="s">
        <v>2767</v>
      </c>
      <c r="F344" s="22" t="s">
        <v>2768</v>
      </c>
      <c r="G344" s="22" t="s">
        <v>2769</v>
      </c>
      <c r="H344" s="22" t="s">
        <v>2770</v>
      </c>
      <c r="I344" s="23" t="s">
        <v>2771</v>
      </c>
      <c r="J344" s="24" t="str">
        <f aca="false">IFERROR(VLOOKUP(VALUE(LEFT(C344,2)),Справочники!$A$2:$B$16,2,FALSE()),"не определён")</f>
        <v>Ростовская область</v>
      </c>
      <c r="K344" s="24" t="str">
        <f aca="false">IF(TRIM(C344)="","ИНН не указан",IF(LEN(C344)&lt;&gt;10,"ИНН: должно быть 10 цифр",IF(NOT(ISNUMBER(IFERROR(VALUE(C344),"x"))),"ИНН: есть нецифровые символы",IF(MOD(MOD(SUMPRODUCT(--MID(C344,{1,2,3,4,5,6,7,8,9},1),{2,4,10,3,5,9,4,6,8}),11),10)=VALUE(RIGHT(C344,1)),"","ИНН: неверная контрольная цифра"))))</f>
        <v/>
      </c>
      <c r="L344" s="24" t="str">
        <f aca="false">IF(TRIM(D344)="","ОГРН не указан",IF(LEN(D344)&lt;&gt;13,"ОГРН: должно быть 13 цифр",IF(NOT(ISNUMBER(IFERROR(VALUE(D344),"x"))),"ОГРН: есть нецифровые символы",IF(MOD(VALUE(LEFT(D344,12))-11*INT(VALUE(LEFT(D344,12))/11),10)=VALUE(RIGHT(D344,1)),"","ОГРН: неверная контрольная цифра"))))</f>
        <v/>
      </c>
      <c r="M344" s="24" t="str">
        <f aca="false">IF(TRIM(E344)="","КПП не указан",IF(LEN(E344)&lt;&gt;9,"КПП: должно быть 9 знаков",IF(NOT(AND(ISNUMBER(IFERROR(VALUE(LEFT(E344,4)),"x")),ISNUMBER(IFERROR(VALUE(RIGHT(E344,3)),"x")))),"КПП: неверный формат",IF(LEFT(E344,2)&lt;&gt;LEFT(C344,2),"КПП: код региона не совпадает с ИНН",""))))</f>
        <v/>
      </c>
      <c r="N344" s="24" t="str">
        <f aca="false">IF(TRIM(C344)="","",IF(COUNTIF($C$2:$C$401,C344)&gt;1,"Дубликат ИНН в реестре",""))</f>
        <v/>
      </c>
      <c r="O344" s="24" t="str">
        <f aca="false">IF(TRIM(H344)="","Email не указан",IF(AND(ISNUMBER(FIND("@",H344)),ISNUMBER(FIND(".",H344,IFERROR(FIND("@",H344),1))),ISERROR(FIND(" ",H344)),LEFT(H344,1)&lt;&gt;"@",RIGHT(H344,1)&lt;&gt;".",LEN(H344)-LEN(SUBSTITUTE(H344,"@",""))=1),"","Email: неверный формат"))</f>
        <v/>
      </c>
      <c r="P344" s="24" t="str">
        <f aca="false">IF(TRIM(I344)="","Телефон не указан",IF(AND(LEN(SUBSTITUTE(SUBSTITUTE(SUBSTITUTE(SUBSTITUTE(SUBSTITUTE(I344," ",""),"-",""),"(",""),")",""),"+",""))=11,OR(LEFT(SUBSTITUTE(SUBSTITUTE(SUBSTITUTE(SUBSTITUTE(SUBSTITUTE(I344," ",""),"-",""),"(",""),")",""),"+",""),1)="7",LEFT(SUBSTITUTE(SUBSTITUTE(SUBSTITUTE(SUBSTITUTE(SUBSTITUTE(I344," ",""),"-",""),"(",""),")",""),"+",""),1)="8"),ISNUMBER(IFERROR(VALUE(SUBSTITUTE(SUBSTITUTE(SUBSTITUTE(SUBSTITUTE(SUBSTITUTE(I344," ",""),"-",""),"(",""),")",""),"+","")),"x"))),"","Телефон: неверный формат"))</f>
        <v/>
      </c>
      <c r="Q344" s="24" t="str">
        <f aca="false">TRIM(IF(TRIM(B344)="","Нет наименования. ","")&amp;IF(TRIM(F344)="","Нет адреса. ","")&amp;IF(TRIM(G344)="","Нет контактного лица.",""))</f>
        <v/>
      </c>
      <c r="R344" s="21" t="n">
        <f aca="false">SUMPRODUCT(--(LEN(K344:Q344)&gt;0))</f>
        <v>0</v>
      </c>
      <c r="S344" s="24" t="str">
        <f aca="false">IF(R344=0,"Готово к передаче","Требует исправления")</f>
        <v>Готово к передаче</v>
      </c>
      <c r="T344" s="24" t="str">
        <f aca="false">IF(R344=0,"",_xlfn.TEXTJOIN("; ",TRUE(),K344:Q344))</f>
        <v/>
      </c>
      <c r="U344" s="24" t="str">
        <f aca="false">IF(R344=0,"","Здравствуйте! В данных организации «"&amp;B344&amp;"» обнаружены ошибки: "&amp;T344&amp;". Просим проверить и прислать исправленную информацию.")</f>
        <v/>
      </c>
      <c r="V344" s="21" t="str">
        <f aca="false">IF(R344&gt;0,COUNTIF($R$2:R344,"&gt;0"),"")</f>
        <v/>
      </c>
      <c r="W344" s="21" t="n">
        <f aca="false">IF(R344=0,COUNTIF($R$2:R344,0),"")</f>
        <v>240</v>
      </c>
    </row>
    <row r="345" customFormat="false" ht="15" hidden="false" customHeight="false" outlineLevel="0" collapsed="false">
      <c r="A345" s="21" t="n">
        <v>344</v>
      </c>
      <c r="B345" s="22" t="s">
        <v>2772</v>
      </c>
      <c r="C345" s="23" t="s">
        <v>2773</v>
      </c>
      <c r="D345" s="23" t="s">
        <v>2774</v>
      </c>
      <c r="E345" s="23" t="s">
        <v>2775</v>
      </c>
      <c r="F345" s="22" t="s">
        <v>2776</v>
      </c>
      <c r="G345" s="22" t="s">
        <v>2777</v>
      </c>
      <c r="H345" s="22" t="s">
        <v>2778</v>
      </c>
      <c r="I345" s="23" t="s">
        <v>2779</v>
      </c>
      <c r="J345" s="24" t="str">
        <f aca="false">IFERROR(VLOOKUP(VALUE(LEFT(C345,2)),Справочники!$A$2:$B$16,2,FALSE()),"не определён")</f>
        <v>г. Санкт-Петербург</v>
      </c>
      <c r="K345" s="24" t="str">
        <f aca="false">IF(TRIM(C345)="","ИНН не указан",IF(LEN(C345)&lt;&gt;10,"ИНН: должно быть 10 цифр",IF(NOT(ISNUMBER(IFERROR(VALUE(C345),"x"))),"ИНН: есть нецифровые символы",IF(MOD(MOD(SUMPRODUCT(--MID(C345,{1,2,3,4,5,6,7,8,9},1),{2,4,10,3,5,9,4,6,8}),11),10)=VALUE(RIGHT(C345,1)),"","ИНН: неверная контрольная цифра"))))</f>
        <v/>
      </c>
      <c r="L345" s="24" t="str">
        <f aca="false">IF(TRIM(D345)="","ОГРН не указан",IF(LEN(D345)&lt;&gt;13,"ОГРН: должно быть 13 цифр",IF(NOT(ISNUMBER(IFERROR(VALUE(D345),"x"))),"ОГРН: есть нецифровые символы",IF(MOD(VALUE(LEFT(D345,12))-11*INT(VALUE(LEFT(D345,12))/11),10)=VALUE(RIGHT(D345,1)),"","ОГРН: неверная контрольная цифра"))))</f>
        <v/>
      </c>
      <c r="M345" s="24" t="str">
        <f aca="false">IF(TRIM(E345)="","КПП не указан",IF(LEN(E345)&lt;&gt;9,"КПП: должно быть 9 знаков",IF(NOT(AND(ISNUMBER(IFERROR(VALUE(LEFT(E345,4)),"x")),ISNUMBER(IFERROR(VALUE(RIGHT(E345,3)),"x")))),"КПП: неверный формат",IF(LEFT(E345,2)&lt;&gt;LEFT(C345,2),"КПП: код региона не совпадает с ИНН",""))))</f>
        <v/>
      </c>
      <c r="N345" s="24" t="str">
        <f aca="false">IF(TRIM(C345)="","",IF(COUNTIF($C$2:$C$401,C345)&gt;1,"Дубликат ИНН в реестре",""))</f>
        <v/>
      </c>
      <c r="O345" s="24" t="str">
        <f aca="false">IF(TRIM(H345)="","Email не указан",IF(AND(ISNUMBER(FIND("@",H345)),ISNUMBER(FIND(".",H345,IFERROR(FIND("@",H345),1))),ISERROR(FIND(" ",H345)),LEFT(H345,1)&lt;&gt;"@",RIGHT(H345,1)&lt;&gt;".",LEN(H345)-LEN(SUBSTITUTE(H345,"@",""))=1),"","Email: неверный формат"))</f>
        <v/>
      </c>
      <c r="P345" s="24" t="str">
        <f aca="false">IF(TRIM(I345)="","Телефон не указан",IF(AND(LEN(SUBSTITUTE(SUBSTITUTE(SUBSTITUTE(SUBSTITUTE(SUBSTITUTE(I345," ",""),"-",""),"(",""),")",""),"+",""))=11,OR(LEFT(SUBSTITUTE(SUBSTITUTE(SUBSTITUTE(SUBSTITUTE(SUBSTITUTE(I345," ",""),"-",""),"(",""),")",""),"+",""),1)="7",LEFT(SUBSTITUTE(SUBSTITUTE(SUBSTITUTE(SUBSTITUTE(SUBSTITUTE(I345," ",""),"-",""),"(",""),")",""),"+",""),1)="8"),ISNUMBER(IFERROR(VALUE(SUBSTITUTE(SUBSTITUTE(SUBSTITUTE(SUBSTITUTE(SUBSTITUTE(I345," ",""),"-",""),"(",""),")",""),"+","")),"x"))),"","Телефон: неверный формат"))</f>
        <v/>
      </c>
      <c r="Q345" s="24" t="str">
        <f aca="false">TRIM(IF(TRIM(B345)="","Нет наименования. ","")&amp;IF(TRIM(F345)="","Нет адреса. ","")&amp;IF(TRIM(G345)="","Нет контактного лица.",""))</f>
        <v/>
      </c>
      <c r="R345" s="21" t="n">
        <f aca="false">SUMPRODUCT(--(LEN(K345:Q345)&gt;0))</f>
        <v>0</v>
      </c>
      <c r="S345" s="24" t="str">
        <f aca="false">IF(R345=0,"Готово к передаче","Требует исправления")</f>
        <v>Готово к передаче</v>
      </c>
      <c r="T345" s="24" t="str">
        <f aca="false">IF(R345=0,"",_xlfn.TEXTJOIN("; ",TRUE(),K345:Q345))</f>
        <v/>
      </c>
      <c r="U345" s="24" t="str">
        <f aca="false">IF(R345=0,"","Здравствуйте! В данных организации «"&amp;B345&amp;"» обнаружены ошибки: "&amp;T345&amp;". Просим проверить и прислать исправленную информацию.")</f>
        <v/>
      </c>
      <c r="V345" s="21" t="str">
        <f aca="false">IF(R345&gt;0,COUNTIF($R$2:R345,"&gt;0"),"")</f>
        <v/>
      </c>
      <c r="W345" s="21" t="n">
        <f aca="false">IF(R345=0,COUNTIF($R$2:R345,0),"")</f>
        <v>241</v>
      </c>
    </row>
    <row r="346" customFormat="false" ht="15" hidden="false" customHeight="false" outlineLevel="0" collapsed="false">
      <c r="A346" s="21" t="n">
        <v>345</v>
      </c>
      <c r="B346" s="22" t="s">
        <v>2780</v>
      </c>
      <c r="C346" s="23" t="s">
        <v>2781</v>
      </c>
      <c r="D346" s="23" t="s">
        <v>2782</v>
      </c>
      <c r="E346" s="23" t="s">
        <v>780</v>
      </c>
      <c r="F346" s="22" t="s">
        <v>2783</v>
      </c>
      <c r="G346" s="22" t="s">
        <v>2784</v>
      </c>
      <c r="H346" s="22" t="s">
        <v>2785</v>
      </c>
      <c r="I346" s="23" t="s">
        <v>2786</v>
      </c>
      <c r="J346" s="24" t="str">
        <f aca="false">IFERROR(VLOOKUP(VALUE(LEFT(C346,2)),Справочники!$A$2:$B$16,2,FALSE()),"не определён")</f>
        <v>Краснодарский край</v>
      </c>
      <c r="K346" s="24" t="str">
        <f aca="false">IF(TRIM(C346)="","ИНН не указан",IF(LEN(C346)&lt;&gt;10,"ИНН: должно быть 10 цифр",IF(NOT(ISNUMBER(IFERROR(VALUE(C346),"x"))),"ИНН: есть нецифровые символы",IF(MOD(MOD(SUMPRODUCT(--MID(C346,{1,2,3,4,5,6,7,8,9},1),{2,4,10,3,5,9,4,6,8}),11),10)=VALUE(RIGHT(C346,1)),"","ИНН: неверная контрольная цифра"))))</f>
        <v/>
      </c>
      <c r="L346" s="24" t="str">
        <f aca="false">IF(TRIM(D346)="","ОГРН не указан",IF(LEN(D346)&lt;&gt;13,"ОГРН: должно быть 13 цифр",IF(NOT(ISNUMBER(IFERROR(VALUE(D346),"x"))),"ОГРН: есть нецифровые символы",IF(MOD(VALUE(LEFT(D346,12))-11*INT(VALUE(LEFT(D346,12))/11),10)=VALUE(RIGHT(D346,1)),"","ОГРН: неверная контрольная цифра"))))</f>
        <v/>
      </c>
      <c r="M346" s="24" t="str">
        <f aca="false">IF(TRIM(E346)="","КПП не указан",IF(LEN(E346)&lt;&gt;9,"КПП: должно быть 9 знаков",IF(NOT(AND(ISNUMBER(IFERROR(VALUE(LEFT(E346,4)),"x")),ISNUMBER(IFERROR(VALUE(RIGHT(E346,3)),"x")))),"КПП: неверный формат",IF(LEFT(E346,2)&lt;&gt;LEFT(C346,2),"КПП: код региона не совпадает с ИНН",""))))</f>
        <v/>
      </c>
      <c r="N346" s="24" t="str">
        <f aca="false">IF(TRIM(C346)="","",IF(COUNTIF($C$2:$C$401,C346)&gt;1,"Дубликат ИНН в реестре",""))</f>
        <v/>
      </c>
      <c r="O346" s="24" t="str">
        <f aca="false">IF(TRIM(H346)="","Email не указан",IF(AND(ISNUMBER(FIND("@",H346)),ISNUMBER(FIND(".",H346,IFERROR(FIND("@",H346),1))),ISERROR(FIND(" ",H346)),LEFT(H346,1)&lt;&gt;"@",RIGHT(H346,1)&lt;&gt;".",LEN(H346)-LEN(SUBSTITUTE(H346,"@",""))=1),"","Email: неверный формат"))</f>
        <v/>
      </c>
      <c r="P346" s="24" t="str">
        <f aca="false">IF(TRIM(I346)="","Телефон не указан",IF(AND(LEN(SUBSTITUTE(SUBSTITUTE(SUBSTITUTE(SUBSTITUTE(SUBSTITUTE(I346," ",""),"-",""),"(",""),")",""),"+",""))=11,OR(LEFT(SUBSTITUTE(SUBSTITUTE(SUBSTITUTE(SUBSTITUTE(SUBSTITUTE(I346," ",""),"-",""),"(",""),")",""),"+",""),1)="7",LEFT(SUBSTITUTE(SUBSTITUTE(SUBSTITUTE(SUBSTITUTE(SUBSTITUTE(I346," ",""),"-",""),"(",""),")",""),"+",""),1)="8"),ISNUMBER(IFERROR(VALUE(SUBSTITUTE(SUBSTITUTE(SUBSTITUTE(SUBSTITUTE(SUBSTITUTE(I346," ",""),"-",""),"(",""),")",""),"+","")),"x"))),"","Телефон: неверный формат"))</f>
        <v/>
      </c>
      <c r="Q346" s="24" t="str">
        <f aca="false">TRIM(IF(TRIM(B346)="","Нет наименования. ","")&amp;IF(TRIM(F346)="","Нет адреса. ","")&amp;IF(TRIM(G346)="","Нет контактного лица.",""))</f>
        <v/>
      </c>
      <c r="R346" s="21" t="n">
        <f aca="false">SUMPRODUCT(--(LEN(K346:Q346)&gt;0))</f>
        <v>0</v>
      </c>
      <c r="S346" s="24" t="str">
        <f aca="false">IF(R346=0,"Готово к передаче","Требует исправления")</f>
        <v>Готово к передаче</v>
      </c>
      <c r="T346" s="24" t="str">
        <f aca="false">IF(R346=0,"",_xlfn.TEXTJOIN("; ",TRUE(),K346:Q346))</f>
        <v/>
      </c>
      <c r="U346" s="24" t="str">
        <f aca="false">IF(R346=0,"","Здравствуйте! В данных организации «"&amp;B346&amp;"» обнаружены ошибки: "&amp;T346&amp;". Просим проверить и прислать исправленную информацию.")</f>
        <v/>
      </c>
      <c r="V346" s="21" t="str">
        <f aca="false">IF(R346&gt;0,COUNTIF($R$2:R346,"&gt;0"),"")</f>
        <v/>
      </c>
      <c r="W346" s="21" t="n">
        <f aca="false">IF(R346=0,COUNTIF($R$2:R346,0),"")</f>
        <v>242</v>
      </c>
    </row>
    <row r="347" customFormat="false" ht="15" hidden="false" customHeight="false" outlineLevel="0" collapsed="false">
      <c r="A347" s="21" t="n">
        <v>346</v>
      </c>
      <c r="B347" s="22" t="s">
        <v>2787</v>
      </c>
      <c r="C347" s="23" t="s">
        <v>2788</v>
      </c>
      <c r="D347" s="23" t="s">
        <v>2789</v>
      </c>
      <c r="E347" s="23" t="s">
        <v>2790</v>
      </c>
      <c r="F347" s="22" t="s">
        <v>2791</v>
      </c>
      <c r="G347" s="22" t="s">
        <v>2792</v>
      </c>
      <c r="H347" s="22" t="s">
        <v>2793</v>
      </c>
      <c r="I347" s="23" t="s">
        <v>2794</v>
      </c>
      <c r="J347" s="24" t="str">
        <f aca="false">IFERROR(VLOOKUP(VALUE(LEFT(C347,2)),Справочники!$A$2:$B$16,2,FALSE()),"не определён")</f>
        <v>Краснодарский край</v>
      </c>
      <c r="K347" s="24" t="str">
        <f aca="false">IF(TRIM(C347)="","ИНН не указан",IF(LEN(C347)&lt;&gt;10,"ИНН: должно быть 10 цифр",IF(NOT(ISNUMBER(IFERROR(VALUE(C347),"x"))),"ИНН: есть нецифровые символы",IF(MOD(MOD(SUMPRODUCT(--MID(C347,{1,2,3,4,5,6,7,8,9},1),{2,4,10,3,5,9,4,6,8}),11),10)=VALUE(RIGHT(C347,1)),"","ИНН: неверная контрольная цифра"))))</f>
        <v/>
      </c>
      <c r="L347" s="24" t="str">
        <f aca="false">IF(TRIM(D347)="","ОГРН не указан",IF(LEN(D347)&lt;&gt;13,"ОГРН: должно быть 13 цифр",IF(NOT(ISNUMBER(IFERROR(VALUE(D347),"x"))),"ОГРН: есть нецифровые символы",IF(MOD(VALUE(LEFT(D347,12))-11*INT(VALUE(LEFT(D347,12))/11),10)=VALUE(RIGHT(D347,1)),"","ОГРН: неверная контрольная цифра"))))</f>
        <v/>
      </c>
      <c r="M347" s="24" t="str">
        <f aca="false">IF(TRIM(E347)="","КПП не указан",IF(LEN(E347)&lt;&gt;9,"КПП: должно быть 9 знаков",IF(NOT(AND(ISNUMBER(IFERROR(VALUE(LEFT(E347,4)),"x")),ISNUMBER(IFERROR(VALUE(RIGHT(E347,3)),"x")))),"КПП: неверный формат",IF(LEFT(E347,2)&lt;&gt;LEFT(C347,2),"КПП: код региона не совпадает с ИНН",""))))</f>
        <v/>
      </c>
      <c r="N347" s="24" t="str">
        <f aca="false">IF(TRIM(C347)="","",IF(COUNTIF($C$2:$C$401,C347)&gt;1,"Дубликат ИНН в реестре",""))</f>
        <v/>
      </c>
      <c r="O347" s="24" t="str">
        <f aca="false">IF(TRIM(H347)="","Email не указан",IF(AND(ISNUMBER(FIND("@",H347)),ISNUMBER(FIND(".",H347,IFERROR(FIND("@",H347),1))),ISERROR(FIND(" ",H347)),LEFT(H347,1)&lt;&gt;"@",RIGHT(H347,1)&lt;&gt;".",LEN(H347)-LEN(SUBSTITUTE(H347,"@",""))=1),"","Email: неверный формат"))</f>
        <v/>
      </c>
      <c r="P347" s="24" t="str">
        <f aca="false">IF(TRIM(I347)="","Телефон не указан",IF(AND(LEN(SUBSTITUTE(SUBSTITUTE(SUBSTITUTE(SUBSTITUTE(SUBSTITUTE(I347," ",""),"-",""),"(",""),")",""),"+",""))=11,OR(LEFT(SUBSTITUTE(SUBSTITUTE(SUBSTITUTE(SUBSTITUTE(SUBSTITUTE(I347," ",""),"-",""),"(",""),")",""),"+",""),1)="7",LEFT(SUBSTITUTE(SUBSTITUTE(SUBSTITUTE(SUBSTITUTE(SUBSTITUTE(I347," ",""),"-",""),"(",""),")",""),"+",""),1)="8"),ISNUMBER(IFERROR(VALUE(SUBSTITUTE(SUBSTITUTE(SUBSTITUTE(SUBSTITUTE(SUBSTITUTE(I347," ",""),"-",""),"(",""),")",""),"+","")),"x"))),"","Телефон: неверный формат"))</f>
        <v/>
      </c>
      <c r="Q347" s="24" t="str">
        <f aca="false">TRIM(IF(TRIM(B347)="","Нет наименования. ","")&amp;IF(TRIM(F347)="","Нет адреса. ","")&amp;IF(TRIM(G347)="","Нет контактного лица.",""))</f>
        <v/>
      </c>
      <c r="R347" s="21" t="n">
        <f aca="false">SUMPRODUCT(--(LEN(K347:Q347)&gt;0))</f>
        <v>0</v>
      </c>
      <c r="S347" s="24" t="str">
        <f aca="false">IF(R347=0,"Готово к передаче","Требует исправления")</f>
        <v>Готово к передаче</v>
      </c>
      <c r="T347" s="24" t="str">
        <f aca="false">IF(R347=0,"",_xlfn.TEXTJOIN("; ",TRUE(),K347:Q347))</f>
        <v/>
      </c>
      <c r="U347" s="24" t="str">
        <f aca="false">IF(R347=0,"","Здравствуйте! В данных организации «"&amp;B347&amp;"» обнаружены ошибки: "&amp;T347&amp;". Просим проверить и прислать исправленную информацию.")</f>
        <v/>
      </c>
      <c r="V347" s="21" t="str">
        <f aca="false">IF(R347&gt;0,COUNTIF($R$2:R347,"&gt;0"),"")</f>
        <v/>
      </c>
      <c r="W347" s="21" t="n">
        <f aca="false">IF(R347=0,COUNTIF($R$2:R347,0),"")</f>
        <v>243</v>
      </c>
    </row>
    <row r="348" customFormat="false" ht="15" hidden="false" customHeight="false" outlineLevel="0" collapsed="false">
      <c r="A348" s="21" t="n">
        <v>347</v>
      </c>
      <c r="B348" s="22" t="s">
        <v>2795</v>
      </c>
      <c r="C348" s="23" t="s">
        <v>2796</v>
      </c>
      <c r="D348" s="23" t="s">
        <v>2797</v>
      </c>
      <c r="E348" s="23" t="s">
        <v>2798</v>
      </c>
      <c r="F348" s="22" t="s">
        <v>2799</v>
      </c>
      <c r="G348" s="22" t="s">
        <v>2800</v>
      </c>
      <c r="H348" s="22" t="s">
        <v>2801</v>
      </c>
      <c r="I348" s="23" t="s">
        <v>2802</v>
      </c>
      <c r="J348" s="24" t="str">
        <f aca="false">IFERROR(VLOOKUP(VALUE(LEFT(C348,2)),Справочники!$A$2:$B$16,2,FALSE()),"не определён")</f>
        <v>г. Санкт-Петербург</v>
      </c>
      <c r="K348" s="24" t="str">
        <f aca="false">IF(TRIM(C348)="","ИНН не указан",IF(LEN(C348)&lt;&gt;10,"ИНН: должно быть 10 цифр",IF(NOT(ISNUMBER(IFERROR(VALUE(C348),"x"))),"ИНН: есть нецифровые символы",IF(MOD(MOD(SUMPRODUCT(--MID(C348,{1,2,3,4,5,6,7,8,9},1),{2,4,10,3,5,9,4,6,8}),11),10)=VALUE(RIGHT(C348,1)),"","ИНН: неверная контрольная цифра"))))</f>
        <v/>
      </c>
      <c r="L348" s="24" t="str">
        <f aca="false">IF(TRIM(D348)="","ОГРН не указан",IF(LEN(D348)&lt;&gt;13,"ОГРН: должно быть 13 цифр",IF(NOT(ISNUMBER(IFERROR(VALUE(D348),"x"))),"ОГРН: есть нецифровые символы",IF(MOD(VALUE(LEFT(D348,12))-11*INT(VALUE(LEFT(D348,12))/11),10)=VALUE(RIGHT(D348,1)),"","ОГРН: неверная контрольная цифра"))))</f>
        <v/>
      </c>
      <c r="M348" s="24" t="str">
        <f aca="false">IF(TRIM(E348)="","КПП не указан",IF(LEN(E348)&lt;&gt;9,"КПП: должно быть 9 знаков",IF(NOT(AND(ISNUMBER(IFERROR(VALUE(LEFT(E348,4)),"x")),ISNUMBER(IFERROR(VALUE(RIGHT(E348,3)),"x")))),"КПП: неверный формат",IF(LEFT(E348,2)&lt;&gt;LEFT(C348,2),"КПП: код региона не совпадает с ИНН",""))))</f>
        <v/>
      </c>
      <c r="N348" s="24" t="str">
        <f aca="false">IF(TRIM(C348)="","",IF(COUNTIF($C$2:$C$401,C348)&gt;1,"Дубликат ИНН в реестре",""))</f>
        <v/>
      </c>
      <c r="O348" s="24" t="str">
        <f aca="false">IF(TRIM(H348)="","Email не указан",IF(AND(ISNUMBER(FIND("@",H348)),ISNUMBER(FIND(".",H348,IFERROR(FIND("@",H348),1))),ISERROR(FIND(" ",H348)),LEFT(H348,1)&lt;&gt;"@",RIGHT(H348,1)&lt;&gt;".",LEN(H348)-LEN(SUBSTITUTE(H348,"@",""))=1),"","Email: неверный формат"))</f>
        <v/>
      </c>
      <c r="P348" s="24" t="str">
        <f aca="false">IF(TRIM(I348)="","Телефон не указан",IF(AND(LEN(SUBSTITUTE(SUBSTITUTE(SUBSTITUTE(SUBSTITUTE(SUBSTITUTE(I348," ",""),"-",""),"(",""),")",""),"+",""))=11,OR(LEFT(SUBSTITUTE(SUBSTITUTE(SUBSTITUTE(SUBSTITUTE(SUBSTITUTE(I348," ",""),"-",""),"(",""),")",""),"+",""),1)="7",LEFT(SUBSTITUTE(SUBSTITUTE(SUBSTITUTE(SUBSTITUTE(SUBSTITUTE(I348," ",""),"-",""),"(",""),")",""),"+",""),1)="8"),ISNUMBER(IFERROR(VALUE(SUBSTITUTE(SUBSTITUTE(SUBSTITUTE(SUBSTITUTE(SUBSTITUTE(I348," ",""),"-",""),"(",""),")",""),"+","")),"x"))),"","Телефон: неверный формат"))</f>
        <v/>
      </c>
      <c r="Q348" s="24" t="str">
        <f aca="false">TRIM(IF(TRIM(B348)="","Нет наименования. ","")&amp;IF(TRIM(F348)="","Нет адреса. ","")&amp;IF(TRIM(G348)="","Нет контактного лица.",""))</f>
        <v/>
      </c>
      <c r="R348" s="21" t="n">
        <f aca="false">SUMPRODUCT(--(LEN(K348:Q348)&gt;0))</f>
        <v>0</v>
      </c>
      <c r="S348" s="24" t="str">
        <f aca="false">IF(R348=0,"Готово к передаче","Требует исправления")</f>
        <v>Готово к передаче</v>
      </c>
      <c r="T348" s="24" t="str">
        <f aca="false">IF(R348=0,"",_xlfn.TEXTJOIN("; ",TRUE(),K348:Q348))</f>
        <v/>
      </c>
      <c r="U348" s="24" t="str">
        <f aca="false">IF(R348=0,"","Здравствуйте! В данных организации «"&amp;B348&amp;"» обнаружены ошибки: "&amp;T348&amp;". Просим проверить и прислать исправленную информацию.")</f>
        <v/>
      </c>
      <c r="V348" s="21" t="str">
        <f aca="false">IF(R348&gt;0,COUNTIF($R$2:R348,"&gt;0"),"")</f>
        <v/>
      </c>
      <c r="W348" s="21" t="n">
        <f aca="false">IF(R348=0,COUNTIF($R$2:R348,0),"")</f>
        <v>244</v>
      </c>
    </row>
    <row r="349" customFormat="false" ht="15" hidden="false" customHeight="false" outlineLevel="0" collapsed="false">
      <c r="A349" s="21" t="n">
        <v>348</v>
      </c>
      <c r="B349" s="22" t="s">
        <v>2803</v>
      </c>
      <c r="C349" s="23" t="s">
        <v>2804</v>
      </c>
      <c r="D349" s="23" t="s">
        <v>2805</v>
      </c>
      <c r="E349" s="23" t="s">
        <v>2806</v>
      </c>
      <c r="F349" s="22" t="s">
        <v>2807</v>
      </c>
      <c r="G349" s="22" t="s">
        <v>2808</v>
      </c>
      <c r="H349" s="22" t="s">
        <v>2809</v>
      </c>
      <c r="I349" s="23" t="s">
        <v>2810</v>
      </c>
      <c r="J349" s="24" t="str">
        <f aca="false">IFERROR(VLOOKUP(VALUE(LEFT(C349,2)),Справочники!$A$2:$B$16,2,FALSE()),"не определён")</f>
        <v>г. Санкт-Петербург</v>
      </c>
      <c r="K349" s="24" t="str">
        <f aca="false">IF(TRIM(C349)="","ИНН не указан",IF(LEN(C349)&lt;&gt;10,"ИНН: должно быть 10 цифр",IF(NOT(ISNUMBER(IFERROR(VALUE(C349),"x"))),"ИНН: есть нецифровые символы",IF(MOD(MOD(SUMPRODUCT(--MID(C349,{1,2,3,4,5,6,7,8,9},1),{2,4,10,3,5,9,4,6,8}),11),10)=VALUE(RIGHT(C349,1)),"","ИНН: неверная контрольная цифра"))))</f>
        <v/>
      </c>
      <c r="L349" s="24" t="str">
        <f aca="false">IF(TRIM(D349)="","ОГРН не указан",IF(LEN(D349)&lt;&gt;13,"ОГРН: должно быть 13 цифр",IF(NOT(ISNUMBER(IFERROR(VALUE(D349),"x"))),"ОГРН: есть нецифровые символы",IF(MOD(VALUE(LEFT(D349,12))-11*INT(VALUE(LEFT(D349,12))/11),10)=VALUE(RIGHT(D349,1)),"","ОГРН: неверная контрольная цифра"))))</f>
        <v/>
      </c>
      <c r="M349" s="24" t="str">
        <f aca="false">IF(TRIM(E349)="","КПП не указан",IF(LEN(E349)&lt;&gt;9,"КПП: должно быть 9 знаков",IF(NOT(AND(ISNUMBER(IFERROR(VALUE(LEFT(E349,4)),"x")),ISNUMBER(IFERROR(VALUE(RIGHT(E349,3)),"x")))),"КПП: неверный формат",IF(LEFT(E349,2)&lt;&gt;LEFT(C349,2),"КПП: код региона не совпадает с ИНН",""))))</f>
        <v/>
      </c>
      <c r="N349" s="24" t="str">
        <f aca="false">IF(TRIM(C349)="","",IF(COUNTIF($C$2:$C$401,C349)&gt;1,"Дубликат ИНН в реестре",""))</f>
        <v/>
      </c>
      <c r="O349" s="24" t="str">
        <f aca="false">IF(TRIM(H349)="","Email не указан",IF(AND(ISNUMBER(FIND("@",H349)),ISNUMBER(FIND(".",H349,IFERROR(FIND("@",H349),1))),ISERROR(FIND(" ",H349)),LEFT(H349,1)&lt;&gt;"@",RIGHT(H349,1)&lt;&gt;".",LEN(H349)-LEN(SUBSTITUTE(H349,"@",""))=1),"","Email: неверный формат"))</f>
        <v/>
      </c>
      <c r="P349" s="24" t="str">
        <f aca="false">IF(TRIM(I349)="","Телефон не указан",IF(AND(LEN(SUBSTITUTE(SUBSTITUTE(SUBSTITUTE(SUBSTITUTE(SUBSTITUTE(I349," ",""),"-",""),"(",""),")",""),"+",""))=11,OR(LEFT(SUBSTITUTE(SUBSTITUTE(SUBSTITUTE(SUBSTITUTE(SUBSTITUTE(I349," ",""),"-",""),"(",""),")",""),"+",""),1)="7",LEFT(SUBSTITUTE(SUBSTITUTE(SUBSTITUTE(SUBSTITUTE(SUBSTITUTE(I349," ",""),"-",""),"(",""),")",""),"+",""),1)="8"),ISNUMBER(IFERROR(VALUE(SUBSTITUTE(SUBSTITUTE(SUBSTITUTE(SUBSTITUTE(SUBSTITUTE(I349," ",""),"-",""),"(",""),")",""),"+","")),"x"))),"","Телефон: неверный формат"))</f>
        <v/>
      </c>
      <c r="Q349" s="24" t="str">
        <f aca="false">TRIM(IF(TRIM(B349)="","Нет наименования. ","")&amp;IF(TRIM(F349)="","Нет адреса. ","")&amp;IF(TRIM(G349)="","Нет контактного лица.",""))</f>
        <v/>
      </c>
      <c r="R349" s="21" t="n">
        <f aca="false">SUMPRODUCT(--(LEN(K349:Q349)&gt;0))</f>
        <v>0</v>
      </c>
      <c r="S349" s="24" t="str">
        <f aca="false">IF(R349=0,"Готово к передаче","Требует исправления")</f>
        <v>Готово к передаче</v>
      </c>
      <c r="T349" s="24" t="str">
        <f aca="false">IF(R349=0,"",_xlfn.TEXTJOIN("; ",TRUE(),K349:Q349))</f>
        <v/>
      </c>
      <c r="U349" s="24" t="str">
        <f aca="false">IF(R349=0,"","Здравствуйте! В данных организации «"&amp;B349&amp;"» обнаружены ошибки: "&amp;T349&amp;". Просим проверить и прислать исправленную информацию.")</f>
        <v/>
      </c>
      <c r="V349" s="21" t="str">
        <f aca="false">IF(R349&gt;0,COUNTIF($R$2:R349,"&gt;0"),"")</f>
        <v/>
      </c>
      <c r="W349" s="21" t="n">
        <f aca="false">IF(R349=0,COUNTIF($R$2:R349,0),"")</f>
        <v>245</v>
      </c>
    </row>
    <row r="350" customFormat="false" ht="15" hidden="false" customHeight="false" outlineLevel="0" collapsed="false">
      <c r="A350" s="21" t="n">
        <v>349</v>
      </c>
      <c r="B350" s="22" t="s">
        <v>2811</v>
      </c>
      <c r="C350" s="23" t="s">
        <v>2812</v>
      </c>
      <c r="D350" s="23" t="s">
        <v>2813</v>
      </c>
      <c r="E350" s="23" t="s">
        <v>2814</v>
      </c>
      <c r="F350" s="22" t="s">
        <v>2815</v>
      </c>
      <c r="G350" s="22" t="s">
        <v>2816</v>
      </c>
      <c r="H350" s="22" t="s">
        <v>2817</v>
      </c>
      <c r="I350" s="23" t="s">
        <v>2818</v>
      </c>
      <c r="J350" s="24" t="str">
        <f aca="false">IFERROR(VLOOKUP(VALUE(LEFT(C350,2)),Справочники!$A$2:$B$16,2,FALSE()),"не определён")</f>
        <v>Краснодарский край</v>
      </c>
      <c r="K350" s="24" t="str">
        <f aca="false">IF(TRIM(C350)="","ИНН не указан",IF(LEN(C350)&lt;&gt;10,"ИНН: должно быть 10 цифр",IF(NOT(ISNUMBER(IFERROR(VALUE(C350),"x"))),"ИНН: есть нецифровые символы",IF(MOD(MOD(SUMPRODUCT(--MID(C350,{1,2,3,4,5,6,7,8,9},1),{2,4,10,3,5,9,4,6,8}),11),10)=VALUE(RIGHT(C350,1)),"","ИНН: неверная контрольная цифра"))))</f>
        <v/>
      </c>
      <c r="L350" s="24" t="str">
        <f aca="false">IF(TRIM(D350)="","ОГРН не указан",IF(LEN(D350)&lt;&gt;13,"ОГРН: должно быть 13 цифр",IF(NOT(ISNUMBER(IFERROR(VALUE(D350),"x"))),"ОГРН: есть нецифровые символы",IF(MOD(VALUE(LEFT(D350,12))-11*INT(VALUE(LEFT(D350,12))/11),10)=VALUE(RIGHT(D350,1)),"","ОГРН: неверная контрольная цифра"))))</f>
        <v/>
      </c>
      <c r="M350" s="24" t="str">
        <f aca="false">IF(TRIM(E350)="","КПП не указан",IF(LEN(E350)&lt;&gt;9,"КПП: должно быть 9 знаков",IF(NOT(AND(ISNUMBER(IFERROR(VALUE(LEFT(E350,4)),"x")),ISNUMBER(IFERROR(VALUE(RIGHT(E350,3)),"x")))),"КПП: неверный формат",IF(LEFT(E350,2)&lt;&gt;LEFT(C350,2),"КПП: код региона не совпадает с ИНН",""))))</f>
        <v/>
      </c>
      <c r="N350" s="24" t="str">
        <f aca="false">IF(TRIM(C350)="","",IF(COUNTIF($C$2:$C$401,C350)&gt;1,"Дубликат ИНН в реестре",""))</f>
        <v/>
      </c>
      <c r="O350" s="24" t="str">
        <f aca="false">IF(TRIM(H350)="","Email не указан",IF(AND(ISNUMBER(FIND("@",H350)),ISNUMBER(FIND(".",H350,IFERROR(FIND("@",H350),1))),ISERROR(FIND(" ",H350)),LEFT(H350,1)&lt;&gt;"@",RIGHT(H350,1)&lt;&gt;".",LEN(H350)-LEN(SUBSTITUTE(H350,"@",""))=1),"","Email: неверный формат"))</f>
        <v/>
      </c>
      <c r="P350" s="24" t="str">
        <f aca="false">IF(TRIM(I350)="","Телефон не указан",IF(AND(LEN(SUBSTITUTE(SUBSTITUTE(SUBSTITUTE(SUBSTITUTE(SUBSTITUTE(I350," ",""),"-",""),"(",""),")",""),"+",""))=11,OR(LEFT(SUBSTITUTE(SUBSTITUTE(SUBSTITUTE(SUBSTITUTE(SUBSTITUTE(I350," ",""),"-",""),"(",""),")",""),"+",""),1)="7",LEFT(SUBSTITUTE(SUBSTITUTE(SUBSTITUTE(SUBSTITUTE(SUBSTITUTE(I350," ",""),"-",""),"(",""),")",""),"+",""),1)="8"),ISNUMBER(IFERROR(VALUE(SUBSTITUTE(SUBSTITUTE(SUBSTITUTE(SUBSTITUTE(SUBSTITUTE(I350," ",""),"-",""),"(",""),")",""),"+","")),"x"))),"","Телефон: неверный формат"))</f>
        <v/>
      </c>
      <c r="Q350" s="24" t="str">
        <f aca="false">TRIM(IF(TRIM(B350)="","Нет наименования. ","")&amp;IF(TRIM(F350)="","Нет адреса. ","")&amp;IF(TRIM(G350)="","Нет контактного лица.",""))</f>
        <v/>
      </c>
      <c r="R350" s="21" t="n">
        <f aca="false">SUMPRODUCT(--(LEN(K350:Q350)&gt;0))</f>
        <v>0</v>
      </c>
      <c r="S350" s="24" t="str">
        <f aca="false">IF(R350=0,"Готово к передаче","Требует исправления")</f>
        <v>Готово к передаче</v>
      </c>
      <c r="T350" s="24" t="str">
        <f aca="false">IF(R350=0,"",_xlfn.TEXTJOIN("; ",TRUE(),K350:Q350))</f>
        <v/>
      </c>
      <c r="U350" s="24" t="str">
        <f aca="false">IF(R350=0,"","Здравствуйте! В данных организации «"&amp;B350&amp;"» обнаружены ошибки: "&amp;T350&amp;". Просим проверить и прислать исправленную информацию.")</f>
        <v/>
      </c>
      <c r="V350" s="21" t="str">
        <f aca="false">IF(R350&gt;0,COUNTIF($R$2:R350,"&gt;0"),"")</f>
        <v/>
      </c>
      <c r="W350" s="21" t="n">
        <f aca="false">IF(R350=0,COUNTIF($R$2:R350,0),"")</f>
        <v>246</v>
      </c>
    </row>
    <row r="351" customFormat="false" ht="15" hidden="false" customHeight="false" outlineLevel="0" collapsed="false">
      <c r="A351" s="21" t="n">
        <v>350</v>
      </c>
      <c r="B351" s="22" t="s">
        <v>2819</v>
      </c>
      <c r="C351" s="23" t="s">
        <v>2820</v>
      </c>
      <c r="D351" s="23" t="s">
        <v>2821</v>
      </c>
      <c r="E351" s="23" t="s">
        <v>2822</v>
      </c>
      <c r="F351" s="22" t="s">
        <v>2823</v>
      </c>
      <c r="G351" s="22" t="s">
        <v>2824</v>
      </c>
      <c r="H351" s="22" t="s">
        <v>2825</v>
      </c>
      <c r="I351" s="23" t="s">
        <v>2826</v>
      </c>
      <c r="J351" s="24" t="str">
        <f aca="false">IFERROR(VLOOKUP(VALUE(LEFT(C351,2)),Справочники!$A$2:$B$16,2,FALSE()),"не определён")</f>
        <v>Краснодарский край</v>
      </c>
      <c r="K351" s="24" t="str">
        <f aca="false">IF(TRIM(C351)="","ИНН не указан",IF(LEN(C351)&lt;&gt;10,"ИНН: должно быть 10 цифр",IF(NOT(ISNUMBER(IFERROR(VALUE(C351),"x"))),"ИНН: есть нецифровые символы",IF(MOD(MOD(SUMPRODUCT(--MID(C351,{1,2,3,4,5,6,7,8,9},1),{2,4,10,3,5,9,4,6,8}),11),10)=VALUE(RIGHT(C351,1)),"","ИНН: неверная контрольная цифра"))))</f>
        <v/>
      </c>
      <c r="L351" s="24" t="str">
        <f aca="false">IF(TRIM(D351)="","ОГРН не указан",IF(LEN(D351)&lt;&gt;13,"ОГРН: должно быть 13 цифр",IF(NOT(ISNUMBER(IFERROR(VALUE(D351),"x"))),"ОГРН: есть нецифровые символы",IF(MOD(VALUE(LEFT(D351,12))-11*INT(VALUE(LEFT(D351,12))/11),10)=VALUE(RIGHT(D351,1)),"","ОГРН: неверная контрольная цифра"))))</f>
        <v/>
      </c>
      <c r="M351" s="24" t="str">
        <f aca="false">IF(TRIM(E351)="","КПП не указан",IF(LEN(E351)&lt;&gt;9,"КПП: должно быть 9 знаков",IF(NOT(AND(ISNUMBER(IFERROR(VALUE(LEFT(E351,4)),"x")),ISNUMBER(IFERROR(VALUE(RIGHT(E351,3)),"x")))),"КПП: неверный формат",IF(LEFT(E351,2)&lt;&gt;LEFT(C351,2),"КПП: код региона не совпадает с ИНН",""))))</f>
        <v/>
      </c>
      <c r="N351" s="24" t="str">
        <f aca="false">IF(TRIM(C351)="","",IF(COUNTIF($C$2:$C$401,C351)&gt;1,"Дубликат ИНН в реестре",""))</f>
        <v/>
      </c>
      <c r="O351" s="24" t="str">
        <f aca="false">IF(TRIM(H351)="","Email не указан",IF(AND(ISNUMBER(FIND("@",H351)),ISNUMBER(FIND(".",H351,IFERROR(FIND("@",H351),1))),ISERROR(FIND(" ",H351)),LEFT(H351,1)&lt;&gt;"@",RIGHT(H351,1)&lt;&gt;".",LEN(H351)-LEN(SUBSTITUTE(H351,"@",""))=1),"","Email: неверный формат"))</f>
        <v/>
      </c>
      <c r="P351" s="24" t="str">
        <f aca="false">IF(TRIM(I351)="","Телефон не указан",IF(AND(LEN(SUBSTITUTE(SUBSTITUTE(SUBSTITUTE(SUBSTITUTE(SUBSTITUTE(I351," ",""),"-",""),"(",""),")",""),"+",""))=11,OR(LEFT(SUBSTITUTE(SUBSTITUTE(SUBSTITUTE(SUBSTITUTE(SUBSTITUTE(I351," ",""),"-",""),"(",""),")",""),"+",""),1)="7",LEFT(SUBSTITUTE(SUBSTITUTE(SUBSTITUTE(SUBSTITUTE(SUBSTITUTE(I351," ",""),"-",""),"(",""),")",""),"+",""),1)="8"),ISNUMBER(IFERROR(VALUE(SUBSTITUTE(SUBSTITUTE(SUBSTITUTE(SUBSTITUTE(SUBSTITUTE(I351," ",""),"-",""),"(",""),")",""),"+","")),"x"))),"","Телефон: неверный формат"))</f>
        <v/>
      </c>
      <c r="Q351" s="24" t="str">
        <f aca="false">TRIM(IF(TRIM(B351)="","Нет наименования. ","")&amp;IF(TRIM(F351)="","Нет адреса. ","")&amp;IF(TRIM(G351)="","Нет контактного лица.",""))</f>
        <v/>
      </c>
      <c r="R351" s="21" t="n">
        <f aca="false">SUMPRODUCT(--(LEN(K351:Q351)&gt;0))</f>
        <v>0</v>
      </c>
      <c r="S351" s="24" t="str">
        <f aca="false">IF(R351=0,"Готово к передаче","Требует исправления")</f>
        <v>Готово к передаче</v>
      </c>
      <c r="T351" s="24" t="str">
        <f aca="false">IF(R351=0,"",_xlfn.TEXTJOIN("; ",TRUE(),K351:Q351))</f>
        <v/>
      </c>
      <c r="U351" s="24" t="str">
        <f aca="false">IF(R351=0,"","Здравствуйте! В данных организации «"&amp;B351&amp;"» обнаружены ошибки: "&amp;T351&amp;". Просим проверить и прислать исправленную информацию.")</f>
        <v/>
      </c>
      <c r="V351" s="21" t="str">
        <f aca="false">IF(R351&gt;0,COUNTIF($R$2:R351,"&gt;0"),"")</f>
        <v/>
      </c>
      <c r="W351" s="21" t="n">
        <f aca="false">IF(R351=0,COUNTIF($R$2:R351,0),"")</f>
        <v>247</v>
      </c>
    </row>
    <row r="352" customFormat="false" ht="15" hidden="false" customHeight="false" outlineLevel="0" collapsed="false">
      <c r="A352" s="21" t="n">
        <v>351</v>
      </c>
      <c r="B352" s="22" t="s">
        <v>2827</v>
      </c>
      <c r="C352" s="23" t="s">
        <v>2828</v>
      </c>
      <c r="D352" s="23" t="s">
        <v>2829</v>
      </c>
      <c r="E352" s="23" t="s">
        <v>2830</v>
      </c>
      <c r="F352" s="22" t="s">
        <v>2831</v>
      </c>
      <c r="G352" s="22" t="s">
        <v>2832</v>
      </c>
      <c r="H352" s="22" t="s">
        <v>2833</v>
      </c>
      <c r="I352" s="23" t="s">
        <v>2834</v>
      </c>
      <c r="J352" s="24" t="str">
        <f aca="false">IFERROR(VLOOKUP(VALUE(LEFT(C352,2)),Справочники!$A$2:$B$16,2,FALSE()),"не определён")</f>
        <v>г. Севастополь</v>
      </c>
      <c r="K352" s="24" t="str">
        <f aca="false">IF(TRIM(C352)="","ИНН не указан",IF(LEN(C352)&lt;&gt;10,"ИНН: должно быть 10 цифр",IF(NOT(ISNUMBER(IFERROR(VALUE(C352),"x"))),"ИНН: есть нецифровые символы",IF(MOD(MOD(SUMPRODUCT(--MID(C352,{1,2,3,4,5,6,7,8,9},1),{2,4,10,3,5,9,4,6,8}),11),10)=VALUE(RIGHT(C352,1)),"","ИНН: неверная контрольная цифра"))))</f>
        <v/>
      </c>
      <c r="L352" s="24" t="str">
        <f aca="false">IF(TRIM(D352)="","ОГРН не указан",IF(LEN(D352)&lt;&gt;13,"ОГРН: должно быть 13 цифр",IF(NOT(ISNUMBER(IFERROR(VALUE(D352),"x"))),"ОГРН: есть нецифровые символы",IF(MOD(VALUE(LEFT(D352,12))-11*INT(VALUE(LEFT(D352,12))/11),10)=VALUE(RIGHT(D352,1)),"","ОГРН: неверная контрольная цифра"))))</f>
        <v/>
      </c>
      <c r="M352" s="24" t="str">
        <f aca="false">IF(TRIM(E352)="","КПП не указан",IF(LEN(E352)&lt;&gt;9,"КПП: должно быть 9 знаков",IF(NOT(AND(ISNUMBER(IFERROR(VALUE(LEFT(E352,4)),"x")),ISNUMBER(IFERROR(VALUE(RIGHT(E352,3)),"x")))),"КПП: неверный формат",IF(LEFT(E352,2)&lt;&gt;LEFT(C352,2),"КПП: код региона не совпадает с ИНН",""))))</f>
        <v/>
      </c>
      <c r="N352" s="24" t="str">
        <f aca="false">IF(TRIM(C352)="","",IF(COUNTIF($C$2:$C$401,C352)&gt;1,"Дубликат ИНН в реестре",""))</f>
        <v/>
      </c>
      <c r="O352" s="24" t="str">
        <f aca="false">IF(TRIM(H352)="","Email не указан",IF(AND(ISNUMBER(FIND("@",H352)),ISNUMBER(FIND(".",H352,IFERROR(FIND("@",H352),1))),ISERROR(FIND(" ",H352)),LEFT(H352,1)&lt;&gt;"@",RIGHT(H352,1)&lt;&gt;".",LEN(H352)-LEN(SUBSTITUTE(H352,"@",""))=1),"","Email: неверный формат"))</f>
        <v/>
      </c>
      <c r="P352" s="24" t="str">
        <f aca="false">IF(TRIM(I352)="","Телефон не указан",IF(AND(LEN(SUBSTITUTE(SUBSTITUTE(SUBSTITUTE(SUBSTITUTE(SUBSTITUTE(I352," ",""),"-",""),"(",""),")",""),"+",""))=11,OR(LEFT(SUBSTITUTE(SUBSTITUTE(SUBSTITUTE(SUBSTITUTE(SUBSTITUTE(I352," ",""),"-",""),"(",""),")",""),"+",""),1)="7",LEFT(SUBSTITUTE(SUBSTITUTE(SUBSTITUTE(SUBSTITUTE(SUBSTITUTE(I352," ",""),"-",""),"(",""),")",""),"+",""),1)="8"),ISNUMBER(IFERROR(VALUE(SUBSTITUTE(SUBSTITUTE(SUBSTITUTE(SUBSTITUTE(SUBSTITUTE(I352," ",""),"-",""),"(",""),")",""),"+","")),"x"))),"","Телефон: неверный формат"))</f>
        <v/>
      </c>
      <c r="Q352" s="24" t="str">
        <f aca="false">TRIM(IF(TRIM(B352)="","Нет наименования. ","")&amp;IF(TRIM(F352)="","Нет адреса. ","")&amp;IF(TRIM(G352)="","Нет контактного лица.",""))</f>
        <v/>
      </c>
      <c r="R352" s="21" t="n">
        <f aca="false">SUMPRODUCT(--(LEN(K352:Q352)&gt;0))</f>
        <v>0</v>
      </c>
      <c r="S352" s="24" t="str">
        <f aca="false">IF(R352=0,"Готово к передаче","Требует исправления")</f>
        <v>Готово к передаче</v>
      </c>
      <c r="T352" s="24" t="str">
        <f aca="false">IF(R352=0,"",_xlfn.TEXTJOIN("; ",TRUE(),K352:Q352))</f>
        <v/>
      </c>
      <c r="U352" s="24" t="str">
        <f aca="false">IF(R352=0,"","Здравствуйте! В данных организации «"&amp;B352&amp;"» обнаружены ошибки: "&amp;T352&amp;". Просим проверить и прислать исправленную информацию.")</f>
        <v/>
      </c>
      <c r="V352" s="21" t="str">
        <f aca="false">IF(R352&gt;0,COUNTIF($R$2:R352,"&gt;0"),"")</f>
        <v/>
      </c>
      <c r="W352" s="21" t="n">
        <f aca="false">IF(R352=0,COUNTIF($R$2:R352,0),"")</f>
        <v>248</v>
      </c>
    </row>
    <row r="353" customFormat="false" ht="15" hidden="false" customHeight="false" outlineLevel="0" collapsed="false">
      <c r="A353" s="21" t="n">
        <v>352</v>
      </c>
      <c r="B353" s="22" t="s">
        <v>2835</v>
      </c>
      <c r="C353" s="23" t="s">
        <v>2836</v>
      </c>
      <c r="D353" s="23" t="s">
        <v>2837</v>
      </c>
      <c r="E353" s="23" t="s">
        <v>2184</v>
      </c>
      <c r="F353" s="22" t="s">
        <v>2838</v>
      </c>
      <c r="G353" s="22" t="s">
        <v>2839</v>
      </c>
      <c r="H353" s="22" t="s">
        <v>2840</v>
      </c>
      <c r="I353" s="23" t="s">
        <v>2841</v>
      </c>
      <c r="J353" s="24" t="str">
        <f aca="false">IFERROR(VLOOKUP(VALUE(LEFT(C353,2)),Справочники!$A$2:$B$16,2,FALSE()),"не определён")</f>
        <v>г. Санкт-Петербург</v>
      </c>
      <c r="K353" s="24" t="str">
        <f aca="false">IF(TRIM(C353)="","ИНН не указан",IF(LEN(C353)&lt;&gt;10,"ИНН: должно быть 10 цифр",IF(NOT(ISNUMBER(IFERROR(VALUE(C353),"x"))),"ИНН: есть нецифровые символы",IF(MOD(MOD(SUMPRODUCT(--MID(C353,{1,2,3,4,5,6,7,8,9},1),{2,4,10,3,5,9,4,6,8}),11),10)=VALUE(RIGHT(C353,1)),"","ИНН: неверная контрольная цифра"))))</f>
        <v/>
      </c>
      <c r="L353" s="24" t="str">
        <f aca="false">IF(TRIM(D353)="","ОГРН не указан",IF(LEN(D353)&lt;&gt;13,"ОГРН: должно быть 13 цифр",IF(NOT(ISNUMBER(IFERROR(VALUE(D353),"x"))),"ОГРН: есть нецифровые символы",IF(MOD(VALUE(LEFT(D353,12))-11*INT(VALUE(LEFT(D353,12))/11),10)=VALUE(RIGHT(D353,1)),"","ОГРН: неверная контрольная цифра"))))</f>
        <v/>
      </c>
      <c r="M353" s="24" t="str">
        <f aca="false">IF(TRIM(E353)="","КПП не указан",IF(LEN(E353)&lt;&gt;9,"КПП: должно быть 9 знаков",IF(NOT(AND(ISNUMBER(IFERROR(VALUE(LEFT(E353,4)),"x")),ISNUMBER(IFERROR(VALUE(RIGHT(E353,3)),"x")))),"КПП: неверный формат",IF(LEFT(E353,2)&lt;&gt;LEFT(C353,2),"КПП: код региона не совпадает с ИНН",""))))</f>
        <v/>
      </c>
      <c r="N353" s="24" t="str">
        <f aca="false">IF(TRIM(C353)="","",IF(COUNTIF($C$2:$C$401,C353)&gt;1,"Дубликат ИНН в реестре",""))</f>
        <v/>
      </c>
      <c r="O353" s="24" t="str">
        <f aca="false">IF(TRIM(H353)="","Email не указан",IF(AND(ISNUMBER(FIND("@",H353)),ISNUMBER(FIND(".",H353,IFERROR(FIND("@",H353),1))),ISERROR(FIND(" ",H353)),LEFT(H353,1)&lt;&gt;"@",RIGHT(H353,1)&lt;&gt;".",LEN(H353)-LEN(SUBSTITUTE(H353,"@",""))=1),"","Email: неверный формат"))</f>
        <v/>
      </c>
      <c r="P353" s="24" t="str">
        <f aca="false">IF(TRIM(I353)="","Телефон не указан",IF(AND(LEN(SUBSTITUTE(SUBSTITUTE(SUBSTITUTE(SUBSTITUTE(SUBSTITUTE(I353," ",""),"-",""),"(",""),")",""),"+",""))=11,OR(LEFT(SUBSTITUTE(SUBSTITUTE(SUBSTITUTE(SUBSTITUTE(SUBSTITUTE(I353," ",""),"-",""),"(",""),")",""),"+",""),1)="7",LEFT(SUBSTITUTE(SUBSTITUTE(SUBSTITUTE(SUBSTITUTE(SUBSTITUTE(I353," ",""),"-",""),"(",""),")",""),"+",""),1)="8"),ISNUMBER(IFERROR(VALUE(SUBSTITUTE(SUBSTITUTE(SUBSTITUTE(SUBSTITUTE(SUBSTITUTE(I353," ",""),"-",""),"(",""),")",""),"+","")),"x"))),"","Телефон: неверный формат"))</f>
        <v/>
      </c>
      <c r="Q353" s="24" t="str">
        <f aca="false">TRIM(IF(TRIM(B353)="","Нет наименования. ","")&amp;IF(TRIM(F353)="","Нет адреса. ","")&amp;IF(TRIM(G353)="","Нет контактного лица.",""))</f>
        <v/>
      </c>
      <c r="R353" s="21" t="n">
        <f aca="false">SUMPRODUCT(--(LEN(K353:Q353)&gt;0))</f>
        <v>0</v>
      </c>
      <c r="S353" s="24" t="str">
        <f aca="false">IF(R353=0,"Готово к передаче","Требует исправления")</f>
        <v>Готово к передаче</v>
      </c>
      <c r="T353" s="24" t="str">
        <f aca="false">IF(R353=0,"",_xlfn.TEXTJOIN("; ",TRUE(),K353:Q353))</f>
        <v/>
      </c>
      <c r="U353" s="24" t="str">
        <f aca="false">IF(R353=0,"","Здравствуйте! В данных организации «"&amp;B353&amp;"» обнаружены ошибки: "&amp;T353&amp;". Просим проверить и прислать исправленную информацию.")</f>
        <v/>
      </c>
      <c r="V353" s="21" t="str">
        <f aca="false">IF(R353&gt;0,COUNTIF($R$2:R353,"&gt;0"),"")</f>
        <v/>
      </c>
      <c r="W353" s="21" t="n">
        <f aca="false">IF(R353=0,COUNTIF($R$2:R353,0),"")</f>
        <v>249</v>
      </c>
    </row>
    <row r="354" customFormat="false" ht="15" hidden="false" customHeight="false" outlineLevel="0" collapsed="false">
      <c r="A354" s="21" t="n">
        <v>353</v>
      </c>
      <c r="B354" s="22" t="s">
        <v>2842</v>
      </c>
      <c r="C354" s="23" t="s">
        <v>2843</v>
      </c>
      <c r="D354" s="23" t="s">
        <v>2844</v>
      </c>
      <c r="E354" s="23" t="s">
        <v>2845</v>
      </c>
      <c r="F354" s="22" t="s">
        <v>2846</v>
      </c>
      <c r="G354" s="22" t="s">
        <v>2847</v>
      </c>
      <c r="H354" s="22" t="s">
        <v>2848</v>
      </c>
      <c r="I354" s="23" t="s">
        <v>2849</v>
      </c>
      <c r="J354" s="24" t="str">
        <f aca="false">IFERROR(VLOOKUP(VALUE(LEFT(C354,2)),Справочники!$A$2:$B$16,2,FALSE()),"не определён")</f>
        <v>Красноярский край</v>
      </c>
      <c r="K354" s="24" t="str">
        <f aca="false">IF(TRIM(C354)="","ИНН не указан",IF(LEN(C354)&lt;&gt;10,"ИНН: должно быть 10 цифр",IF(NOT(ISNUMBER(IFERROR(VALUE(C354),"x"))),"ИНН: есть нецифровые символы",IF(MOD(MOD(SUMPRODUCT(--MID(C354,{1,2,3,4,5,6,7,8,9},1),{2,4,10,3,5,9,4,6,8}),11),10)=VALUE(RIGHT(C354,1)),"","ИНН: неверная контрольная цифра"))))</f>
        <v/>
      </c>
      <c r="L354" s="24" t="str">
        <f aca="false">IF(TRIM(D354)="","ОГРН не указан",IF(LEN(D354)&lt;&gt;13,"ОГРН: должно быть 13 цифр",IF(NOT(ISNUMBER(IFERROR(VALUE(D354),"x"))),"ОГРН: есть нецифровые символы",IF(MOD(VALUE(LEFT(D354,12))-11*INT(VALUE(LEFT(D354,12))/11),10)=VALUE(RIGHT(D354,1)),"","ОГРН: неверная контрольная цифра"))))</f>
        <v/>
      </c>
      <c r="M354" s="24" t="str">
        <f aca="false">IF(TRIM(E354)="","КПП не указан",IF(LEN(E354)&lt;&gt;9,"КПП: должно быть 9 знаков",IF(NOT(AND(ISNUMBER(IFERROR(VALUE(LEFT(E354,4)),"x")),ISNUMBER(IFERROR(VALUE(RIGHT(E354,3)),"x")))),"КПП: неверный формат",IF(LEFT(E354,2)&lt;&gt;LEFT(C354,2),"КПП: код региона не совпадает с ИНН",""))))</f>
        <v/>
      </c>
      <c r="N354" s="24" t="str">
        <f aca="false">IF(TRIM(C354)="","",IF(COUNTIF($C$2:$C$401,C354)&gt;1,"Дубликат ИНН в реестре",""))</f>
        <v/>
      </c>
      <c r="O354" s="24" t="str">
        <f aca="false">IF(TRIM(H354)="","Email не указан",IF(AND(ISNUMBER(FIND("@",H354)),ISNUMBER(FIND(".",H354,IFERROR(FIND("@",H354),1))),ISERROR(FIND(" ",H354)),LEFT(H354,1)&lt;&gt;"@",RIGHT(H354,1)&lt;&gt;".",LEN(H354)-LEN(SUBSTITUTE(H354,"@",""))=1),"","Email: неверный формат"))</f>
        <v/>
      </c>
      <c r="P354" s="24" t="str">
        <f aca="false">IF(TRIM(I354)="","Телефон не указан",IF(AND(LEN(SUBSTITUTE(SUBSTITUTE(SUBSTITUTE(SUBSTITUTE(SUBSTITUTE(I354," ",""),"-",""),"(",""),")",""),"+",""))=11,OR(LEFT(SUBSTITUTE(SUBSTITUTE(SUBSTITUTE(SUBSTITUTE(SUBSTITUTE(I354," ",""),"-",""),"(",""),")",""),"+",""),1)="7",LEFT(SUBSTITUTE(SUBSTITUTE(SUBSTITUTE(SUBSTITUTE(SUBSTITUTE(I354," ",""),"-",""),"(",""),")",""),"+",""),1)="8"),ISNUMBER(IFERROR(VALUE(SUBSTITUTE(SUBSTITUTE(SUBSTITUTE(SUBSTITUTE(SUBSTITUTE(I354," ",""),"-",""),"(",""),")",""),"+","")),"x"))),"","Телефон: неверный формат"))</f>
        <v/>
      </c>
      <c r="Q354" s="24" t="str">
        <f aca="false">TRIM(IF(TRIM(B354)="","Нет наименования. ","")&amp;IF(TRIM(F354)="","Нет адреса. ","")&amp;IF(TRIM(G354)="","Нет контактного лица.",""))</f>
        <v/>
      </c>
      <c r="R354" s="21" t="n">
        <f aca="false">SUMPRODUCT(--(LEN(K354:Q354)&gt;0))</f>
        <v>0</v>
      </c>
      <c r="S354" s="24" t="str">
        <f aca="false">IF(R354=0,"Готово к передаче","Требует исправления")</f>
        <v>Готово к передаче</v>
      </c>
      <c r="T354" s="24" t="str">
        <f aca="false">IF(R354=0,"",_xlfn.TEXTJOIN("; ",TRUE(),K354:Q354))</f>
        <v/>
      </c>
      <c r="U354" s="24" t="str">
        <f aca="false">IF(R354=0,"","Здравствуйте! В данных организации «"&amp;B354&amp;"» обнаружены ошибки: "&amp;T354&amp;". Просим проверить и прислать исправленную информацию.")</f>
        <v/>
      </c>
      <c r="V354" s="21" t="str">
        <f aca="false">IF(R354&gt;0,COUNTIF($R$2:R354,"&gt;0"),"")</f>
        <v/>
      </c>
      <c r="W354" s="21" t="n">
        <f aca="false">IF(R354=0,COUNTIF($R$2:R354,0),"")</f>
        <v>250</v>
      </c>
    </row>
    <row r="355" customFormat="false" ht="15" hidden="false" customHeight="false" outlineLevel="0" collapsed="false">
      <c r="A355" s="21" t="n">
        <v>354</v>
      </c>
      <c r="B355" s="22" t="s">
        <v>2850</v>
      </c>
      <c r="C355" s="23" t="s">
        <v>2851</v>
      </c>
      <c r="D355" s="23" t="s">
        <v>2852</v>
      </c>
      <c r="E355" s="23" t="s">
        <v>2853</v>
      </c>
      <c r="F355" s="22" t="s">
        <v>2854</v>
      </c>
      <c r="G355" s="22" t="s">
        <v>2855</v>
      </c>
      <c r="H355" s="22" t="s">
        <v>2856</v>
      </c>
      <c r="I355" s="23" t="s">
        <v>2857</v>
      </c>
      <c r="J355" s="24" t="str">
        <f aca="false">IFERROR(VLOOKUP(VALUE(LEFT(C355,2)),Справочники!$A$2:$B$16,2,FALSE()),"не определён")</f>
        <v>Ростовская область</v>
      </c>
      <c r="K355" s="24" t="str">
        <f aca="false">IF(TRIM(C355)="","ИНН не указан",IF(LEN(C355)&lt;&gt;10,"ИНН: должно быть 10 цифр",IF(NOT(ISNUMBER(IFERROR(VALUE(C355),"x"))),"ИНН: есть нецифровые символы",IF(MOD(MOD(SUMPRODUCT(--MID(C355,{1,2,3,4,5,6,7,8,9},1),{2,4,10,3,5,9,4,6,8}),11),10)=VALUE(RIGHT(C355,1)),"","ИНН: неверная контрольная цифра"))))</f>
        <v/>
      </c>
      <c r="L355" s="24" t="str">
        <f aca="false">IF(TRIM(D355)="","ОГРН не указан",IF(LEN(D355)&lt;&gt;13,"ОГРН: должно быть 13 цифр",IF(NOT(ISNUMBER(IFERROR(VALUE(D355),"x"))),"ОГРН: есть нецифровые символы",IF(MOD(VALUE(LEFT(D355,12))-11*INT(VALUE(LEFT(D355,12))/11),10)=VALUE(RIGHT(D355,1)),"","ОГРН: неверная контрольная цифра"))))</f>
        <v/>
      </c>
      <c r="M355" s="24" t="str">
        <f aca="false">IF(TRIM(E355)="","КПП не указан",IF(LEN(E355)&lt;&gt;9,"КПП: должно быть 9 знаков",IF(NOT(AND(ISNUMBER(IFERROR(VALUE(LEFT(E355,4)),"x")),ISNUMBER(IFERROR(VALUE(RIGHT(E355,3)),"x")))),"КПП: неверный формат",IF(LEFT(E355,2)&lt;&gt;LEFT(C355,2),"КПП: код региона не совпадает с ИНН",""))))</f>
        <v/>
      </c>
      <c r="N355" s="24" t="str">
        <f aca="false">IF(TRIM(C355)="","",IF(COUNTIF($C$2:$C$401,C355)&gt;1,"Дубликат ИНН в реестре",""))</f>
        <v/>
      </c>
      <c r="O355" s="24" t="str">
        <f aca="false">IF(TRIM(H355)="","Email не указан",IF(AND(ISNUMBER(FIND("@",H355)),ISNUMBER(FIND(".",H355,IFERROR(FIND("@",H355),1))),ISERROR(FIND(" ",H355)),LEFT(H355,1)&lt;&gt;"@",RIGHT(H355,1)&lt;&gt;".",LEN(H355)-LEN(SUBSTITUTE(H355,"@",""))=1),"","Email: неверный формат"))</f>
        <v/>
      </c>
      <c r="P355" s="24" t="str">
        <f aca="false">IF(TRIM(I355)="","Телефон не указан",IF(AND(LEN(SUBSTITUTE(SUBSTITUTE(SUBSTITUTE(SUBSTITUTE(SUBSTITUTE(I355," ",""),"-",""),"(",""),")",""),"+",""))=11,OR(LEFT(SUBSTITUTE(SUBSTITUTE(SUBSTITUTE(SUBSTITUTE(SUBSTITUTE(I355," ",""),"-",""),"(",""),")",""),"+",""),1)="7",LEFT(SUBSTITUTE(SUBSTITUTE(SUBSTITUTE(SUBSTITUTE(SUBSTITUTE(I355," ",""),"-",""),"(",""),")",""),"+",""),1)="8"),ISNUMBER(IFERROR(VALUE(SUBSTITUTE(SUBSTITUTE(SUBSTITUTE(SUBSTITUTE(SUBSTITUTE(I355," ",""),"-",""),"(",""),")",""),"+","")),"x"))),"","Телефон: неверный формат"))</f>
        <v/>
      </c>
      <c r="Q355" s="24" t="str">
        <f aca="false">TRIM(IF(TRIM(B355)="","Нет наименования. ","")&amp;IF(TRIM(F355)="","Нет адреса. ","")&amp;IF(TRIM(G355)="","Нет контактного лица.",""))</f>
        <v/>
      </c>
      <c r="R355" s="21" t="n">
        <f aca="false">SUMPRODUCT(--(LEN(K355:Q355)&gt;0))</f>
        <v>0</v>
      </c>
      <c r="S355" s="24" t="str">
        <f aca="false">IF(R355=0,"Готово к передаче","Требует исправления")</f>
        <v>Готово к передаче</v>
      </c>
      <c r="T355" s="24" t="str">
        <f aca="false">IF(R355=0,"",_xlfn.TEXTJOIN("; ",TRUE(),K355:Q355))</f>
        <v/>
      </c>
      <c r="U355" s="24" t="str">
        <f aca="false">IF(R355=0,"","Здравствуйте! В данных организации «"&amp;B355&amp;"» обнаружены ошибки: "&amp;T355&amp;". Просим проверить и прислать исправленную информацию.")</f>
        <v/>
      </c>
      <c r="V355" s="21" t="str">
        <f aca="false">IF(R355&gt;0,COUNTIF($R$2:R355,"&gt;0"),"")</f>
        <v/>
      </c>
      <c r="W355" s="21" t="n">
        <f aca="false">IF(R355=0,COUNTIF($R$2:R355,0),"")</f>
        <v>251</v>
      </c>
    </row>
    <row r="356" customFormat="false" ht="15" hidden="false" customHeight="false" outlineLevel="0" collapsed="false">
      <c r="A356" s="21" t="n">
        <v>355</v>
      </c>
      <c r="B356" s="22" t="s">
        <v>2858</v>
      </c>
      <c r="C356" s="23" t="s">
        <v>2859</v>
      </c>
      <c r="D356" s="23" t="s">
        <v>2860</v>
      </c>
      <c r="E356" s="23" t="s">
        <v>2861</v>
      </c>
      <c r="F356" s="22" t="s">
        <v>2862</v>
      </c>
      <c r="G356" s="22" t="s">
        <v>2863</v>
      </c>
      <c r="H356" s="22" t="s">
        <v>2864</v>
      </c>
      <c r="I356" s="23" t="s">
        <v>2865</v>
      </c>
      <c r="J356" s="24" t="str">
        <f aca="false">IFERROR(VLOOKUP(VALUE(LEFT(C356,2)),Справочники!$A$2:$B$16,2,FALSE()),"не определён")</f>
        <v>Ростовская область</v>
      </c>
      <c r="K356" s="24" t="str">
        <f aca="false">IF(TRIM(C356)="","ИНН не указан",IF(LEN(C356)&lt;&gt;10,"ИНН: должно быть 10 цифр",IF(NOT(ISNUMBER(IFERROR(VALUE(C356),"x"))),"ИНН: есть нецифровые символы",IF(MOD(MOD(SUMPRODUCT(--MID(C356,{1,2,3,4,5,6,7,8,9},1),{2,4,10,3,5,9,4,6,8}),11),10)=VALUE(RIGHT(C356,1)),"","ИНН: неверная контрольная цифра"))))</f>
        <v/>
      </c>
      <c r="L356" s="24" t="str">
        <f aca="false">IF(TRIM(D356)="","ОГРН не указан",IF(LEN(D356)&lt;&gt;13,"ОГРН: должно быть 13 цифр",IF(NOT(ISNUMBER(IFERROR(VALUE(D356),"x"))),"ОГРН: есть нецифровые символы",IF(MOD(VALUE(LEFT(D356,12))-11*INT(VALUE(LEFT(D356,12))/11),10)=VALUE(RIGHT(D356,1)),"","ОГРН: неверная контрольная цифра"))))</f>
        <v/>
      </c>
      <c r="M356" s="24" t="str">
        <f aca="false">IF(TRIM(E356)="","КПП не указан",IF(LEN(E356)&lt;&gt;9,"КПП: должно быть 9 знаков",IF(NOT(AND(ISNUMBER(IFERROR(VALUE(LEFT(E356,4)),"x")),ISNUMBER(IFERROR(VALUE(RIGHT(E356,3)),"x")))),"КПП: неверный формат",IF(LEFT(E356,2)&lt;&gt;LEFT(C356,2),"КПП: код региона не совпадает с ИНН",""))))</f>
        <v/>
      </c>
      <c r="N356" s="24" t="str">
        <f aca="false">IF(TRIM(C356)="","",IF(COUNTIF($C$2:$C$401,C356)&gt;1,"Дубликат ИНН в реестре",""))</f>
        <v/>
      </c>
      <c r="O356" s="24" t="str">
        <f aca="false">IF(TRIM(H356)="","Email не указан",IF(AND(ISNUMBER(FIND("@",H356)),ISNUMBER(FIND(".",H356,IFERROR(FIND("@",H356),1))),ISERROR(FIND(" ",H356)),LEFT(H356,1)&lt;&gt;"@",RIGHT(H356,1)&lt;&gt;".",LEN(H356)-LEN(SUBSTITUTE(H356,"@",""))=1),"","Email: неверный формат"))</f>
        <v/>
      </c>
      <c r="P356" s="24" t="str">
        <f aca="false">IF(TRIM(I356)="","Телефон не указан",IF(AND(LEN(SUBSTITUTE(SUBSTITUTE(SUBSTITUTE(SUBSTITUTE(SUBSTITUTE(I356," ",""),"-",""),"(",""),")",""),"+",""))=11,OR(LEFT(SUBSTITUTE(SUBSTITUTE(SUBSTITUTE(SUBSTITUTE(SUBSTITUTE(I356," ",""),"-",""),"(",""),")",""),"+",""),1)="7",LEFT(SUBSTITUTE(SUBSTITUTE(SUBSTITUTE(SUBSTITUTE(SUBSTITUTE(I356," ",""),"-",""),"(",""),")",""),"+",""),1)="8"),ISNUMBER(IFERROR(VALUE(SUBSTITUTE(SUBSTITUTE(SUBSTITUTE(SUBSTITUTE(SUBSTITUTE(I356," ",""),"-",""),"(",""),")",""),"+","")),"x"))),"","Телефон: неверный формат"))</f>
        <v/>
      </c>
      <c r="Q356" s="24" t="str">
        <f aca="false">TRIM(IF(TRIM(B356)="","Нет наименования. ","")&amp;IF(TRIM(F356)="","Нет адреса. ","")&amp;IF(TRIM(G356)="","Нет контактного лица.",""))</f>
        <v/>
      </c>
      <c r="R356" s="21" t="n">
        <f aca="false">SUMPRODUCT(--(LEN(K356:Q356)&gt;0))</f>
        <v>0</v>
      </c>
      <c r="S356" s="24" t="str">
        <f aca="false">IF(R356=0,"Готово к передаче","Требует исправления")</f>
        <v>Готово к передаче</v>
      </c>
      <c r="T356" s="24" t="str">
        <f aca="false">IF(R356=0,"",_xlfn.TEXTJOIN("; ",TRUE(),K356:Q356))</f>
        <v/>
      </c>
      <c r="U356" s="24" t="str">
        <f aca="false">IF(R356=0,"","Здравствуйте! В данных организации «"&amp;B356&amp;"» обнаружены ошибки: "&amp;T356&amp;". Просим проверить и прислать исправленную информацию.")</f>
        <v/>
      </c>
      <c r="V356" s="21" t="str">
        <f aca="false">IF(R356&gt;0,COUNTIF($R$2:R356,"&gt;0"),"")</f>
        <v/>
      </c>
      <c r="W356" s="21" t="n">
        <f aca="false">IF(R356=0,COUNTIF($R$2:R356,0),"")</f>
        <v>252</v>
      </c>
    </row>
    <row r="357" customFormat="false" ht="15" hidden="false" customHeight="false" outlineLevel="0" collapsed="false">
      <c r="A357" s="21" t="n">
        <v>356</v>
      </c>
      <c r="B357" s="22" t="s">
        <v>2866</v>
      </c>
      <c r="C357" s="23" t="s">
        <v>2867</v>
      </c>
      <c r="D357" s="23"/>
      <c r="E357" s="23" t="s">
        <v>2868</v>
      </c>
      <c r="F357" s="22" t="s">
        <v>2869</v>
      </c>
      <c r="G357" s="22" t="s">
        <v>2870</v>
      </c>
      <c r="H357" s="22" t="s">
        <v>2871</v>
      </c>
      <c r="I357" s="23" t="s">
        <v>2872</v>
      </c>
      <c r="J357" s="24" t="str">
        <f aca="false">IFERROR(VLOOKUP(VALUE(LEFT(C357,2)),Справочники!$A$2:$B$16,2,FALSE()),"не определён")</f>
        <v>Краснодарский край</v>
      </c>
      <c r="K357" s="24" t="str">
        <f aca="false">IF(TRIM(C357)="","ИНН не указан",IF(LEN(C357)&lt;&gt;10,"ИНН: должно быть 10 цифр",IF(NOT(ISNUMBER(IFERROR(VALUE(C357),"x"))),"ИНН: есть нецифровые символы",IF(MOD(MOD(SUMPRODUCT(--MID(C357,{1,2,3,4,5,6,7,8,9},1),{2,4,10,3,5,9,4,6,8}),11),10)=VALUE(RIGHT(C357,1)),"","ИНН: неверная контрольная цифра"))))</f>
        <v/>
      </c>
      <c r="L357" s="24" t="str">
        <f aca="false">IF(TRIM(D357)="","ОГРН не указан",IF(LEN(D357)&lt;&gt;13,"ОГРН: должно быть 13 цифр",IF(NOT(ISNUMBER(IFERROR(VALUE(D357),"x"))),"ОГРН: есть нецифровые символы",IF(MOD(VALUE(LEFT(D357,12))-11*INT(VALUE(LEFT(D357,12))/11),10)=VALUE(RIGHT(D357,1)),"","ОГРН: неверная контрольная цифра"))))</f>
        <v>ОГРН не указан</v>
      </c>
      <c r="M357" s="24" t="str">
        <f aca="false">IF(TRIM(E357)="","КПП не указан",IF(LEN(E357)&lt;&gt;9,"КПП: должно быть 9 знаков",IF(NOT(AND(ISNUMBER(IFERROR(VALUE(LEFT(E357,4)),"x")),ISNUMBER(IFERROR(VALUE(RIGHT(E357,3)),"x")))),"КПП: неверный формат",IF(LEFT(E357,2)&lt;&gt;LEFT(C357,2),"КПП: код региона не совпадает с ИНН",""))))</f>
        <v/>
      </c>
      <c r="N357" s="24" t="str">
        <f aca="false">IF(TRIM(C357)="","",IF(COUNTIF($C$2:$C$401,C357)&gt;1,"Дубликат ИНН в реестре",""))</f>
        <v/>
      </c>
      <c r="O357" s="24" t="str">
        <f aca="false">IF(TRIM(H357)="","Email не указан",IF(AND(ISNUMBER(FIND("@",H357)),ISNUMBER(FIND(".",H357,IFERROR(FIND("@",H357),1))),ISERROR(FIND(" ",H357)),LEFT(H357,1)&lt;&gt;"@",RIGHT(H357,1)&lt;&gt;".",LEN(H357)-LEN(SUBSTITUTE(H357,"@",""))=1),"","Email: неверный формат"))</f>
        <v/>
      </c>
      <c r="P357" s="24" t="str">
        <f aca="false">IF(TRIM(I357)="","Телефон не указан",IF(AND(LEN(SUBSTITUTE(SUBSTITUTE(SUBSTITUTE(SUBSTITUTE(SUBSTITUTE(I357," ",""),"-",""),"(",""),")",""),"+",""))=11,OR(LEFT(SUBSTITUTE(SUBSTITUTE(SUBSTITUTE(SUBSTITUTE(SUBSTITUTE(I357," ",""),"-",""),"(",""),")",""),"+",""),1)="7",LEFT(SUBSTITUTE(SUBSTITUTE(SUBSTITUTE(SUBSTITUTE(SUBSTITUTE(I357," ",""),"-",""),"(",""),")",""),"+",""),1)="8"),ISNUMBER(IFERROR(VALUE(SUBSTITUTE(SUBSTITUTE(SUBSTITUTE(SUBSTITUTE(SUBSTITUTE(I357," ",""),"-",""),"(",""),")",""),"+","")),"x"))),"","Телефон: неверный формат"))</f>
        <v/>
      </c>
      <c r="Q357" s="24" t="str">
        <f aca="false">TRIM(IF(TRIM(B357)="","Нет наименования. ","")&amp;IF(TRIM(F357)="","Нет адреса. ","")&amp;IF(TRIM(G357)="","Нет контактного лица.",""))</f>
        <v/>
      </c>
      <c r="R357" s="21" t="n">
        <f aca="false">SUMPRODUCT(--(LEN(K357:Q357)&gt;0))</f>
        <v>1</v>
      </c>
      <c r="S357" s="24" t="str">
        <f aca="false">IF(R357=0,"Готово к передаче","Требует исправления")</f>
        <v>Требует исправления</v>
      </c>
      <c r="T357" s="24" t="str">
        <f aca="false">IF(R357=0,"",_xlfn.TEXTJOIN("; ",TRUE(),K357:Q357))</f>
        <v>ОГРН не указан</v>
      </c>
      <c r="U357" s="24" t="str">
        <f aca="false">IF(R357=0,"","Здравствуйте! В данных организации «"&amp;B357&amp;"» обнаружены ошибки: "&amp;T357&amp;". Просим проверить и прислать исправленную информацию.")</f>
        <v>Здравствуйте! В данных организации «ООО «Линия Монтаж»» обнаружены ошибки: ОГРН не указан. Просим проверить и прислать исправленную информацию.</v>
      </c>
      <c r="V357" s="21" t="n">
        <f aca="false">IF(R357&gt;0,COUNTIF($R$2:R357,"&gt;0"),"")</f>
        <v>104</v>
      </c>
      <c r="W357" s="21" t="str">
        <f aca="false">IF(R357=0,COUNTIF($R$2:R357,0),"")</f>
        <v/>
      </c>
    </row>
    <row r="358" customFormat="false" ht="15" hidden="false" customHeight="false" outlineLevel="0" collapsed="false">
      <c r="A358" s="21" t="n">
        <v>357</v>
      </c>
      <c r="B358" s="22" t="s">
        <v>2873</v>
      </c>
      <c r="C358" s="23" t="s">
        <v>2874</v>
      </c>
      <c r="D358" s="23" t="s">
        <v>2875</v>
      </c>
      <c r="E358" s="23" t="s">
        <v>2298</v>
      </c>
      <c r="F358" s="22" t="s">
        <v>2876</v>
      </c>
      <c r="G358" s="22" t="s">
        <v>2877</v>
      </c>
      <c r="H358" s="22" t="s">
        <v>2878</v>
      </c>
      <c r="I358" s="23" t="s">
        <v>2879</v>
      </c>
      <c r="J358" s="24" t="str">
        <f aca="false">IFERROR(VLOOKUP(VALUE(LEFT(C358,2)),Справочники!$A$2:$B$16,2,FALSE()),"не определён")</f>
        <v>Республика Крым</v>
      </c>
      <c r="K358" s="24" t="str">
        <f aca="false">IF(TRIM(C358)="","ИНН не указан",IF(LEN(C358)&lt;&gt;10,"ИНН: должно быть 10 цифр",IF(NOT(ISNUMBER(IFERROR(VALUE(C358),"x"))),"ИНН: есть нецифровые символы",IF(MOD(MOD(SUMPRODUCT(--MID(C358,{1,2,3,4,5,6,7,8,9},1),{2,4,10,3,5,9,4,6,8}),11),10)=VALUE(RIGHT(C358,1)),"","ИНН: неверная контрольная цифра"))))</f>
        <v/>
      </c>
      <c r="L358" s="24" t="str">
        <f aca="false">IF(TRIM(D358)="","ОГРН не указан",IF(LEN(D358)&lt;&gt;13,"ОГРН: должно быть 13 цифр",IF(NOT(ISNUMBER(IFERROR(VALUE(D358),"x"))),"ОГРН: есть нецифровые символы",IF(MOD(VALUE(LEFT(D358,12))-11*INT(VALUE(LEFT(D358,12))/11),10)=VALUE(RIGHT(D358,1)),"","ОГРН: неверная контрольная цифра"))))</f>
        <v/>
      </c>
      <c r="M358" s="24" t="str">
        <f aca="false">IF(TRIM(E358)="","КПП не указан",IF(LEN(E358)&lt;&gt;9,"КПП: должно быть 9 знаков",IF(NOT(AND(ISNUMBER(IFERROR(VALUE(LEFT(E358,4)),"x")),ISNUMBER(IFERROR(VALUE(RIGHT(E358,3)),"x")))),"КПП: неверный формат",IF(LEFT(E358,2)&lt;&gt;LEFT(C358,2),"КПП: код региона не совпадает с ИНН",""))))</f>
        <v/>
      </c>
      <c r="N358" s="24" t="str">
        <f aca="false">IF(TRIM(C358)="","",IF(COUNTIF($C$2:$C$401,C358)&gt;1,"Дубликат ИНН в реестре",""))</f>
        <v/>
      </c>
      <c r="O358" s="24" t="str">
        <f aca="false">IF(TRIM(H358)="","Email не указан",IF(AND(ISNUMBER(FIND("@",H358)),ISNUMBER(FIND(".",H358,IFERROR(FIND("@",H358),1))),ISERROR(FIND(" ",H358)),LEFT(H358,1)&lt;&gt;"@",RIGHT(H358,1)&lt;&gt;".",LEN(H358)-LEN(SUBSTITUTE(H358,"@",""))=1),"","Email: неверный формат"))</f>
        <v/>
      </c>
      <c r="P358" s="24" t="str">
        <f aca="false">IF(TRIM(I358)="","Телефон не указан",IF(AND(LEN(SUBSTITUTE(SUBSTITUTE(SUBSTITUTE(SUBSTITUTE(SUBSTITUTE(I358," ",""),"-",""),"(",""),")",""),"+",""))=11,OR(LEFT(SUBSTITUTE(SUBSTITUTE(SUBSTITUTE(SUBSTITUTE(SUBSTITUTE(I358," ",""),"-",""),"(",""),")",""),"+",""),1)="7",LEFT(SUBSTITUTE(SUBSTITUTE(SUBSTITUTE(SUBSTITUTE(SUBSTITUTE(I358," ",""),"-",""),"(",""),")",""),"+",""),1)="8"),ISNUMBER(IFERROR(VALUE(SUBSTITUTE(SUBSTITUTE(SUBSTITUTE(SUBSTITUTE(SUBSTITUTE(I358," ",""),"-",""),"(",""),")",""),"+","")),"x"))),"","Телефон: неверный формат"))</f>
        <v/>
      </c>
      <c r="Q358" s="24" t="str">
        <f aca="false">TRIM(IF(TRIM(B358)="","Нет наименования. ","")&amp;IF(TRIM(F358)="","Нет адреса. ","")&amp;IF(TRIM(G358)="","Нет контактного лица.",""))</f>
        <v/>
      </c>
      <c r="R358" s="21" t="n">
        <f aca="false">SUMPRODUCT(--(LEN(K358:Q358)&gt;0))</f>
        <v>0</v>
      </c>
      <c r="S358" s="24" t="str">
        <f aca="false">IF(R358=0,"Готово к передаче","Требует исправления")</f>
        <v>Готово к передаче</v>
      </c>
      <c r="T358" s="24" t="str">
        <f aca="false">IF(R358=0,"",_xlfn.TEXTJOIN("; ",TRUE(),K358:Q358))</f>
        <v/>
      </c>
      <c r="U358" s="24" t="str">
        <f aca="false">IF(R358=0,"","Здравствуйте! В данных организации «"&amp;B358&amp;"» обнаружены ошибки: "&amp;T358&amp;". Просим проверить и прислать исправленную информацию.")</f>
        <v/>
      </c>
      <c r="V358" s="21" t="str">
        <f aca="false">IF(R358&gt;0,COUNTIF($R$2:R358,"&gt;0"),"")</f>
        <v/>
      </c>
      <c r="W358" s="21" t="n">
        <f aca="false">IF(R358=0,COUNTIF($R$2:R358,0),"")</f>
        <v>253</v>
      </c>
    </row>
    <row r="359" customFormat="false" ht="15" hidden="false" customHeight="false" outlineLevel="0" collapsed="false">
      <c r="A359" s="21" t="n">
        <v>358</v>
      </c>
      <c r="B359" s="22" t="s">
        <v>2880</v>
      </c>
      <c r="C359" s="23" t="s">
        <v>2881</v>
      </c>
      <c r="D359" s="23" t="s">
        <v>2882</v>
      </c>
      <c r="E359" s="23" t="s">
        <v>2883</v>
      </c>
      <c r="F359" s="22" t="s">
        <v>2884</v>
      </c>
      <c r="G359" s="22" t="s">
        <v>2885</v>
      </c>
      <c r="H359" s="22" t="s">
        <v>2886</v>
      </c>
      <c r="I359" s="23" t="s">
        <v>2887</v>
      </c>
      <c r="J359" s="24" t="str">
        <f aca="false">IFERROR(VLOOKUP(VALUE(LEFT(C359,2)),Справочники!$A$2:$B$16,2,FALSE()),"не определён")</f>
        <v>Московская область</v>
      </c>
      <c r="K359" s="24" t="str">
        <f aca="false">IF(TRIM(C359)="","ИНН не указан",IF(LEN(C359)&lt;&gt;10,"ИНН: должно быть 10 цифр",IF(NOT(ISNUMBER(IFERROR(VALUE(C359),"x"))),"ИНН: есть нецифровые символы",IF(MOD(MOD(SUMPRODUCT(--MID(C359,{1,2,3,4,5,6,7,8,9},1),{2,4,10,3,5,9,4,6,8}),11),10)=VALUE(RIGHT(C359,1)),"","ИНН: неверная контрольная цифра"))))</f>
        <v/>
      </c>
      <c r="L359" s="24" t="str">
        <f aca="false">IF(TRIM(D359)="","ОГРН не указан",IF(LEN(D359)&lt;&gt;13,"ОГРН: должно быть 13 цифр",IF(NOT(ISNUMBER(IFERROR(VALUE(D359),"x"))),"ОГРН: есть нецифровые символы",IF(MOD(VALUE(LEFT(D359,12))-11*INT(VALUE(LEFT(D359,12))/11),10)=VALUE(RIGHT(D359,1)),"","ОГРН: неверная контрольная цифра"))))</f>
        <v/>
      </c>
      <c r="M359" s="24" t="str">
        <f aca="false">IF(TRIM(E359)="","КПП не указан",IF(LEN(E359)&lt;&gt;9,"КПП: должно быть 9 знаков",IF(NOT(AND(ISNUMBER(IFERROR(VALUE(LEFT(E359,4)),"x")),ISNUMBER(IFERROR(VALUE(RIGHT(E359,3)),"x")))),"КПП: неверный формат",IF(LEFT(E359,2)&lt;&gt;LEFT(C359,2),"КПП: код региона не совпадает с ИНН",""))))</f>
        <v/>
      </c>
      <c r="N359" s="24" t="str">
        <f aca="false">IF(TRIM(C359)="","",IF(COUNTIF($C$2:$C$401,C359)&gt;1,"Дубликат ИНН в реестре",""))</f>
        <v/>
      </c>
      <c r="O359" s="24" t="str">
        <f aca="false">IF(TRIM(H359)="","Email не указан",IF(AND(ISNUMBER(FIND("@",H359)),ISNUMBER(FIND(".",H359,IFERROR(FIND("@",H359),1))),ISERROR(FIND(" ",H359)),LEFT(H359,1)&lt;&gt;"@",RIGHT(H359,1)&lt;&gt;".",LEN(H359)-LEN(SUBSTITUTE(H359,"@",""))=1),"","Email: неверный формат"))</f>
        <v/>
      </c>
      <c r="P359" s="24" t="str">
        <f aca="false">IF(TRIM(I359)="","Телефон не указан",IF(AND(LEN(SUBSTITUTE(SUBSTITUTE(SUBSTITUTE(SUBSTITUTE(SUBSTITUTE(I359," ",""),"-",""),"(",""),")",""),"+",""))=11,OR(LEFT(SUBSTITUTE(SUBSTITUTE(SUBSTITUTE(SUBSTITUTE(SUBSTITUTE(I359," ",""),"-",""),"(",""),")",""),"+",""),1)="7",LEFT(SUBSTITUTE(SUBSTITUTE(SUBSTITUTE(SUBSTITUTE(SUBSTITUTE(I359," ",""),"-",""),"(",""),")",""),"+",""),1)="8"),ISNUMBER(IFERROR(VALUE(SUBSTITUTE(SUBSTITUTE(SUBSTITUTE(SUBSTITUTE(SUBSTITUTE(I359," ",""),"-",""),"(",""),")",""),"+","")),"x"))),"","Телефон: неверный формат"))</f>
        <v/>
      </c>
      <c r="Q359" s="24" t="str">
        <f aca="false">TRIM(IF(TRIM(B359)="","Нет наименования. ","")&amp;IF(TRIM(F359)="","Нет адреса. ","")&amp;IF(TRIM(G359)="","Нет контактного лица.",""))</f>
        <v/>
      </c>
      <c r="R359" s="21" t="n">
        <f aca="false">SUMPRODUCT(--(LEN(K359:Q359)&gt;0))</f>
        <v>0</v>
      </c>
      <c r="S359" s="24" t="str">
        <f aca="false">IF(R359=0,"Готово к передаче","Требует исправления")</f>
        <v>Готово к передаче</v>
      </c>
      <c r="T359" s="24" t="str">
        <f aca="false">IF(R359=0,"",_xlfn.TEXTJOIN("; ",TRUE(),K359:Q359))</f>
        <v/>
      </c>
      <c r="U359" s="24" t="str">
        <f aca="false">IF(R359=0,"","Здравствуйте! В данных организации «"&amp;B359&amp;"» обнаружены ошибки: "&amp;T359&amp;". Просим проверить и прислать исправленную информацию.")</f>
        <v/>
      </c>
      <c r="V359" s="21" t="str">
        <f aca="false">IF(R359&gt;0,COUNTIF($R$2:R359,"&gt;0"),"")</f>
        <v/>
      </c>
      <c r="W359" s="21" t="n">
        <f aca="false">IF(R359=0,COUNTIF($R$2:R359,0),"")</f>
        <v>254</v>
      </c>
    </row>
    <row r="360" customFormat="false" ht="15" hidden="false" customHeight="false" outlineLevel="0" collapsed="false">
      <c r="A360" s="21" t="n">
        <v>359</v>
      </c>
      <c r="B360" s="22" t="s">
        <v>2888</v>
      </c>
      <c r="C360" s="23" t="s">
        <v>2889</v>
      </c>
      <c r="D360" s="23" t="s">
        <v>2890</v>
      </c>
      <c r="E360" s="23" t="s">
        <v>2891</v>
      </c>
      <c r="F360" s="22" t="s">
        <v>2892</v>
      </c>
      <c r="G360" s="22" t="s">
        <v>2893</v>
      </c>
      <c r="H360" s="22" t="s">
        <v>2894</v>
      </c>
      <c r="I360" s="23" t="s">
        <v>2895</v>
      </c>
      <c r="J360" s="24" t="str">
        <f aca="false">IFERROR(VLOOKUP(VALUE(LEFT(C360,2)),Справочники!$A$2:$B$16,2,FALSE()),"не определён")</f>
        <v>Самарская область</v>
      </c>
      <c r="K360" s="24" t="str">
        <f aca="false">IF(TRIM(C360)="","ИНН не указан",IF(LEN(C360)&lt;&gt;10,"ИНН: должно быть 10 цифр",IF(NOT(ISNUMBER(IFERROR(VALUE(C360),"x"))),"ИНН: есть нецифровые символы",IF(MOD(MOD(SUMPRODUCT(--MID(C360,{1,2,3,4,5,6,7,8,9},1),{2,4,10,3,5,9,4,6,8}),11),10)=VALUE(RIGHT(C360,1)),"","ИНН: неверная контрольная цифра"))))</f>
        <v/>
      </c>
      <c r="L360" s="24" t="str">
        <f aca="false">IF(TRIM(D360)="","ОГРН не указан",IF(LEN(D360)&lt;&gt;13,"ОГРН: должно быть 13 цифр",IF(NOT(ISNUMBER(IFERROR(VALUE(D360),"x"))),"ОГРН: есть нецифровые символы",IF(MOD(VALUE(LEFT(D360,12))-11*INT(VALUE(LEFT(D360,12))/11),10)=VALUE(RIGHT(D360,1)),"","ОГРН: неверная контрольная цифра"))))</f>
        <v/>
      </c>
      <c r="M360" s="24" t="str">
        <f aca="false">IF(TRIM(E360)="","КПП не указан",IF(LEN(E360)&lt;&gt;9,"КПП: должно быть 9 знаков",IF(NOT(AND(ISNUMBER(IFERROR(VALUE(LEFT(E360,4)),"x")),ISNUMBER(IFERROR(VALUE(RIGHT(E360,3)),"x")))),"КПП: неверный формат",IF(LEFT(E360,2)&lt;&gt;LEFT(C360,2),"КПП: код региона не совпадает с ИНН",""))))</f>
        <v/>
      </c>
      <c r="N360" s="24" t="str">
        <f aca="false">IF(TRIM(C360)="","",IF(COUNTIF($C$2:$C$401,C360)&gt;1,"Дубликат ИНН в реестре",""))</f>
        <v/>
      </c>
      <c r="O360" s="24" t="str">
        <f aca="false">IF(TRIM(H360)="","Email не указан",IF(AND(ISNUMBER(FIND("@",H360)),ISNUMBER(FIND(".",H360,IFERROR(FIND("@",H360),1))),ISERROR(FIND(" ",H360)),LEFT(H360,1)&lt;&gt;"@",RIGHT(H360,1)&lt;&gt;".",LEN(H360)-LEN(SUBSTITUTE(H360,"@",""))=1),"","Email: неверный формат"))</f>
        <v/>
      </c>
      <c r="P360" s="24" t="str">
        <f aca="false">IF(TRIM(I360)="","Телефон не указан",IF(AND(LEN(SUBSTITUTE(SUBSTITUTE(SUBSTITUTE(SUBSTITUTE(SUBSTITUTE(I360," ",""),"-",""),"(",""),")",""),"+",""))=11,OR(LEFT(SUBSTITUTE(SUBSTITUTE(SUBSTITUTE(SUBSTITUTE(SUBSTITUTE(I360," ",""),"-",""),"(",""),")",""),"+",""),1)="7",LEFT(SUBSTITUTE(SUBSTITUTE(SUBSTITUTE(SUBSTITUTE(SUBSTITUTE(I360," ",""),"-",""),"(",""),")",""),"+",""),1)="8"),ISNUMBER(IFERROR(VALUE(SUBSTITUTE(SUBSTITUTE(SUBSTITUTE(SUBSTITUTE(SUBSTITUTE(I360," ",""),"-",""),"(",""),")",""),"+","")),"x"))),"","Телефон: неверный формат"))</f>
        <v/>
      </c>
      <c r="Q360" s="24" t="str">
        <f aca="false">TRIM(IF(TRIM(B360)="","Нет наименования. ","")&amp;IF(TRIM(F360)="","Нет адреса. ","")&amp;IF(TRIM(G360)="","Нет контактного лица.",""))</f>
        <v/>
      </c>
      <c r="R360" s="21" t="n">
        <f aca="false">SUMPRODUCT(--(LEN(K360:Q360)&gt;0))</f>
        <v>0</v>
      </c>
      <c r="S360" s="24" t="str">
        <f aca="false">IF(R360=0,"Готово к передаче","Требует исправления")</f>
        <v>Готово к передаче</v>
      </c>
      <c r="T360" s="24" t="str">
        <f aca="false">IF(R360=0,"",_xlfn.TEXTJOIN("; ",TRUE(),K360:Q360))</f>
        <v/>
      </c>
      <c r="U360" s="24" t="str">
        <f aca="false">IF(R360=0,"","Здравствуйте! В данных организации «"&amp;B360&amp;"» обнаружены ошибки: "&amp;T360&amp;". Просим проверить и прислать исправленную информацию.")</f>
        <v/>
      </c>
      <c r="V360" s="21" t="str">
        <f aca="false">IF(R360&gt;0,COUNTIF($R$2:R360,"&gt;0"),"")</f>
        <v/>
      </c>
      <c r="W360" s="21" t="n">
        <f aca="false">IF(R360=0,COUNTIF($R$2:R360,0),"")</f>
        <v>255</v>
      </c>
    </row>
    <row r="361" customFormat="false" ht="15" hidden="false" customHeight="false" outlineLevel="0" collapsed="false">
      <c r="A361" s="21" t="n">
        <v>360</v>
      </c>
      <c r="B361" s="22" t="s">
        <v>2896</v>
      </c>
      <c r="C361" s="23" t="s">
        <v>2897</v>
      </c>
      <c r="D361" s="23" t="s">
        <v>2898</v>
      </c>
      <c r="E361" s="23" t="s">
        <v>2899</v>
      </c>
      <c r="F361" s="22" t="s">
        <v>2900</v>
      </c>
      <c r="G361" s="22" t="s">
        <v>2901</v>
      </c>
      <c r="H361" s="22" t="s">
        <v>2902</v>
      </c>
      <c r="I361" s="23" t="s">
        <v>2903</v>
      </c>
      <c r="J361" s="24" t="str">
        <f aca="false">IFERROR(VLOOKUP(VALUE(LEFT(C361,2)),Справочники!$A$2:$B$16,2,FALSE()),"не определён")</f>
        <v>Республика Крым</v>
      </c>
      <c r="K361" s="24" t="str">
        <f aca="false">IF(TRIM(C361)="","ИНН не указан",IF(LEN(C361)&lt;&gt;10,"ИНН: должно быть 10 цифр",IF(NOT(ISNUMBER(IFERROR(VALUE(C361),"x"))),"ИНН: есть нецифровые символы",IF(MOD(MOD(SUMPRODUCT(--MID(C361,{1,2,3,4,5,6,7,8,9},1),{2,4,10,3,5,9,4,6,8}),11),10)=VALUE(RIGHT(C361,1)),"","ИНН: неверная контрольная цифра"))))</f>
        <v/>
      </c>
      <c r="L361" s="24" t="str">
        <f aca="false">IF(TRIM(D361)="","ОГРН не указан",IF(LEN(D361)&lt;&gt;13,"ОГРН: должно быть 13 цифр",IF(NOT(ISNUMBER(IFERROR(VALUE(D361),"x"))),"ОГРН: есть нецифровые символы",IF(MOD(VALUE(LEFT(D361,12))-11*INT(VALUE(LEFT(D361,12))/11),10)=VALUE(RIGHT(D361,1)),"","ОГРН: неверная контрольная цифра"))))</f>
        <v/>
      </c>
      <c r="M361" s="24" t="str">
        <f aca="false">IF(TRIM(E361)="","КПП не указан",IF(LEN(E361)&lt;&gt;9,"КПП: должно быть 9 знаков",IF(NOT(AND(ISNUMBER(IFERROR(VALUE(LEFT(E361,4)),"x")),ISNUMBER(IFERROR(VALUE(RIGHT(E361,3)),"x")))),"КПП: неверный формат",IF(LEFT(E361,2)&lt;&gt;LEFT(C361,2),"КПП: код региона не совпадает с ИНН",""))))</f>
        <v/>
      </c>
      <c r="N361" s="24" t="str">
        <f aca="false">IF(TRIM(C361)="","",IF(COUNTIF($C$2:$C$401,C361)&gt;1,"Дубликат ИНН в реестре",""))</f>
        <v/>
      </c>
      <c r="O361" s="24" t="str">
        <f aca="false">IF(TRIM(H361)="","Email не указан",IF(AND(ISNUMBER(FIND("@",H361)),ISNUMBER(FIND(".",H361,IFERROR(FIND("@",H361),1))),ISERROR(FIND(" ",H361)),LEFT(H361,1)&lt;&gt;"@",RIGHT(H361,1)&lt;&gt;".",LEN(H361)-LEN(SUBSTITUTE(H361,"@",""))=1),"","Email: неверный формат"))</f>
        <v/>
      </c>
      <c r="P361" s="24" t="str">
        <f aca="false">IF(TRIM(I361)="","Телефон не указан",IF(AND(LEN(SUBSTITUTE(SUBSTITUTE(SUBSTITUTE(SUBSTITUTE(SUBSTITUTE(I361," ",""),"-",""),"(",""),")",""),"+",""))=11,OR(LEFT(SUBSTITUTE(SUBSTITUTE(SUBSTITUTE(SUBSTITUTE(SUBSTITUTE(I361," ",""),"-",""),"(",""),")",""),"+",""),1)="7",LEFT(SUBSTITUTE(SUBSTITUTE(SUBSTITUTE(SUBSTITUTE(SUBSTITUTE(I361," ",""),"-",""),"(",""),")",""),"+",""),1)="8"),ISNUMBER(IFERROR(VALUE(SUBSTITUTE(SUBSTITUTE(SUBSTITUTE(SUBSTITUTE(SUBSTITUTE(I361," ",""),"-",""),"(",""),")",""),"+","")),"x"))),"","Телефон: неверный формат"))</f>
        <v/>
      </c>
      <c r="Q361" s="24" t="str">
        <f aca="false">TRIM(IF(TRIM(B361)="","Нет наименования. ","")&amp;IF(TRIM(F361)="","Нет адреса. ","")&amp;IF(TRIM(G361)="","Нет контактного лица.",""))</f>
        <v/>
      </c>
      <c r="R361" s="21" t="n">
        <f aca="false">SUMPRODUCT(--(LEN(K361:Q361)&gt;0))</f>
        <v>0</v>
      </c>
      <c r="S361" s="24" t="str">
        <f aca="false">IF(R361=0,"Готово к передаче","Требует исправления")</f>
        <v>Готово к передаче</v>
      </c>
      <c r="T361" s="24" t="str">
        <f aca="false">IF(R361=0,"",_xlfn.TEXTJOIN("; ",TRUE(),K361:Q361))</f>
        <v/>
      </c>
      <c r="U361" s="24" t="str">
        <f aca="false">IF(R361=0,"","Здравствуйте! В данных организации «"&amp;B361&amp;"» обнаружены ошибки: "&amp;T361&amp;". Просим проверить и прислать исправленную информацию.")</f>
        <v/>
      </c>
      <c r="V361" s="21" t="str">
        <f aca="false">IF(R361&gt;0,COUNTIF($R$2:R361,"&gt;0"),"")</f>
        <v/>
      </c>
      <c r="W361" s="21" t="n">
        <f aca="false">IF(R361=0,COUNTIF($R$2:R361,0),"")</f>
        <v>256</v>
      </c>
    </row>
    <row r="362" customFormat="false" ht="15" hidden="false" customHeight="false" outlineLevel="0" collapsed="false">
      <c r="A362" s="21" t="n">
        <v>361</v>
      </c>
      <c r="B362" s="22" t="s">
        <v>2904</v>
      </c>
      <c r="C362" s="23" t="s">
        <v>2905</v>
      </c>
      <c r="D362" s="23" t="s">
        <v>2906</v>
      </c>
      <c r="E362" s="23" t="s">
        <v>2907</v>
      </c>
      <c r="F362" s="22" t="s">
        <v>2908</v>
      </c>
      <c r="G362" s="22" t="s">
        <v>2909</v>
      </c>
      <c r="H362" s="22" t="s">
        <v>2910</v>
      </c>
      <c r="I362" s="23" t="s">
        <v>2911</v>
      </c>
      <c r="J362" s="24" t="str">
        <f aca="false">IFERROR(VLOOKUP(VALUE(LEFT(C362,2)),Справочники!$A$2:$B$16,2,FALSE()),"не определён")</f>
        <v>Челябинская область</v>
      </c>
      <c r="K362" s="24" t="str">
        <f aca="false">IF(TRIM(C362)="","ИНН не указан",IF(LEN(C362)&lt;&gt;10,"ИНН: должно быть 10 цифр",IF(NOT(ISNUMBER(IFERROR(VALUE(C362),"x"))),"ИНН: есть нецифровые символы",IF(MOD(MOD(SUMPRODUCT(--MID(C362,{1,2,3,4,5,6,7,8,9},1),{2,4,10,3,5,9,4,6,8}),11),10)=VALUE(RIGHT(C362,1)),"","ИНН: неверная контрольная цифра"))))</f>
        <v/>
      </c>
      <c r="L362" s="24" t="str">
        <f aca="false">IF(TRIM(D362)="","ОГРН не указан",IF(LEN(D362)&lt;&gt;13,"ОГРН: должно быть 13 цифр",IF(NOT(ISNUMBER(IFERROR(VALUE(D362),"x"))),"ОГРН: есть нецифровые символы",IF(MOD(VALUE(LEFT(D362,12))-11*INT(VALUE(LEFT(D362,12))/11),10)=VALUE(RIGHT(D362,1)),"","ОГРН: неверная контрольная цифра"))))</f>
        <v/>
      </c>
      <c r="M362" s="24" t="str">
        <f aca="false">IF(TRIM(E362)="","КПП не указан",IF(LEN(E362)&lt;&gt;9,"КПП: должно быть 9 знаков",IF(NOT(AND(ISNUMBER(IFERROR(VALUE(LEFT(E362,4)),"x")),ISNUMBER(IFERROR(VALUE(RIGHT(E362,3)),"x")))),"КПП: неверный формат",IF(LEFT(E362,2)&lt;&gt;LEFT(C362,2),"КПП: код региона не совпадает с ИНН",""))))</f>
        <v/>
      </c>
      <c r="N362" s="24" t="str">
        <f aca="false">IF(TRIM(C362)="","",IF(COUNTIF($C$2:$C$401,C362)&gt;1,"Дубликат ИНН в реестре",""))</f>
        <v/>
      </c>
      <c r="O362" s="24" t="str">
        <f aca="false">IF(TRIM(H362)="","Email не указан",IF(AND(ISNUMBER(FIND("@",H362)),ISNUMBER(FIND(".",H362,IFERROR(FIND("@",H362),1))),ISERROR(FIND(" ",H362)),LEFT(H362,1)&lt;&gt;"@",RIGHT(H362,1)&lt;&gt;".",LEN(H362)-LEN(SUBSTITUTE(H362,"@",""))=1),"","Email: неверный формат"))</f>
        <v/>
      </c>
      <c r="P362" s="24" t="str">
        <f aca="false">IF(TRIM(I362)="","Телефон не указан",IF(AND(LEN(SUBSTITUTE(SUBSTITUTE(SUBSTITUTE(SUBSTITUTE(SUBSTITUTE(I362," ",""),"-",""),"(",""),")",""),"+",""))=11,OR(LEFT(SUBSTITUTE(SUBSTITUTE(SUBSTITUTE(SUBSTITUTE(SUBSTITUTE(I362," ",""),"-",""),"(",""),")",""),"+",""),1)="7",LEFT(SUBSTITUTE(SUBSTITUTE(SUBSTITUTE(SUBSTITUTE(SUBSTITUTE(I362," ",""),"-",""),"(",""),")",""),"+",""),1)="8"),ISNUMBER(IFERROR(VALUE(SUBSTITUTE(SUBSTITUTE(SUBSTITUTE(SUBSTITUTE(SUBSTITUTE(I362," ",""),"-",""),"(",""),")",""),"+","")),"x"))),"","Телефон: неверный формат"))</f>
        <v/>
      </c>
      <c r="Q362" s="24" t="str">
        <f aca="false">TRIM(IF(TRIM(B362)="","Нет наименования. ","")&amp;IF(TRIM(F362)="","Нет адреса. ","")&amp;IF(TRIM(G362)="","Нет контактного лица.",""))</f>
        <v/>
      </c>
      <c r="R362" s="21" t="n">
        <f aca="false">SUMPRODUCT(--(LEN(K362:Q362)&gt;0))</f>
        <v>0</v>
      </c>
      <c r="S362" s="24" t="str">
        <f aca="false">IF(R362=0,"Готово к передаче","Требует исправления")</f>
        <v>Готово к передаче</v>
      </c>
      <c r="T362" s="24" t="str">
        <f aca="false">IF(R362=0,"",_xlfn.TEXTJOIN("; ",TRUE(),K362:Q362))</f>
        <v/>
      </c>
      <c r="U362" s="24" t="str">
        <f aca="false">IF(R362=0,"","Здравствуйте! В данных организации «"&amp;B362&amp;"» обнаружены ошибки: "&amp;T362&amp;". Просим проверить и прислать исправленную информацию.")</f>
        <v/>
      </c>
      <c r="V362" s="21" t="str">
        <f aca="false">IF(R362&gt;0,COUNTIF($R$2:R362,"&gt;0"),"")</f>
        <v/>
      </c>
      <c r="W362" s="21" t="n">
        <f aca="false">IF(R362=0,COUNTIF($R$2:R362,0),"")</f>
        <v>257</v>
      </c>
    </row>
    <row r="363" customFormat="false" ht="15" hidden="false" customHeight="false" outlineLevel="0" collapsed="false">
      <c r="A363" s="21" t="n">
        <v>362</v>
      </c>
      <c r="B363" s="22" t="s">
        <v>2912</v>
      </c>
      <c r="C363" s="23" t="s">
        <v>2913</v>
      </c>
      <c r="D363" s="23" t="s">
        <v>2914</v>
      </c>
      <c r="E363" s="23" t="s">
        <v>2915</v>
      </c>
      <c r="F363" s="22" t="s">
        <v>2916</v>
      </c>
      <c r="G363" s="22" t="s">
        <v>2917</v>
      </c>
      <c r="H363" s="22" t="s">
        <v>2918</v>
      </c>
      <c r="I363" s="23" t="s">
        <v>2919</v>
      </c>
      <c r="J363" s="24" t="str">
        <f aca="false">IFERROR(VLOOKUP(VALUE(LEFT(C363,2)),Справочники!$A$2:$B$16,2,FALSE()),"не определён")</f>
        <v>Новосибирская область</v>
      </c>
      <c r="K363" s="24" t="str">
        <f aca="false">IF(TRIM(C363)="","ИНН не указан",IF(LEN(C363)&lt;&gt;10,"ИНН: должно быть 10 цифр",IF(NOT(ISNUMBER(IFERROR(VALUE(C363),"x"))),"ИНН: есть нецифровые символы",IF(MOD(MOD(SUMPRODUCT(--MID(C363,{1,2,3,4,5,6,7,8,9},1),{2,4,10,3,5,9,4,6,8}),11),10)=VALUE(RIGHT(C363,1)),"","ИНН: неверная контрольная цифра"))))</f>
        <v/>
      </c>
      <c r="L363" s="24" t="str">
        <f aca="false">IF(TRIM(D363)="","ОГРН не указан",IF(LEN(D363)&lt;&gt;13,"ОГРН: должно быть 13 цифр",IF(NOT(ISNUMBER(IFERROR(VALUE(D363),"x"))),"ОГРН: есть нецифровые символы",IF(MOD(VALUE(LEFT(D363,12))-11*INT(VALUE(LEFT(D363,12))/11),10)=VALUE(RIGHT(D363,1)),"","ОГРН: неверная контрольная цифра"))))</f>
        <v/>
      </c>
      <c r="M363" s="24" t="str">
        <f aca="false">IF(TRIM(E363)="","КПП не указан",IF(LEN(E363)&lt;&gt;9,"КПП: должно быть 9 знаков",IF(NOT(AND(ISNUMBER(IFERROR(VALUE(LEFT(E363,4)),"x")),ISNUMBER(IFERROR(VALUE(RIGHT(E363,3)),"x")))),"КПП: неверный формат",IF(LEFT(E363,2)&lt;&gt;LEFT(C363,2),"КПП: код региона не совпадает с ИНН",""))))</f>
        <v/>
      </c>
      <c r="N363" s="24" t="str">
        <f aca="false">IF(TRIM(C363)="","",IF(COUNTIF($C$2:$C$401,C363)&gt;1,"Дубликат ИНН в реестре",""))</f>
        <v/>
      </c>
      <c r="O363" s="24" t="str">
        <f aca="false">IF(TRIM(H363)="","Email не указан",IF(AND(ISNUMBER(FIND("@",H363)),ISNUMBER(FIND(".",H363,IFERROR(FIND("@",H363),1))),ISERROR(FIND(" ",H363)),LEFT(H363,1)&lt;&gt;"@",RIGHT(H363,1)&lt;&gt;".",LEN(H363)-LEN(SUBSTITUTE(H363,"@",""))=1),"","Email: неверный формат"))</f>
        <v/>
      </c>
      <c r="P363" s="24" t="str">
        <f aca="false">IF(TRIM(I363)="","Телефон не указан",IF(AND(LEN(SUBSTITUTE(SUBSTITUTE(SUBSTITUTE(SUBSTITUTE(SUBSTITUTE(I363," ",""),"-",""),"(",""),")",""),"+",""))=11,OR(LEFT(SUBSTITUTE(SUBSTITUTE(SUBSTITUTE(SUBSTITUTE(SUBSTITUTE(I363," ",""),"-",""),"(",""),")",""),"+",""),1)="7",LEFT(SUBSTITUTE(SUBSTITUTE(SUBSTITUTE(SUBSTITUTE(SUBSTITUTE(I363," ",""),"-",""),"(",""),")",""),"+",""),1)="8"),ISNUMBER(IFERROR(VALUE(SUBSTITUTE(SUBSTITUTE(SUBSTITUTE(SUBSTITUTE(SUBSTITUTE(I363," ",""),"-",""),"(",""),")",""),"+","")),"x"))),"","Телефон: неверный формат"))</f>
        <v/>
      </c>
      <c r="Q363" s="24" t="str">
        <f aca="false">TRIM(IF(TRIM(B363)="","Нет наименования. ","")&amp;IF(TRIM(F363)="","Нет адреса. ","")&amp;IF(TRIM(G363)="","Нет контактного лица.",""))</f>
        <v/>
      </c>
      <c r="R363" s="21" t="n">
        <f aca="false">SUMPRODUCT(--(LEN(K363:Q363)&gt;0))</f>
        <v>0</v>
      </c>
      <c r="S363" s="24" t="str">
        <f aca="false">IF(R363=0,"Готово к передаче","Требует исправления")</f>
        <v>Готово к передаче</v>
      </c>
      <c r="T363" s="24" t="str">
        <f aca="false">IF(R363=0,"",_xlfn.TEXTJOIN("; ",TRUE(),K363:Q363))</f>
        <v/>
      </c>
      <c r="U363" s="24" t="str">
        <f aca="false">IF(R363=0,"","Здравствуйте! В данных организации «"&amp;B363&amp;"» обнаружены ошибки: "&amp;T363&amp;". Просим проверить и прислать исправленную информацию.")</f>
        <v/>
      </c>
      <c r="V363" s="21" t="str">
        <f aca="false">IF(R363&gt;0,COUNTIF($R$2:R363,"&gt;0"),"")</f>
        <v/>
      </c>
      <c r="W363" s="21" t="n">
        <f aca="false">IF(R363=0,COUNTIF($R$2:R363,0),"")</f>
        <v>258</v>
      </c>
    </row>
    <row r="364" customFormat="false" ht="15" hidden="false" customHeight="false" outlineLevel="0" collapsed="false">
      <c r="A364" s="21" t="n">
        <v>363</v>
      </c>
      <c r="B364" s="22" t="s">
        <v>2920</v>
      </c>
      <c r="C364" s="23" t="s">
        <v>2921</v>
      </c>
      <c r="D364" s="23" t="s">
        <v>2922</v>
      </c>
      <c r="E364" s="23" t="s">
        <v>2923</v>
      </c>
      <c r="F364" s="22" t="s">
        <v>2924</v>
      </c>
      <c r="G364" s="22" t="s">
        <v>2925</v>
      </c>
      <c r="H364" s="22" t="s">
        <v>2926</v>
      </c>
      <c r="I364" s="23" t="s">
        <v>2927</v>
      </c>
      <c r="J364" s="24" t="str">
        <f aca="false">IFERROR(VLOOKUP(VALUE(LEFT(C364,2)),Справочники!$A$2:$B$16,2,FALSE()),"не определён")</f>
        <v>Ростовская область</v>
      </c>
      <c r="K364" s="24" t="str">
        <f aca="false">IF(TRIM(C364)="","ИНН не указан",IF(LEN(C364)&lt;&gt;10,"ИНН: должно быть 10 цифр",IF(NOT(ISNUMBER(IFERROR(VALUE(C364),"x"))),"ИНН: есть нецифровые символы",IF(MOD(MOD(SUMPRODUCT(--MID(C364,{1,2,3,4,5,6,7,8,9},1),{2,4,10,3,5,9,4,6,8}),11),10)=VALUE(RIGHT(C364,1)),"","ИНН: неверная контрольная цифра"))))</f>
        <v/>
      </c>
      <c r="L364" s="24" t="str">
        <f aca="false">IF(TRIM(D364)="","ОГРН не указан",IF(LEN(D364)&lt;&gt;13,"ОГРН: должно быть 13 цифр",IF(NOT(ISNUMBER(IFERROR(VALUE(D364),"x"))),"ОГРН: есть нецифровые символы",IF(MOD(VALUE(LEFT(D364,12))-11*INT(VALUE(LEFT(D364,12))/11),10)=VALUE(RIGHT(D364,1)),"","ОГРН: неверная контрольная цифра"))))</f>
        <v/>
      </c>
      <c r="M364" s="24" t="str">
        <f aca="false">IF(TRIM(E364)="","КПП не указан",IF(LEN(E364)&lt;&gt;9,"КПП: должно быть 9 знаков",IF(NOT(AND(ISNUMBER(IFERROR(VALUE(LEFT(E364,4)),"x")),ISNUMBER(IFERROR(VALUE(RIGHT(E364,3)),"x")))),"КПП: неверный формат",IF(LEFT(E364,2)&lt;&gt;LEFT(C364,2),"КПП: код региона не совпадает с ИНН",""))))</f>
        <v/>
      </c>
      <c r="N364" s="24" t="str">
        <f aca="false">IF(TRIM(C364)="","",IF(COUNTIF($C$2:$C$401,C364)&gt;1,"Дубликат ИНН в реестре",""))</f>
        <v/>
      </c>
      <c r="O364" s="24" t="str">
        <f aca="false">IF(TRIM(H364)="","Email не указан",IF(AND(ISNUMBER(FIND("@",H364)),ISNUMBER(FIND(".",H364,IFERROR(FIND("@",H364),1))),ISERROR(FIND(" ",H364)),LEFT(H364,1)&lt;&gt;"@",RIGHT(H364,1)&lt;&gt;".",LEN(H364)-LEN(SUBSTITUTE(H364,"@",""))=1),"","Email: неверный формат"))</f>
        <v>Email: неверный формат</v>
      </c>
      <c r="P364" s="24" t="str">
        <f aca="false">IF(TRIM(I364)="","Телефон не указан",IF(AND(LEN(SUBSTITUTE(SUBSTITUTE(SUBSTITUTE(SUBSTITUTE(SUBSTITUTE(I364," ",""),"-",""),"(",""),")",""),"+",""))=11,OR(LEFT(SUBSTITUTE(SUBSTITUTE(SUBSTITUTE(SUBSTITUTE(SUBSTITUTE(I364," ",""),"-",""),"(",""),")",""),"+",""),1)="7",LEFT(SUBSTITUTE(SUBSTITUTE(SUBSTITUTE(SUBSTITUTE(SUBSTITUTE(I364," ",""),"-",""),"(",""),")",""),"+",""),1)="8"),ISNUMBER(IFERROR(VALUE(SUBSTITUTE(SUBSTITUTE(SUBSTITUTE(SUBSTITUTE(SUBSTITUTE(I364," ",""),"-",""),"(",""),")",""),"+","")),"x"))),"","Телефон: неверный формат"))</f>
        <v/>
      </c>
      <c r="Q364" s="24" t="str">
        <f aca="false">TRIM(IF(TRIM(B364)="","Нет наименования. ","")&amp;IF(TRIM(F364)="","Нет адреса. ","")&amp;IF(TRIM(G364)="","Нет контактного лица.",""))</f>
        <v/>
      </c>
      <c r="R364" s="21" t="n">
        <f aca="false">SUMPRODUCT(--(LEN(K364:Q364)&gt;0))</f>
        <v>1</v>
      </c>
      <c r="S364" s="24" t="str">
        <f aca="false">IF(R364=0,"Готово к передаче","Требует исправления")</f>
        <v>Требует исправления</v>
      </c>
      <c r="T364" s="24" t="str">
        <f aca="false">IF(R364=0,"",_xlfn.TEXTJOIN("; ",TRUE(),K364:Q364))</f>
        <v>Email: неверный формат</v>
      </c>
      <c r="U364" s="24" t="str">
        <f aca="false">IF(R364=0,"","Здравствуйте! В данных организации «"&amp;B364&amp;"» обнаружены ошибки: "&amp;T364&amp;". Просим проверить и прислать исправленную информацию.")</f>
        <v>Здравствуйте! В данных организации «ООО «Атлант Фуд»» обнаружены ошибки: Email: неверный формат. Просим проверить и прислать исправленную информацию.</v>
      </c>
      <c r="V364" s="21" t="n">
        <f aca="false">IF(R364&gt;0,COUNTIF($R$2:R364,"&gt;0"),"")</f>
        <v>105</v>
      </c>
      <c r="W364" s="21" t="str">
        <f aca="false">IF(R364=0,COUNTIF($R$2:R364,0),"")</f>
        <v/>
      </c>
    </row>
    <row r="365" customFormat="false" ht="15" hidden="false" customHeight="false" outlineLevel="0" collapsed="false">
      <c r="A365" s="21" t="n">
        <v>364</v>
      </c>
      <c r="B365" s="22" t="s">
        <v>2928</v>
      </c>
      <c r="C365" s="23" t="s">
        <v>2929</v>
      </c>
      <c r="D365" s="23" t="s">
        <v>2930</v>
      </c>
      <c r="E365" s="23" t="s">
        <v>2931</v>
      </c>
      <c r="F365" s="22" t="s">
        <v>2932</v>
      </c>
      <c r="G365" s="22" t="s">
        <v>2933</v>
      </c>
      <c r="H365" s="22" t="s">
        <v>2934</v>
      </c>
      <c r="I365" s="23" t="s">
        <v>2935</v>
      </c>
      <c r="J365" s="24" t="str">
        <f aca="false">IFERROR(VLOOKUP(VALUE(LEFT(C365,2)),Справочники!$A$2:$B$16,2,FALSE()),"не определён")</f>
        <v>г. Москва</v>
      </c>
      <c r="K365" s="24" t="str">
        <f aca="false">IF(TRIM(C365)="","ИНН не указан",IF(LEN(C365)&lt;&gt;10,"ИНН: должно быть 10 цифр",IF(NOT(ISNUMBER(IFERROR(VALUE(C365),"x"))),"ИНН: есть нецифровые символы",IF(MOD(MOD(SUMPRODUCT(--MID(C365,{1,2,3,4,5,6,7,8,9},1),{2,4,10,3,5,9,4,6,8}),11),10)=VALUE(RIGHT(C365,1)),"","ИНН: неверная контрольная цифра"))))</f>
        <v/>
      </c>
      <c r="L365" s="24" t="str">
        <f aca="false">IF(TRIM(D365)="","ОГРН не указан",IF(LEN(D365)&lt;&gt;13,"ОГРН: должно быть 13 цифр",IF(NOT(ISNUMBER(IFERROR(VALUE(D365),"x"))),"ОГРН: есть нецифровые символы",IF(MOD(VALUE(LEFT(D365,12))-11*INT(VALUE(LEFT(D365,12))/11),10)=VALUE(RIGHT(D365,1)),"","ОГРН: неверная контрольная цифра"))))</f>
        <v/>
      </c>
      <c r="M365" s="24" t="str">
        <f aca="false">IF(TRIM(E365)="","КПП не указан",IF(LEN(E365)&lt;&gt;9,"КПП: должно быть 9 знаков",IF(NOT(AND(ISNUMBER(IFERROR(VALUE(LEFT(E365,4)),"x")),ISNUMBER(IFERROR(VALUE(RIGHT(E365,3)),"x")))),"КПП: неверный формат",IF(LEFT(E365,2)&lt;&gt;LEFT(C365,2),"КПП: код региона не совпадает с ИНН",""))))</f>
        <v/>
      </c>
      <c r="N365" s="24" t="str">
        <f aca="false">IF(TRIM(C365)="","",IF(COUNTIF($C$2:$C$401,C365)&gt;1,"Дубликат ИНН в реестре",""))</f>
        <v/>
      </c>
      <c r="O365" s="24" t="str">
        <f aca="false">IF(TRIM(H365)="","Email не указан",IF(AND(ISNUMBER(FIND("@",H365)),ISNUMBER(FIND(".",H365,IFERROR(FIND("@",H365),1))),ISERROR(FIND(" ",H365)),LEFT(H365,1)&lt;&gt;"@",RIGHT(H365,1)&lt;&gt;".",LEN(H365)-LEN(SUBSTITUTE(H365,"@",""))=1),"","Email: неверный формат"))</f>
        <v/>
      </c>
      <c r="P365" s="24" t="str">
        <f aca="false">IF(TRIM(I365)="","Телефон не указан",IF(AND(LEN(SUBSTITUTE(SUBSTITUTE(SUBSTITUTE(SUBSTITUTE(SUBSTITUTE(I365," ",""),"-",""),"(",""),")",""),"+",""))=11,OR(LEFT(SUBSTITUTE(SUBSTITUTE(SUBSTITUTE(SUBSTITUTE(SUBSTITUTE(I365," ",""),"-",""),"(",""),")",""),"+",""),1)="7",LEFT(SUBSTITUTE(SUBSTITUTE(SUBSTITUTE(SUBSTITUTE(SUBSTITUTE(I365," ",""),"-",""),"(",""),")",""),"+",""),1)="8"),ISNUMBER(IFERROR(VALUE(SUBSTITUTE(SUBSTITUTE(SUBSTITUTE(SUBSTITUTE(SUBSTITUTE(I365," ",""),"-",""),"(",""),")",""),"+","")),"x"))),"","Телефон: неверный формат"))</f>
        <v/>
      </c>
      <c r="Q365" s="24" t="str">
        <f aca="false">TRIM(IF(TRIM(B365)="","Нет наименования. ","")&amp;IF(TRIM(F365)="","Нет адреса. ","")&amp;IF(TRIM(G365)="","Нет контактного лица.",""))</f>
        <v/>
      </c>
      <c r="R365" s="21" t="n">
        <f aca="false">SUMPRODUCT(--(LEN(K365:Q365)&gt;0))</f>
        <v>0</v>
      </c>
      <c r="S365" s="24" t="str">
        <f aca="false">IF(R365=0,"Готово к передаче","Требует исправления")</f>
        <v>Готово к передаче</v>
      </c>
      <c r="T365" s="24" t="str">
        <f aca="false">IF(R365=0,"",_xlfn.TEXTJOIN("; ",TRUE(),K365:Q365))</f>
        <v/>
      </c>
      <c r="U365" s="24" t="str">
        <f aca="false">IF(R365=0,"","Здравствуйте! В данных организации «"&amp;B365&amp;"» обнаружены ошибки: "&amp;T365&amp;". Просим проверить и прислать исправленную информацию.")</f>
        <v/>
      </c>
      <c r="V365" s="21" t="str">
        <f aca="false">IF(R365&gt;0,COUNTIF($R$2:R365,"&gt;0"),"")</f>
        <v/>
      </c>
      <c r="W365" s="21" t="n">
        <f aca="false">IF(R365=0,COUNTIF($R$2:R365,0),"")</f>
        <v>259</v>
      </c>
    </row>
    <row r="366" customFormat="false" ht="15" hidden="false" customHeight="false" outlineLevel="0" collapsed="false">
      <c r="A366" s="21" t="n">
        <v>365</v>
      </c>
      <c r="B366" s="22" t="s">
        <v>2936</v>
      </c>
      <c r="C366" s="23" t="s">
        <v>2937</v>
      </c>
      <c r="D366" s="23" t="s">
        <v>2938</v>
      </c>
      <c r="E366" s="23" t="s">
        <v>2939</v>
      </c>
      <c r="F366" s="22"/>
      <c r="G366" s="22" t="s">
        <v>2940</v>
      </c>
      <c r="H366" s="22" t="s">
        <v>2941</v>
      </c>
      <c r="I366" s="23" t="s">
        <v>2942</v>
      </c>
      <c r="J366" s="24" t="str">
        <f aca="false">IFERROR(VLOOKUP(VALUE(LEFT(C366,2)),Справочники!$A$2:$B$16,2,FALSE()),"не определён")</f>
        <v>Московская область</v>
      </c>
      <c r="K366" s="24" t="str">
        <f aca="false">IF(TRIM(C366)="","ИНН не указан",IF(LEN(C366)&lt;&gt;10,"ИНН: должно быть 10 цифр",IF(NOT(ISNUMBER(IFERROR(VALUE(C366),"x"))),"ИНН: есть нецифровые символы",IF(MOD(MOD(SUMPRODUCT(--MID(C366,{1,2,3,4,5,6,7,8,9},1),{2,4,10,3,5,9,4,6,8}),11),10)=VALUE(RIGHT(C366,1)),"","ИНН: неверная контрольная цифра"))))</f>
        <v/>
      </c>
      <c r="L366" s="24" t="str">
        <f aca="false">IF(TRIM(D366)="","ОГРН не указан",IF(LEN(D366)&lt;&gt;13,"ОГРН: должно быть 13 цифр",IF(NOT(ISNUMBER(IFERROR(VALUE(D366),"x"))),"ОГРН: есть нецифровые символы",IF(MOD(VALUE(LEFT(D366,12))-11*INT(VALUE(LEFT(D366,12))/11),10)=VALUE(RIGHT(D366,1)),"","ОГРН: неверная контрольная цифра"))))</f>
        <v/>
      </c>
      <c r="M366" s="24" t="str">
        <f aca="false">IF(TRIM(E366)="","КПП не указан",IF(LEN(E366)&lt;&gt;9,"КПП: должно быть 9 знаков",IF(NOT(AND(ISNUMBER(IFERROR(VALUE(LEFT(E366,4)),"x")),ISNUMBER(IFERROR(VALUE(RIGHT(E366,3)),"x")))),"КПП: неверный формат",IF(LEFT(E366,2)&lt;&gt;LEFT(C366,2),"КПП: код региона не совпадает с ИНН",""))))</f>
        <v/>
      </c>
      <c r="N366" s="24" t="str">
        <f aca="false">IF(TRIM(C366)="","",IF(COUNTIF($C$2:$C$401,C366)&gt;1,"Дубликат ИНН в реестре",""))</f>
        <v/>
      </c>
      <c r="O366" s="24" t="str">
        <f aca="false">IF(TRIM(H366)="","Email не указан",IF(AND(ISNUMBER(FIND("@",H366)),ISNUMBER(FIND(".",H366,IFERROR(FIND("@",H366),1))),ISERROR(FIND(" ",H366)),LEFT(H366,1)&lt;&gt;"@",RIGHT(H366,1)&lt;&gt;".",LEN(H366)-LEN(SUBSTITUTE(H366,"@",""))=1),"","Email: неверный формат"))</f>
        <v/>
      </c>
      <c r="P366" s="24" t="str">
        <f aca="false">IF(TRIM(I366)="","Телефон не указан",IF(AND(LEN(SUBSTITUTE(SUBSTITUTE(SUBSTITUTE(SUBSTITUTE(SUBSTITUTE(I366," ",""),"-",""),"(",""),")",""),"+",""))=11,OR(LEFT(SUBSTITUTE(SUBSTITUTE(SUBSTITUTE(SUBSTITUTE(SUBSTITUTE(I366," ",""),"-",""),"(",""),")",""),"+",""),1)="7",LEFT(SUBSTITUTE(SUBSTITUTE(SUBSTITUTE(SUBSTITUTE(SUBSTITUTE(I366," ",""),"-",""),"(",""),")",""),"+",""),1)="8"),ISNUMBER(IFERROR(VALUE(SUBSTITUTE(SUBSTITUTE(SUBSTITUTE(SUBSTITUTE(SUBSTITUTE(I366," ",""),"-",""),"(",""),")",""),"+","")),"x"))),"","Телефон: неверный формат"))</f>
        <v/>
      </c>
      <c r="Q366" s="24" t="str">
        <f aca="false">TRIM(IF(TRIM(B366)="","Нет наименования. ","")&amp;IF(TRIM(F366)="","Нет адреса. ","")&amp;IF(TRIM(G366)="","Нет контактного лица.",""))</f>
        <v>Нет адреса.</v>
      </c>
      <c r="R366" s="21" t="n">
        <f aca="false">SUMPRODUCT(--(LEN(K366:Q366)&gt;0))</f>
        <v>1</v>
      </c>
      <c r="S366" s="24" t="str">
        <f aca="false">IF(R366=0,"Готово к передаче","Требует исправления")</f>
        <v>Требует исправления</v>
      </c>
      <c r="T366" s="24" t="str">
        <f aca="false">IF(R366=0,"",_xlfn.TEXTJOIN("; ",TRUE(),K366:Q366))</f>
        <v>Нет адреса.</v>
      </c>
      <c r="U366" s="24" t="str">
        <f aca="false">IF(R366=0,"","Здравствуйте! В данных организации «"&amp;B366&amp;"» обнаружены ошибки: "&amp;T366&amp;". Просим проверить и прислать исправленную информацию.")</f>
        <v>Здравствуйте! В данных организации «АО «Навигатор Трейд»» обнаружены ошибки: Нет адреса.. Просим проверить и прислать исправленную информацию.</v>
      </c>
      <c r="V366" s="21" t="n">
        <f aca="false">IF(R366&gt;0,COUNTIF($R$2:R366,"&gt;0"),"")</f>
        <v>106</v>
      </c>
      <c r="W366" s="21" t="str">
        <f aca="false">IF(R366=0,COUNTIF($R$2:R366,0),"")</f>
        <v/>
      </c>
    </row>
    <row r="367" customFormat="false" ht="15" hidden="false" customHeight="false" outlineLevel="0" collapsed="false">
      <c r="A367" s="21" t="n">
        <v>366</v>
      </c>
      <c r="B367" s="22" t="s">
        <v>2943</v>
      </c>
      <c r="C367" s="23" t="s">
        <v>2944</v>
      </c>
      <c r="D367" s="23" t="s">
        <v>2945</v>
      </c>
      <c r="E367" s="23" t="s">
        <v>2946</v>
      </c>
      <c r="F367" s="22" t="s">
        <v>2947</v>
      </c>
      <c r="G367" s="22" t="s">
        <v>2948</v>
      </c>
      <c r="H367" s="22" t="s">
        <v>2949</v>
      </c>
      <c r="I367" s="23" t="s">
        <v>2950</v>
      </c>
      <c r="J367" s="24" t="str">
        <f aca="false">IFERROR(VLOOKUP(VALUE(LEFT(C367,2)),Справочники!$A$2:$B$16,2,FALSE()),"не определён")</f>
        <v>г. Москва</v>
      </c>
      <c r="K367" s="24" t="str">
        <f aca="false">IF(TRIM(C367)="","ИНН не указан",IF(LEN(C367)&lt;&gt;10,"ИНН: должно быть 10 цифр",IF(NOT(ISNUMBER(IFERROR(VALUE(C367),"x"))),"ИНН: есть нецифровые символы",IF(MOD(MOD(SUMPRODUCT(--MID(C367,{1,2,3,4,5,6,7,8,9},1),{2,4,10,3,5,9,4,6,8}),11),10)=VALUE(RIGHT(C367,1)),"","ИНН: неверная контрольная цифра"))))</f>
        <v/>
      </c>
      <c r="L367" s="24" t="str">
        <f aca="false">IF(TRIM(D367)="","ОГРН не указан",IF(LEN(D367)&lt;&gt;13,"ОГРН: должно быть 13 цифр",IF(NOT(ISNUMBER(IFERROR(VALUE(D367),"x"))),"ОГРН: есть нецифровые символы",IF(MOD(VALUE(LEFT(D367,12))-11*INT(VALUE(LEFT(D367,12))/11),10)=VALUE(RIGHT(D367,1)),"","ОГРН: неверная контрольная цифра"))))</f>
        <v/>
      </c>
      <c r="M367" s="24" t="str">
        <f aca="false">IF(TRIM(E367)="","КПП не указан",IF(LEN(E367)&lt;&gt;9,"КПП: должно быть 9 знаков",IF(NOT(AND(ISNUMBER(IFERROR(VALUE(LEFT(E367,4)),"x")),ISNUMBER(IFERROR(VALUE(RIGHT(E367,3)),"x")))),"КПП: неверный формат",IF(LEFT(E367,2)&lt;&gt;LEFT(C367,2),"КПП: код региона не совпадает с ИНН",""))))</f>
        <v/>
      </c>
      <c r="N367" s="24" t="str">
        <f aca="false">IF(TRIM(C367)="","",IF(COUNTIF($C$2:$C$401,C367)&gt;1,"Дубликат ИНН в реестре",""))</f>
        <v/>
      </c>
      <c r="O367" s="24" t="str">
        <f aca="false">IF(TRIM(H367)="","Email не указан",IF(AND(ISNUMBER(FIND("@",H367)),ISNUMBER(FIND(".",H367,IFERROR(FIND("@",H367),1))),ISERROR(FIND(" ",H367)),LEFT(H367,1)&lt;&gt;"@",RIGHT(H367,1)&lt;&gt;".",LEN(H367)-LEN(SUBSTITUTE(H367,"@",""))=1),"","Email: неверный формат"))</f>
        <v/>
      </c>
      <c r="P367" s="24" t="str">
        <f aca="false">IF(TRIM(I367)="","Телефон не указан",IF(AND(LEN(SUBSTITUTE(SUBSTITUTE(SUBSTITUTE(SUBSTITUTE(SUBSTITUTE(I367," ",""),"-",""),"(",""),")",""),"+",""))=11,OR(LEFT(SUBSTITUTE(SUBSTITUTE(SUBSTITUTE(SUBSTITUTE(SUBSTITUTE(I367," ",""),"-",""),"(",""),")",""),"+",""),1)="7",LEFT(SUBSTITUTE(SUBSTITUTE(SUBSTITUTE(SUBSTITUTE(SUBSTITUTE(I367," ",""),"-",""),"(",""),")",""),"+",""),1)="8"),ISNUMBER(IFERROR(VALUE(SUBSTITUTE(SUBSTITUTE(SUBSTITUTE(SUBSTITUTE(SUBSTITUTE(I367," ",""),"-",""),"(",""),")",""),"+","")),"x"))),"","Телефон: неверный формат"))</f>
        <v/>
      </c>
      <c r="Q367" s="24" t="str">
        <f aca="false">TRIM(IF(TRIM(B367)="","Нет наименования. ","")&amp;IF(TRIM(F367)="","Нет адреса. ","")&amp;IF(TRIM(G367)="","Нет контактного лица.",""))</f>
        <v/>
      </c>
      <c r="R367" s="21" t="n">
        <f aca="false">SUMPRODUCT(--(LEN(K367:Q367)&gt;0))</f>
        <v>0</v>
      </c>
      <c r="S367" s="24" t="str">
        <f aca="false">IF(R367=0,"Готово к передаче","Требует исправления")</f>
        <v>Готово к передаче</v>
      </c>
      <c r="T367" s="24" t="str">
        <f aca="false">IF(R367=0,"",_xlfn.TEXTJOIN("; ",TRUE(),K367:Q367))</f>
        <v/>
      </c>
      <c r="U367" s="24" t="str">
        <f aca="false">IF(R367=0,"","Здравствуйте! В данных организации «"&amp;B367&amp;"» обнаружены ошибки: "&amp;T367&amp;". Просим проверить и прислать исправленную информацию.")</f>
        <v/>
      </c>
      <c r="V367" s="21" t="str">
        <f aca="false">IF(R367&gt;0,COUNTIF($R$2:R367,"&gt;0"),"")</f>
        <v/>
      </c>
      <c r="W367" s="21" t="n">
        <f aca="false">IF(R367=0,COUNTIF($R$2:R367,0),"")</f>
        <v>260</v>
      </c>
    </row>
    <row r="368" customFormat="false" ht="15" hidden="false" customHeight="false" outlineLevel="0" collapsed="false">
      <c r="A368" s="21" t="n">
        <v>367</v>
      </c>
      <c r="B368" s="22" t="s">
        <v>2951</v>
      </c>
      <c r="C368" s="23" t="s">
        <v>2952</v>
      </c>
      <c r="D368" s="23" t="s">
        <v>2953</v>
      </c>
      <c r="E368" s="23" t="s">
        <v>2954</v>
      </c>
      <c r="F368" s="22" t="s">
        <v>2955</v>
      </c>
      <c r="G368" s="22" t="s">
        <v>2956</v>
      </c>
      <c r="H368" s="22" t="s">
        <v>2957</v>
      </c>
      <c r="I368" s="23" t="s">
        <v>2958</v>
      </c>
      <c r="J368" s="24" t="str">
        <f aca="false">IFERROR(VLOOKUP(VALUE(LEFT(C368,2)),Справочники!$A$2:$B$16,2,FALSE()),"не определён")</f>
        <v>Свердловская область</v>
      </c>
      <c r="K368" s="24" t="str">
        <f aca="false">IF(TRIM(C368)="","ИНН не указан",IF(LEN(C368)&lt;&gt;10,"ИНН: должно быть 10 цифр",IF(NOT(ISNUMBER(IFERROR(VALUE(C368),"x"))),"ИНН: есть нецифровые символы",IF(MOD(MOD(SUMPRODUCT(--MID(C368,{1,2,3,4,5,6,7,8,9},1),{2,4,10,3,5,9,4,6,8}),11),10)=VALUE(RIGHT(C368,1)),"","ИНН: неверная контрольная цифра"))))</f>
        <v/>
      </c>
      <c r="L368" s="24" t="str">
        <f aca="false">IF(TRIM(D368)="","ОГРН не указан",IF(LEN(D368)&lt;&gt;13,"ОГРН: должно быть 13 цифр",IF(NOT(ISNUMBER(IFERROR(VALUE(D368),"x"))),"ОГРН: есть нецифровые символы",IF(MOD(VALUE(LEFT(D368,12))-11*INT(VALUE(LEFT(D368,12))/11),10)=VALUE(RIGHT(D368,1)),"","ОГРН: неверная контрольная цифра"))))</f>
        <v/>
      </c>
      <c r="M368" s="24" t="str">
        <f aca="false">IF(TRIM(E368)="","КПП не указан",IF(LEN(E368)&lt;&gt;9,"КПП: должно быть 9 знаков",IF(NOT(AND(ISNUMBER(IFERROR(VALUE(LEFT(E368,4)),"x")),ISNUMBER(IFERROR(VALUE(RIGHT(E368,3)),"x")))),"КПП: неверный формат",IF(LEFT(E368,2)&lt;&gt;LEFT(C368,2),"КПП: код региона не совпадает с ИНН",""))))</f>
        <v/>
      </c>
      <c r="N368" s="24" t="str">
        <f aca="false">IF(TRIM(C368)="","",IF(COUNTIF($C$2:$C$401,C368)&gt;1,"Дубликат ИНН в реестре",""))</f>
        <v/>
      </c>
      <c r="O368" s="24" t="str">
        <f aca="false">IF(TRIM(H368)="","Email не указан",IF(AND(ISNUMBER(FIND("@",H368)),ISNUMBER(FIND(".",H368,IFERROR(FIND("@",H368),1))),ISERROR(FIND(" ",H368)),LEFT(H368,1)&lt;&gt;"@",RIGHT(H368,1)&lt;&gt;".",LEN(H368)-LEN(SUBSTITUTE(H368,"@",""))=1),"","Email: неверный формат"))</f>
        <v/>
      </c>
      <c r="P368" s="24" t="str">
        <f aca="false">IF(TRIM(I368)="","Телефон не указан",IF(AND(LEN(SUBSTITUTE(SUBSTITUTE(SUBSTITUTE(SUBSTITUTE(SUBSTITUTE(I368," ",""),"-",""),"(",""),")",""),"+",""))=11,OR(LEFT(SUBSTITUTE(SUBSTITUTE(SUBSTITUTE(SUBSTITUTE(SUBSTITUTE(I368," ",""),"-",""),"(",""),")",""),"+",""),1)="7",LEFT(SUBSTITUTE(SUBSTITUTE(SUBSTITUTE(SUBSTITUTE(SUBSTITUTE(I368," ",""),"-",""),"(",""),")",""),"+",""),1)="8"),ISNUMBER(IFERROR(VALUE(SUBSTITUTE(SUBSTITUTE(SUBSTITUTE(SUBSTITUTE(SUBSTITUTE(I368," ",""),"-",""),"(",""),")",""),"+","")),"x"))),"","Телефон: неверный формат"))</f>
        <v/>
      </c>
      <c r="Q368" s="24" t="str">
        <f aca="false">TRIM(IF(TRIM(B368)="","Нет наименования. ","")&amp;IF(TRIM(F368)="","Нет адреса. ","")&amp;IF(TRIM(G368)="","Нет контактного лица.",""))</f>
        <v/>
      </c>
      <c r="R368" s="21" t="n">
        <f aca="false">SUMPRODUCT(--(LEN(K368:Q368)&gt;0))</f>
        <v>0</v>
      </c>
      <c r="S368" s="24" t="str">
        <f aca="false">IF(R368=0,"Готово к передаче","Требует исправления")</f>
        <v>Готово к передаче</v>
      </c>
      <c r="T368" s="24" t="str">
        <f aca="false">IF(R368=0,"",_xlfn.TEXTJOIN("; ",TRUE(),K368:Q368))</f>
        <v/>
      </c>
      <c r="U368" s="24" t="str">
        <f aca="false">IF(R368=0,"","Здравствуйте! В данных организации «"&amp;B368&amp;"» обнаружены ошибки: "&amp;T368&amp;". Просим проверить и прислать исправленную информацию.")</f>
        <v/>
      </c>
      <c r="V368" s="21" t="str">
        <f aca="false">IF(R368&gt;0,COUNTIF($R$2:R368,"&gt;0"),"")</f>
        <v/>
      </c>
      <c r="W368" s="21" t="n">
        <f aca="false">IF(R368=0,COUNTIF($R$2:R368,0),"")</f>
        <v>261</v>
      </c>
    </row>
    <row r="369" customFormat="false" ht="15" hidden="false" customHeight="false" outlineLevel="0" collapsed="false">
      <c r="A369" s="21" t="n">
        <v>368</v>
      </c>
      <c r="B369" s="22" t="s">
        <v>2959</v>
      </c>
      <c r="C369" s="23" t="s">
        <v>2960</v>
      </c>
      <c r="D369" s="23" t="s">
        <v>2961</v>
      </c>
      <c r="E369" s="23" t="s">
        <v>2962</v>
      </c>
      <c r="F369" s="22" t="s">
        <v>2963</v>
      </c>
      <c r="G369" s="22" t="s">
        <v>2964</v>
      </c>
      <c r="H369" s="22" t="s">
        <v>2965</v>
      </c>
      <c r="I369" s="23" t="s">
        <v>2966</v>
      </c>
      <c r="J369" s="24" t="str">
        <f aca="false">IFERROR(VLOOKUP(VALUE(LEFT(C369,2)),Справочники!$A$2:$B$16,2,FALSE()),"не определён")</f>
        <v>Новосибирская область</v>
      </c>
      <c r="K369" s="24" t="str">
        <f aca="false">IF(TRIM(C369)="","ИНН не указан",IF(LEN(C369)&lt;&gt;10,"ИНН: должно быть 10 цифр",IF(NOT(ISNUMBER(IFERROR(VALUE(C369),"x"))),"ИНН: есть нецифровые символы",IF(MOD(MOD(SUMPRODUCT(--MID(C369,{1,2,3,4,5,6,7,8,9},1),{2,4,10,3,5,9,4,6,8}),11),10)=VALUE(RIGHT(C369,1)),"","ИНН: неверная контрольная цифра"))))</f>
        <v/>
      </c>
      <c r="L369" s="24" t="str">
        <f aca="false">IF(TRIM(D369)="","ОГРН не указан",IF(LEN(D369)&lt;&gt;13,"ОГРН: должно быть 13 цифр",IF(NOT(ISNUMBER(IFERROR(VALUE(D369),"x"))),"ОГРН: есть нецифровые символы",IF(MOD(VALUE(LEFT(D369,12))-11*INT(VALUE(LEFT(D369,12))/11),10)=VALUE(RIGHT(D369,1)),"","ОГРН: неверная контрольная цифра"))))</f>
        <v/>
      </c>
      <c r="M369" s="24" t="str">
        <f aca="false">IF(TRIM(E369)="","КПП не указан",IF(LEN(E369)&lt;&gt;9,"КПП: должно быть 9 знаков",IF(NOT(AND(ISNUMBER(IFERROR(VALUE(LEFT(E369,4)),"x")),ISNUMBER(IFERROR(VALUE(RIGHT(E369,3)),"x")))),"КПП: неверный формат",IF(LEFT(E369,2)&lt;&gt;LEFT(C369,2),"КПП: код региона не совпадает с ИНН",""))))</f>
        <v/>
      </c>
      <c r="N369" s="24" t="str">
        <f aca="false">IF(TRIM(C369)="","",IF(COUNTIF($C$2:$C$401,C369)&gt;1,"Дубликат ИНН в реестре",""))</f>
        <v/>
      </c>
      <c r="O369" s="24" t="str">
        <f aca="false">IF(TRIM(H369)="","Email не указан",IF(AND(ISNUMBER(FIND("@",H369)),ISNUMBER(FIND(".",H369,IFERROR(FIND("@",H369),1))),ISERROR(FIND(" ",H369)),LEFT(H369,1)&lt;&gt;"@",RIGHT(H369,1)&lt;&gt;".",LEN(H369)-LEN(SUBSTITUTE(H369,"@",""))=1),"","Email: неверный формат"))</f>
        <v/>
      </c>
      <c r="P369" s="24" t="str">
        <f aca="false">IF(TRIM(I369)="","Телефон не указан",IF(AND(LEN(SUBSTITUTE(SUBSTITUTE(SUBSTITUTE(SUBSTITUTE(SUBSTITUTE(I369," ",""),"-",""),"(",""),")",""),"+",""))=11,OR(LEFT(SUBSTITUTE(SUBSTITUTE(SUBSTITUTE(SUBSTITUTE(SUBSTITUTE(I369," ",""),"-",""),"(",""),")",""),"+",""),1)="7",LEFT(SUBSTITUTE(SUBSTITUTE(SUBSTITUTE(SUBSTITUTE(SUBSTITUTE(I369," ",""),"-",""),"(",""),")",""),"+",""),1)="8"),ISNUMBER(IFERROR(VALUE(SUBSTITUTE(SUBSTITUTE(SUBSTITUTE(SUBSTITUTE(SUBSTITUTE(I369," ",""),"-",""),"(",""),")",""),"+","")),"x"))),"","Телефон: неверный формат"))</f>
        <v/>
      </c>
      <c r="Q369" s="24" t="str">
        <f aca="false">TRIM(IF(TRIM(B369)="","Нет наименования. ","")&amp;IF(TRIM(F369)="","Нет адреса. ","")&amp;IF(TRIM(G369)="","Нет контактного лица.",""))</f>
        <v/>
      </c>
      <c r="R369" s="21" t="n">
        <f aca="false">SUMPRODUCT(--(LEN(K369:Q369)&gt;0))</f>
        <v>0</v>
      </c>
      <c r="S369" s="24" t="str">
        <f aca="false">IF(R369=0,"Готово к передаче","Требует исправления")</f>
        <v>Готово к передаче</v>
      </c>
      <c r="T369" s="24" t="str">
        <f aca="false">IF(R369=0,"",_xlfn.TEXTJOIN("; ",TRUE(),K369:Q369))</f>
        <v/>
      </c>
      <c r="U369" s="24" t="str">
        <f aca="false">IF(R369=0,"","Здравствуйте! В данных организации «"&amp;B369&amp;"» обнаружены ошибки: "&amp;T369&amp;". Просим проверить и прислать исправленную информацию.")</f>
        <v/>
      </c>
      <c r="V369" s="21" t="str">
        <f aca="false">IF(R369&gt;0,COUNTIF($R$2:R369,"&gt;0"),"")</f>
        <v/>
      </c>
      <c r="W369" s="21" t="n">
        <f aca="false">IF(R369=0,COUNTIF($R$2:R369,0),"")</f>
        <v>262</v>
      </c>
    </row>
    <row r="370" customFormat="false" ht="15" hidden="false" customHeight="false" outlineLevel="0" collapsed="false">
      <c r="A370" s="21" t="n">
        <v>369</v>
      </c>
      <c r="B370" s="22" t="s">
        <v>2967</v>
      </c>
      <c r="C370" s="23" t="s">
        <v>2968</v>
      </c>
      <c r="D370" s="23" t="s">
        <v>2969</v>
      </c>
      <c r="E370" s="23" t="s">
        <v>2970</v>
      </c>
      <c r="F370" s="22" t="s">
        <v>2971</v>
      </c>
      <c r="G370" s="22" t="s">
        <v>2972</v>
      </c>
      <c r="H370" s="22" t="s">
        <v>2973</v>
      </c>
      <c r="I370" s="23" t="s">
        <v>2974</v>
      </c>
      <c r="J370" s="24" t="str">
        <f aca="false">IFERROR(VLOOKUP(VALUE(LEFT(C370,2)),Справочники!$A$2:$B$16,2,FALSE()),"не определён")</f>
        <v>г. Москва</v>
      </c>
      <c r="K370" s="24" t="str">
        <f aca="false">IF(TRIM(C370)="","ИНН не указан",IF(LEN(C370)&lt;&gt;10,"ИНН: должно быть 10 цифр",IF(NOT(ISNUMBER(IFERROR(VALUE(C370),"x"))),"ИНН: есть нецифровые символы",IF(MOD(MOD(SUMPRODUCT(--MID(C370,{1,2,3,4,5,6,7,8,9},1),{2,4,10,3,5,9,4,6,8}),11),10)=VALUE(RIGHT(C370,1)),"","ИНН: неверная контрольная цифра"))))</f>
        <v/>
      </c>
      <c r="L370" s="24" t="str">
        <f aca="false">IF(TRIM(D370)="","ОГРН не указан",IF(LEN(D370)&lt;&gt;13,"ОГРН: должно быть 13 цифр",IF(NOT(ISNUMBER(IFERROR(VALUE(D370),"x"))),"ОГРН: есть нецифровые символы",IF(MOD(VALUE(LEFT(D370,12))-11*INT(VALUE(LEFT(D370,12))/11),10)=VALUE(RIGHT(D370,1)),"","ОГРН: неверная контрольная цифра"))))</f>
        <v/>
      </c>
      <c r="M370" s="24" t="str">
        <f aca="false">IF(TRIM(E370)="","КПП не указан",IF(LEN(E370)&lt;&gt;9,"КПП: должно быть 9 знаков",IF(NOT(AND(ISNUMBER(IFERROR(VALUE(LEFT(E370,4)),"x")),ISNUMBER(IFERROR(VALUE(RIGHT(E370,3)),"x")))),"КПП: неверный формат",IF(LEFT(E370,2)&lt;&gt;LEFT(C370,2),"КПП: код региона не совпадает с ИНН",""))))</f>
        <v/>
      </c>
      <c r="N370" s="24" t="str">
        <f aca="false">IF(TRIM(C370)="","",IF(COUNTIF($C$2:$C$401,C370)&gt;1,"Дубликат ИНН в реестре",""))</f>
        <v/>
      </c>
      <c r="O370" s="24" t="str">
        <f aca="false">IF(TRIM(H370)="","Email не указан",IF(AND(ISNUMBER(FIND("@",H370)),ISNUMBER(FIND(".",H370,IFERROR(FIND("@",H370),1))),ISERROR(FIND(" ",H370)),LEFT(H370,1)&lt;&gt;"@",RIGHT(H370,1)&lt;&gt;".",LEN(H370)-LEN(SUBSTITUTE(H370,"@",""))=1),"","Email: неверный формат"))</f>
        <v/>
      </c>
      <c r="P370" s="24" t="str">
        <f aca="false">IF(TRIM(I370)="","Телефон не указан",IF(AND(LEN(SUBSTITUTE(SUBSTITUTE(SUBSTITUTE(SUBSTITUTE(SUBSTITUTE(I370," ",""),"-",""),"(",""),")",""),"+",""))=11,OR(LEFT(SUBSTITUTE(SUBSTITUTE(SUBSTITUTE(SUBSTITUTE(SUBSTITUTE(I370," ",""),"-",""),"(",""),")",""),"+",""),1)="7",LEFT(SUBSTITUTE(SUBSTITUTE(SUBSTITUTE(SUBSTITUTE(SUBSTITUTE(I370," ",""),"-",""),"(",""),")",""),"+",""),1)="8"),ISNUMBER(IFERROR(VALUE(SUBSTITUTE(SUBSTITUTE(SUBSTITUTE(SUBSTITUTE(SUBSTITUTE(I370," ",""),"-",""),"(",""),")",""),"+","")),"x"))),"","Телефон: неверный формат"))</f>
        <v/>
      </c>
      <c r="Q370" s="24" t="str">
        <f aca="false">TRIM(IF(TRIM(B370)="","Нет наименования. ","")&amp;IF(TRIM(F370)="","Нет адреса. ","")&amp;IF(TRIM(G370)="","Нет контактного лица.",""))</f>
        <v/>
      </c>
      <c r="R370" s="21" t="n">
        <f aca="false">SUMPRODUCT(--(LEN(K370:Q370)&gt;0))</f>
        <v>0</v>
      </c>
      <c r="S370" s="24" t="str">
        <f aca="false">IF(R370=0,"Готово к передаче","Требует исправления")</f>
        <v>Готово к передаче</v>
      </c>
      <c r="T370" s="24" t="str">
        <f aca="false">IF(R370=0,"",_xlfn.TEXTJOIN("; ",TRUE(),K370:Q370))</f>
        <v/>
      </c>
      <c r="U370" s="24" t="str">
        <f aca="false">IF(R370=0,"","Здравствуйте! В данных организации «"&amp;B370&amp;"» обнаружены ошибки: "&amp;T370&amp;". Просим проверить и прислать исправленную информацию.")</f>
        <v/>
      </c>
      <c r="V370" s="21" t="str">
        <f aca="false">IF(R370&gt;0,COUNTIF($R$2:R370,"&gt;0"),"")</f>
        <v/>
      </c>
      <c r="W370" s="21" t="n">
        <f aca="false">IF(R370=0,COUNTIF($R$2:R370,0),"")</f>
        <v>263</v>
      </c>
    </row>
    <row r="371" customFormat="false" ht="15" hidden="false" customHeight="false" outlineLevel="0" collapsed="false">
      <c r="A371" s="21" t="n">
        <v>370</v>
      </c>
      <c r="B371" s="22" t="s">
        <v>2975</v>
      </c>
      <c r="C371" s="23" t="s">
        <v>2976</v>
      </c>
      <c r="D371" s="23" t="s">
        <v>2977</v>
      </c>
      <c r="E371" s="23" t="s">
        <v>2978</v>
      </c>
      <c r="F371" s="22" t="s">
        <v>2979</v>
      </c>
      <c r="G371" s="22" t="s">
        <v>2980</v>
      </c>
      <c r="H371" s="22" t="s">
        <v>2981</v>
      </c>
      <c r="I371" s="23" t="s">
        <v>2982</v>
      </c>
      <c r="J371" s="24" t="str">
        <f aca="false">IFERROR(VLOOKUP(VALUE(LEFT(C371,2)),Справочники!$A$2:$B$16,2,FALSE()),"не определён")</f>
        <v>г. Москва</v>
      </c>
      <c r="K371" s="24" t="str">
        <f aca="false">IF(TRIM(C371)="","ИНН не указан",IF(LEN(C371)&lt;&gt;10,"ИНН: должно быть 10 цифр",IF(NOT(ISNUMBER(IFERROR(VALUE(C371),"x"))),"ИНН: есть нецифровые символы",IF(MOD(MOD(SUMPRODUCT(--MID(C371,{1,2,3,4,5,6,7,8,9},1),{2,4,10,3,5,9,4,6,8}),11),10)=VALUE(RIGHT(C371,1)),"","ИНН: неверная контрольная цифра"))))</f>
        <v>ИНН: неверная контрольная цифра</v>
      </c>
      <c r="L371" s="24" t="str">
        <f aca="false">IF(TRIM(D371)="","ОГРН не указан",IF(LEN(D371)&lt;&gt;13,"ОГРН: должно быть 13 цифр",IF(NOT(ISNUMBER(IFERROR(VALUE(D371),"x"))),"ОГРН: есть нецифровые символы",IF(MOD(VALUE(LEFT(D371,12))-11*INT(VALUE(LEFT(D371,12))/11),10)=VALUE(RIGHT(D371,1)),"","ОГРН: неверная контрольная цифра"))))</f>
        <v/>
      </c>
      <c r="M371" s="24" t="str">
        <f aca="false">IF(TRIM(E371)="","КПП не указан",IF(LEN(E371)&lt;&gt;9,"КПП: должно быть 9 знаков",IF(NOT(AND(ISNUMBER(IFERROR(VALUE(LEFT(E371,4)),"x")),ISNUMBER(IFERROR(VALUE(RIGHT(E371,3)),"x")))),"КПП: неверный формат",IF(LEFT(E371,2)&lt;&gt;LEFT(C371,2),"КПП: код региона не совпадает с ИНН",""))))</f>
        <v/>
      </c>
      <c r="N371" s="24" t="str">
        <f aca="false">IF(TRIM(C371)="","",IF(COUNTIF($C$2:$C$401,C371)&gt;1,"Дубликат ИНН в реестре",""))</f>
        <v/>
      </c>
      <c r="O371" s="24" t="str">
        <f aca="false">IF(TRIM(H371)="","Email не указан",IF(AND(ISNUMBER(FIND("@",H371)),ISNUMBER(FIND(".",H371,IFERROR(FIND("@",H371),1))),ISERROR(FIND(" ",H371)),LEFT(H371,1)&lt;&gt;"@",RIGHT(H371,1)&lt;&gt;".",LEN(H371)-LEN(SUBSTITUTE(H371,"@",""))=1),"","Email: неверный формат"))</f>
        <v/>
      </c>
      <c r="P371" s="24" t="str">
        <f aca="false">IF(TRIM(I371)="","Телефон не указан",IF(AND(LEN(SUBSTITUTE(SUBSTITUTE(SUBSTITUTE(SUBSTITUTE(SUBSTITUTE(I371," ",""),"-",""),"(",""),")",""),"+",""))=11,OR(LEFT(SUBSTITUTE(SUBSTITUTE(SUBSTITUTE(SUBSTITUTE(SUBSTITUTE(I371," ",""),"-",""),"(",""),")",""),"+",""),1)="7",LEFT(SUBSTITUTE(SUBSTITUTE(SUBSTITUTE(SUBSTITUTE(SUBSTITUTE(I371," ",""),"-",""),"(",""),")",""),"+",""),1)="8"),ISNUMBER(IFERROR(VALUE(SUBSTITUTE(SUBSTITUTE(SUBSTITUTE(SUBSTITUTE(SUBSTITUTE(I371," ",""),"-",""),"(",""),")",""),"+","")),"x"))),"","Телефон: неверный формат"))</f>
        <v/>
      </c>
      <c r="Q371" s="24" t="str">
        <f aca="false">TRIM(IF(TRIM(B371)="","Нет наименования. ","")&amp;IF(TRIM(F371)="","Нет адреса. ","")&amp;IF(TRIM(G371)="","Нет контактного лица.",""))</f>
        <v/>
      </c>
      <c r="R371" s="21" t="n">
        <f aca="false">SUMPRODUCT(--(LEN(K371:Q371)&gt;0))</f>
        <v>1</v>
      </c>
      <c r="S371" s="24" t="str">
        <f aca="false">IF(R371=0,"Готово к передаче","Требует исправления")</f>
        <v>Требует исправления</v>
      </c>
      <c r="T371" s="24" t="str">
        <f aca="false">IF(R371=0,"",_xlfn.TEXTJOIN("; ",TRUE(),K371:Q371))</f>
        <v>ИНН: неверная контрольная цифра</v>
      </c>
      <c r="U371" s="24" t="str">
        <f aca="false">IF(R371=0,"","Здравствуйте! В данных организации «"&amp;B371&amp;"» обнаружены ошибки: "&amp;T371&amp;". Просим проверить и прислать исправленную информацию.")</f>
        <v>Здравствуйте! В данных организации «АО «Меридиан Строй»» обнаружены ошибки: ИНН: неверная контрольная цифра. Просим проверить и прислать исправленную информацию.</v>
      </c>
      <c r="V371" s="21" t="n">
        <f aca="false">IF(R371&gt;0,COUNTIF($R$2:R371,"&gt;0"),"")</f>
        <v>107</v>
      </c>
      <c r="W371" s="21" t="str">
        <f aca="false">IF(R371=0,COUNTIF($R$2:R371,0),"")</f>
        <v/>
      </c>
    </row>
    <row r="372" customFormat="false" ht="15" hidden="false" customHeight="false" outlineLevel="0" collapsed="false">
      <c r="A372" s="21" t="n">
        <v>371</v>
      </c>
      <c r="B372" s="22" t="s">
        <v>2983</v>
      </c>
      <c r="C372" s="23" t="s">
        <v>2984</v>
      </c>
      <c r="D372" s="23" t="s">
        <v>2985</v>
      </c>
      <c r="E372" s="23" t="s">
        <v>2986</v>
      </c>
      <c r="F372" s="22" t="s">
        <v>2987</v>
      </c>
      <c r="G372" s="22" t="s">
        <v>2988</v>
      </c>
      <c r="H372" s="22" t="s">
        <v>2989</v>
      </c>
      <c r="I372" s="23" t="s">
        <v>2990</v>
      </c>
      <c r="J372" s="24" t="str">
        <f aca="false">IFERROR(VLOOKUP(VALUE(LEFT(C372,2)),Справочники!$A$2:$B$16,2,FALSE()),"не определён")</f>
        <v>Московская область</v>
      </c>
      <c r="K372" s="24" t="str">
        <f aca="false">IF(TRIM(C372)="","ИНН не указан",IF(LEN(C372)&lt;&gt;10,"ИНН: должно быть 10 цифр",IF(NOT(ISNUMBER(IFERROR(VALUE(C372),"x"))),"ИНН: есть нецифровые символы",IF(MOD(MOD(SUMPRODUCT(--MID(C372,{1,2,3,4,5,6,7,8,9},1),{2,4,10,3,5,9,4,6,8}),11),10)=VALUE(RIGHT(C372,1)),"","ИНН: неверная контрольная цифра"))))</f>
        <v/>
      </c>
      <c r="L372" s="24" t="str">
        <f aca="false">IF(TRIM(D372)="","ОГРН не указан",IF(LEN(D372)&lt;&gt;13,"ОГРН: должно быть 13 цифр",IF(NOT(ISNUMBER(IFERROR(VALUE(D372),"x"))),"ОГРН: есть нецифровые символы",IF(MOD(VALUE(LEFT(D372,12))-11*INT(VALUE(LEFT(D372,12))/11),10)=VALUE(RIGHT(D372,1)),"","ОГРН: неверная контрольная цифра"))))</f>
        <v/>
      </c>
      <c r="M372" s="24" t="str">
        <f aca="false">IF(TRIM(E372)="","КПП не указан",IF(LEN(E372)&lt;&gt;9,"КПП: должно быть 9 знаков",IF(NOT(AND(ISNUMBER(IFERROR(VALUE(LEFT(E372,4)),"x")),ISNUMBER(IFERROR(VALUE(RIGHT(E372,3)),"x")))),"КПП: неверный формат",IF(LEFT(E372,2)&lt;&gt;LEFT(C372,2),"КПП: код региона не совпадает с ИНН",""))))</f>
        <v/>
      </c>
      <c r="N372" s="24" t="str">
        <f aca="false">IF(TRIM(C372)="","",IF(COUNTIF($C$2:$C$401,C372)&gt;1,"Дубликат ИНН в реестре",""))</f>
        <v/>
      </c>
      <c r="O372" s="24" t="str">
        <f aca="false">IF(TRIM(H372)="","Email не указан",IF(AND(ISNUMBER(FIND("@",H372)),ISNUMBER(FIND(".",H372,IFERROR(FIND("@",H372),1))),ISERROR(FIND(" ",H372)),LEFT(H372,1)&lt;&gt;"@",RIGHT(H372,1)&lt;&gt;".",LEN(H372)-LEN(SUBSTITUTE(H372,"@",""))=1),"","Email: неверный формат"))</f>
        <v/>
      </c>
      <c r="P372" s="24" t="str">
        <f aca="false">IF(TRIM(I372)="","Телефон не указан",IF(AND(LEN(SUBSTITUTE(SUBSTITUTE(SUBSTITUTE(SUBSTITUTE(SUBSTITUTE(I372," ",""),"-",""),"(",""),")",""),"+",""))=11,OR(LEFT(SUBSTITUTE(SUBSTITUTE(SUBSTITUTE(SUBSTITUTE(SUBSTITUTE(I372," ",""),"-",""),"(",""),")",""),"+",""),1)="7",LEFT(SUBSTITUTE(SUBSTITUTE(SUBSTITUTE(SUBSTITUTE(SUBSTITUTE(I372," ",""),"-",""),"(",""),")",""),"+",""),1)="8"),ISNUMBER(IFERROR(VALUE(SUBSTITUTE(SUBSTITUTE(SUBSTITUTE(SUBSTITUTE(SUBSTITUTE(I372," ",""),"-",""),"(",""),")",""),"+","")),"x"))),"","Телефон: неверный формат"))</f>
        <v/>
      </c>
      <c r="Q372" s="24" t="str">
        <f aca="false">TRIM(IF(TRIM(B372)="","Нет наименования. ","")&amp;IF(TRIM(F372)="","Нет адреса. ","")&amp;IF(TRIM(G372)="","Нет контактного лица.",""))</f>
        <v/>
      </c>
      <c r="R372" s="21" t="n">
        <f aca="false">SUMPRODUCT(--(LEN(K372:Q372)&gt;0))</f>
        <v>0</v>
      </c>
      <c r="S372" s="24" t="str">
        <f aca="false">IF(R372=0,"Готово к передаче","Требует исправления")</f>
        <v>Готово к передаче</v>
      </c>
      <c r="T372" s="24" t="str">
        <f aca="false">IF(R372=0,"",_xlfn.TEXTJOIN("; ",TRUE(),K372:Q372))</f>
        <v/>
      </c>
      <c r="U372" s="24" t="str">
        <f aca="false">IF(R372=0,"","Здравствуйте! В данных организации «"&amp;B372&amp;"» обнаружены ошибки: "&amp;T372&amp;". Просим проверить и прислать исправленную информацию.")</f>
        <v/>
      </c>
      <c r="V372" s="21" t="str">
        <f aca="false">IF(R372&gt;0,COUNTIF($R$2:R372,"&gt;0"),"")</f>
        <v/>
      </c>
      <c r="W372" s="21" t="n">
        <f aca="false">IF(R372=0,COUNTIF($R$2:R372,0),"")</f>
        <v>264</v>
      </c>
    </row>
    <row r="373" customFormat="false" ht="15" hidden="false" customHeight="false" outlineLevel="0" collapsed="false">
      <c r="A373" s="21" t="n">
        <v>372</v>
      </c>
      <c r="B373" s="22" t="s">
        <v>2991</v>
      </c>
      <c r="C373" s="23" t="s">
        <v>2992</v>
      </c>
      <c r="D373" s="23" t="s">
        <v>2993</v>
      </c>
      <c r="E373" s="23" t="s">
        <v>2994</v>
      </c>
      <c r="F373" s="22" t="s">
        <v>2995</v>
      </c>
      <c r="G373" s="22" t="s">
        <v>2996</v>
      </c>
      <c r="H373" s="22" t="s">
        <v>2997</v>
      </c>
      <c r="I373" s="23" t="s">
        <v>2998</v>
      </c>
      <c r="J373" s="24" t="str">
        <f aca="false">IFERROR(VLOOKUP(VALUE(LEFT(C373,2)),Справочники!$A$2:$B$16,2,FALSE()),"не определён")</f>
        <v>Новосибирская область</v>
      </c>
      <c r="K373" s="24" t="str">
        <f aca="false">IF(TRIM(C373)="","ИНН не указан",IF(LEN(C373)&lt;&gt;10,"ИНН: должно быть 10 цифр",IF(NOT(ISNUMBER(IFERROR(VALUE(C373),"x"))),"ИНН: есть нецифровые символы",IF(MOD(MOD(SUMPRODUCT(--MID(C373,{1,2,3,4,5,6,7,8,9},1),{2,4,10,3,5,9,4,6,8}),11),10)=VALUE(RIGHT(C373,1)),"","ИНН: неверная контрольная цифра"))))</f>
        <v/>
      </c>
      <c r="L373" s="24" t="str">
        <f aca="false">IF(TRIM(D373)="","ОГРН не указан",IF(LEN(D373)&lt;&gt;13,"ОГРН: должно быть 13 цифр",IF(NOT(ISNUMBER(IFERROR(VALUE(D373),"x"))),"ОГРН: есть нецифровые символы",IF(MOD(VALUE(LEFT(D373,12))-11*INT(VALUE(LEFT(D373,12))/11),10)=VALUE(RIGHT(D373,1)),"","ОГРН: неверная контрольная цифра"))))</f>
        <v/>
      </c>
      <c r="M373" s="24" t="str">
        <f aca="false">IF(TRIM(E373)="","КПП не указан",IF(LEN(E373)&lt;&gt;9,"КПП: должно быть 9 знаков",IF(NOT(AND(ISNUMBER(IFERROR(VALUE(LEFT(E373,4)),"x")),ISNUMBER(IFERROR(VALUE(RIGHT(E373,3)),"x")))),"КПП: неверный формат",IF(LEFT(E373,2)&lt;&gt;LEFT(C373,2),"КПП: код региона не совпадает с ИНН",""))))</f>
        <v/>
      </c>
      <c r="N373" s="24" t="str">
        <f aca="false">IF(TRIM(C373)="","",IF(COUNTIF($C$2:$C$401,C373)&gt;1,"Дубликат ИНН в реестре",""))</f>
        <v/>
      </c>
      <c r="O373" s="24" t="str">
        <f aca="false">IF(TRIM(H373)="","Email не указан",IF(AND(ISNUMBER(FIND("@",H373)),ISNUMBER(FIND(".",H373,IFERROR(FIND("@",H373),1))),ISERROR(FIND(" ",H373)),LEFT(H373,1)&lt;&gt;"@",RIGHT(H373,1)&lt;&gt;".",LEN(H373)-LEN(SUBSTITUTE(H373,"@",""))=1),"","Email: неверный формат"))</f>
        <v/>
      </c>
      <c r="P373" s="24" t="str">
        <f aca="false">IF(TRIM(I373)="","Телефон не указан",IF(AND(LEN(SUBSTITUTE(SUBSTITUTE(SUBSTITUTE(SUBSTITUTE(SUBSTITUTE(I373," ",""),"-",""),"(",""),")",""),"+",""))=11,OR(LEFT(SUBSTITUTE(SUBSTITUTE(SUBSTITUTE(SUBSTITUTE(SUBSTITUTE(I373," ",""),"-",""),"(",""),")",""),"+",""),1)="7",LEFT(SUBSTITUTE(SUBSTITUTE(SUBSTITUTE(SUBSTITUTE(SUBSTITUTE(I373," ",""),"-",""),"(",""),")",""),"+",""),1)="8"),ISNUMBER(IFERROR(VALUE(SUBSTITUTE(SUBSTITUTE(SUBSTITUTE(SUBSTITUTE(SUBSTITUTE(I373," ",""),"-",""),"(",""),")",""),"+","")),"x"))),"","Телефон: неверный формат"))</f>
        <v/>
      </c>
      <c r="Q373" s="24" t="str">
        <f aca="false">TRIM(IF(TRIM(B373)="","Нет наименования. ","")&amp;IF(TRIM(F373)="","Нет адреса. ","")&amp;IF(TRIM(G373)="","Нет контактного лица.",""))</f>
        <v/>
      </c>
      <c r="R373" s="21" t="n">
        <f aca="false">SUMPRODUCT(--(LEN(K373:Q373)&gt;0))</f>
        <v>0</v>
      </c>
      <c r="S373" s="24" t="str">
        <f aca="false">IF(R373=0,"Готово к передаче","Требует исправления")</f>
        <v>Готово к передаче</v>
      </c>
      <c r="T373" s="24" t="str">
        <f aca="false">IF(R373=0,"",_xlfn.TEXTJOIN("; ",TRUE(),K373:Q373))</f>
        <v/>
      </c>
      <c r="U373" s="24" t="str">
        <f aca="false">IF(R373=0,"","Здравствуйте! В данных организации «"&amp;B373&amp;"» обнаружены ошибки: "&amp;T373&amp;". Просим проверить и прислать исправленную информацию.")</f>
        <v/>
      </c>
      <c r="V373" s="21" t="str">
        <f aca="false">IF(R373&gt;0,COUNTIF($R$2:R373,"&gt;0"),"")</f>
        <v/>
      </c>
      <c r="W373" s="21" t="n">
        <f aca="false">IF(R373=0,COUNTIF($R$2:R373,0),"")</f>
        <v>265</v>
      </c>
    </row>
    <row r="374" customFormat="false" ht="15" hidden="false" customHeight="false" outlineLevel="0" collapsed="false">
      <c r="A374" s="21" t="n">
        <v>373</v>
      </c>
      <c r="B374" s="22" t="s">
        <v>2999</v>
      </c>
      <c r="C374" s="23" t="s">
        <v>3000</v>
      </c>
      <c r="D374" s="23" t="s">
        <v>3001</v>
      </c>
      <c r="E374" s="23" t="s">
        <v>3002</v>
      </c>
      <c r="F374" s="22" t="s">
        <v>3003</v>
      </c>
      <c r="G374" s="22" t="s">
        <v>3004</v>
      </c>
      <c r="H374" s="22" t="s">
        <v>3005</v>
      </c>
      <c r="I374" s="23" t="s">
        <v>3006</v>
      </c>
      <c r="J374" s="24" t="str">
        <f aca="false">IFERROR(VLOOKUP(VALUE(LEFT(C374,2)),Справочники!$A$2:$B$16,2,FALSE()),"не определён")</f>
        <v>Нижегородская область</v>
      </c>
      <c r="K374" s="24" t="str">
        <f aca="false">IF(TRIM(C374)="","ИНН не указан",IF(LEN(C374)&lt;&gt;10,"ИНН: должно быть 10 цифр",IF(NOT(ISNUMBER(IFERROR(VALUE(C374),"x"))),"ИНН: есть нецифровые символы",IF(MOD(MOD(SUMPRODUCT(--MID(C374,{1,2,3,4,5,6,7,8,9},1),{2,4,10,3,5,9,4,6,8}),11),10)=VALUE(RIGHT(C374,1)),"","ИНН: неверная контрольная цифра"))))</f>
        <v/>
      </c>
      <c r="L374" s="24" t="str">
        <f aca="false">IF(TRIM(D374)="","ОГРН не указан",IF(LEN(D374)&lt;&gt;13,"ОГРН: должно быть 13 цифр",IF(NOT(ISNUMBER(IFERROR(VALUE(D374),"x"))),"ОГРН: есть нецифровые символы",IF(MOD(VALUE(LEFT(D374,12))-11*INT(VALUE(LEFT(D374,12))/11),10)=VALUE(RIGHT(D374,1)),"","ОГРН: неверная контрольная цифра"))))</f>
        <v/>
      </c>
      <c r="M374" s="24" t="str">
        <f aca="false">IF(TRIM(E374)="","КПП не указан",IF(LEN(E374)&lt;&gt;9,"КПП: должно быть 9 знаков",IF(NOT(AND(ISNUMBER(IFERROR(VALUE(LEFT(E374,4)),"x")),ISNUMBER(IFERROR(VALUE(RIGHT(E374,3)),"x")))),"КПП: неверный формат",IF(LEFT(E374,2)&lt;&gt;LEFT(C374,2),"КПП: код региона не совпадает с ИНН",""))))</f>
        <v/>
      </c>
      <c r="N374" s="24" t="str">
        <f aca="false">IF(TRIM(C374)="","",IF(COUNTIF($C$2:$C$401,C374)&gt;1,"Дубликат ИНН в реестре",""))</f>
        <v/>
      </c>
      <c r="O374" s="24" t="str">
        <f aca="false">IF(TRIM(H374)="","Email не указан",IF(AND(ISNUMBER(FIND("@",H374)),ISNUMBER(FIND(".",H374,IFERROR(FIND("@",H374),1))),ISERROR(FIND(" ",H374)),LEFT(H374,1)&lt;&gt;"@",RIGHT(H374,1)&lt;&gt;".",LEN(H374)-LEN(SUBSTITUTE(H374,"@",""))=1),"","Email: неверный формат"))</f>
        <v/>
      </c>
      <c r="P374" s="24" t="str">
        <f aca="false">IF(TRIM(I374)="","Телефон не указан",IF(AND(LEN(SUBSTITUTE(SUBSTITUTE(SUBSTITUTE(SUBSTITUTE(SUBSTITUTE(I374," ",""),"-",""),"(",""),")",""),"+",""))=11,OR(LEFT(SUBSTITUTE(SUBSTITUTE(SUBSTITUTE(SUBSTITUTE(SUBSTITUTE(I374," ",""),"-",""),"(",""),")",""),"+",""),1)="7",LEFT(SUBSTITUTE(SUBSTITUTE(SUBSTITUTE(SUBSTITUTE(SUBSTITUTE(I374," ",""),"-",""),"(",""),")",""),"+",""),1)="8"),ISNUMBER(IFERROR(VALUE(SUBSTITUTE(SUBSTITUTE(SUBSTITUTE(SUBSTITUTE(SUBSTITUTE(I374," ",""),"-",""),"(",""),")",""),"+","")),"x"))),"","Телефон: неверный формат"))</f>
        <v/>
      </c>
      <c r="Q374" s="24" t="str">
        <f aca="false">TRIM(IF(TRIM(B374)="","Нет наименования. ","")&amp;IF(TRIM(F374)="","Нет адреса. ","")&amp;IF(TRIM(G374)="","Нет контактного лица.",""))</f>
        <v/>
      </c>
      <c r="R374" s="21" t="n">
        <f aca="false">SUMPRODUCT(--(LEN(K374:Q374)&gt;0))</f>
        <v>0</v>
      </c>
      <c r="S374" s="24" t="str">
        <f aca="false">IF(R374=0,"Готово к передаче","Требует исправления")</f>
        <v>Готово к передаче</v>
      </c>
      <c r="T374" s="24" t="str">
        <f aca="false">IF(R374=0,"",_xlfn.TEXTJOIN("; ",TRUE(),K374:Q374))</f>
        <v/>
      </c>
      <c r="U374" s="24" t="str">
        <f aca="false">IF(R374=0,"","Здравствуйте! В данных организации «"&amp;B374&amp;"» обнаружены ошибки: "&amp;T374&amp;". Просим проверить и прислать исправленную информацию.")</f>
        <v/>
      </c>
      <c r="V374" s="21" t="str">
        <f aca="false">IF(R374&gt;0,COUNTIF($R$2:R374,"&gt;0"),"")</f>
        <v/>
      </c>
      <c r="W374" s="21" t="n">
        <f aca="false">IF(R374=0,COUNTIF($R$2:R374,0),"")</f>
        <v>266</v>
      </c>
    </row>
    <row r="375" customFormat="false" ht="15" hidden="false" customHeight="false" outlineLevel="0" collapsed="false">
      <c r="A375" s="21" t="n">
        <v>374</v>
      </c>
      <c r="B375" s="22" t="s">
        <v>3007</v>
      </c>
      <c r="C375" s="23" t="s">
        <v>3008</v>
      </c>
      <c r="D375" s="23" t="s">
        <v>3009</v>
      </c>
      <c r="E375" s="23" t="s">
        <v>3010</v>
      </c>
      <c r="F375" s="22" t="s">
        <v>3011</v>
      </c>
      <c r="G375" s="22" t="s">
        <v>3012</v>
      </c>
      <c r="H375" s="22" t="s">
        <v>3013</v>
      </c>
      <c r="I375" s="23" t="s">
        <v>3014</v>
      </c>
      <c r="J375" s="24" t="str">
        <f aca="false">IFERROR(VLOOKUP(VALUE(LEFT(C375,2)),Справочники!$A$2:$B$16,2,FALSE()),"не определён")</f>
        <v>Свердловская область</v>
      </c>
      <c r="K375" s="24" t="str">
        <f aca="false">IF(TRIM(C375)="","ИНН не указан",IF(LEN(C375)&lt;&gt;10,"ИНН: должно быть 10 цифр",IF(NOT(ISNUMBER(IFERROR(VALUE(C375),"x"))),"ИНН: есть нецифровые символы",IF(MOD(MOD(SUMPRODUCT(--MID(C375,{1,2,3,4,5,6,7,8,9},1),{2,4,10,3,5,9,4,6,8}),11),10)=VALUE(RIGHT(C375,1)),"","ИНН: неверная контрольная цифра"))))</f>
        <v/>
      </c>
      <c r="L375" s="24" t="str">
        <f aca="false">IF(TRIM(D375)="","ОГРН не указан",IF(LEN(D375)&lt;&gt;13,"ОГРН: должно быть 13 цифр",IF(NOT(ISNUMBER(IFERROR(VALUE(D375),"x"))),"ОГРН: есть нецифровые символы",IF(MOD(VALUE(LEFT(D375,12))-11*INT(VALUE(LEFT(D375,12))/11),10)=VALUE(RIGHT(D375,1)),"","ОГРН: неверная контрольная цифра"))))</f>
        <v/>
      </c>
      <c r="M375" s="24" t="str">
        <f aca="false">IF(TRIM(E375)="","КПП не указан",IF(LEN(E375)&lt;&gt;9,"КПП: должно быть 9 знаков",IF(NOT(AND(ISNUMBER(IFERROR(VALUE(LEFT(E375,4)),"x")),ISNUMBER(IFERROR(VALUE(RIGHT(E375,3)),"x")))),"КПП: неверный формат",IF(LEFT(E375,2)&lt;&gt;LEFT(C375,2),"КПП: код региона не совпадает с ИНН",""))))</f>
        <v/>
      </c>
      <c r="N375" s="24" t="str">
        <f aca="false">IF(TRIM(C375)="","",IF(COUNTIF($C$2:$C$401,C375)&gt;1,"Дубликат ИНН в реестре",""))</f>
        <v/>
      </c>
      <c r="O375" s="24" t="str">
        <f aca="false">IF(TRIM(H375)="","Email не указан",IF(AND(ISNUMBER(FIND("@",H375)),ISNUMBER(FIND(".",H375,IFERROR(FIND("@",H375),1))),ISERROR(FIND(" ",H375)),LEFT(H375,1)&lt;&gt;"@",RIGHT(H375,1)&lt;&gt;".",LEN(H375)-LEN(SUBSTITUTE(H375,"@",""))=1),"","Email: неверный формат"))</f>
        <v/>
      </c>
      <c r="P375" s="24" t="str">
        <f aca="false">IF(TRIM(I375)="","Телефон не указан",IF(AND(LEN(SUBSTITUTE(SUBSTITUTE(SUBSTITUTE(SUBSTITUTE(SUBSTITUTE(I375," ",""),"-",""),"(",""),")",""),"+",""))=11,OR(LEFT(SUBSTITUTE(SUBSTITUTE(SUBSTITUTE(SUBSTITUTE(SUBSTITUTE(I375," ",""),"-",""),"(",""),")",""),"+",""),1)="7",LEFT(SUBSTITUTE(SUBSTITUTE(SUBSTITUTE(SUBSTITUTE(SUBSTITUTE(I375," ",""),"-",""),"(",""),")",""),"+",""),1)="8"),ISNUMBER(IFERROR(VALUE(SUBSTITUTE(SUBSTITUTE(SUBSTITUTE(SUBSTITUTE(SUBSTITUTE(I375," ",""),"-",""),"(",""),")",""),"+","")),"x"))),"","Телефон: неверный формат"))</f>
        <v/>
      </c>
      <c r="Q375" s="24" t="str">
        <f aca="false">TRIM(IF(TRIM(B375)="","Нет наименования. ","")&amp;IF(TRIM(F375)="","Нет адреса. ","")&amp;IF(TRIM(G375)="","Нет контактного лица.",""))</f>
        <v/>
      </c>
      <c r="R375" s="21" t="n">
        <f aca="false">SUMPRODUCT(--(LEN(K375:Q375)&gt;0))</f>
        <v>0</v>
      </c>
      <c r="S375" s="24" t="str">
        <f aca="false">IF(R375=0,"Готово к передаче","Требует исправления")</f>
        <v>Готово к передаче</v>
      </c>
      <c r="T375" s="24" t="str">
        <f aca="false">IF(R375=0,"",_xlfn.TEXTJOIN("; ",TRUE(),K375:Q375))</f>
        <v/>
      </c>
      <c r="U375" s="24" t="str">
        <f aca="false">IF(R375=0,"","Здравствуйте! В данных организации «"&amp;B375&amp;"» обнаружены ошибки: "&amp;T375&amp;". Просим проверить и прислать исправленную информацию.")</f>
        <v/>
      </c>
      <c r="V375" s="21" t="str">
        <f aca="false">IF(R375&gt;0,COUNTIF($R$2:R375,"&gt;0"),"")</f>
        <v/>
      </c>
      <c r="W375" s="21" t="n">
        <f aca="false">IF(R375=0,COUNTIF($R$2:R375,0),"")</f>
        <v>267</v>
      </c>
    </row>
    <row r="376" customFormat="false" ht="15" hidden="false" customHeight="false" outlineLevel="0" collapsed="false">
      <c r="A376" s="21" t="n">
        <v>375</v>
      </c>
      <c r="B376" s="22" t="s">
        <v>3015</v>
      </c>
      <c r="C376" s="23" t="s">
        <v>3016</v>
      </c>
      <c r="D376" s="23" t="s">
        <v>3017</v>
      </c>
      <c r="E376" s="23" t="s">
        <v>3018</v>
      </c>
      <c r="F376" s="22" t="s">
        <v>3019</v>
      </c>
      <c r="G376" s="22" t="s">
        <v>3020</v>
      </c>
      <c r="H376" s="22" t="s">
        <v>3021</v>
      </c>
      <c r="I376" s="23" t="s">
        <v>3022</v>
      </c>
      <c r="J376" s="24" t="str">
        <f aca="false">IFERROR(VLOOKUP(VALUE(LEFT(C376,2)),Справочники!$A$2:$B$16,2,FALSE()),"не определён")</f>
        <v>Красноярский край</v>
      </c>
      <c r="K376" s="24" t="str">
        <f aca="false">IF(TRIM(C376)="","ИНН не указан",IF(LEN(C376)&lt;&gt;10,"ИНН: должно быть 10 цифр",IF(NOT(ISNUMBER(IFERROR(VALUE(C376),"x"))),"ИНН: есть нецифровые символы",IF(MOD(MOD(SUMPRODUCT(--MID(C376,{1,2,3,4,5,6,7,8,9},1),{2,4,10,3,5,9,4,6,8}),11),10)=VALUE(RIGHT(C376,1)),"","ИНН: неверная контрольная цифра"))))</f>
        <v/>
      </c>
      <c r="L376" s="24" t="str">
        <f aca="false">IF(TRIM(D376)="","ОГРН не указан",IF(LEN(D376)&lt;&gt;13,"ОГРН: должно быть 13 цифр",IF(NOT(ISNUMBER(IFERROR(VALUE(D376),"x"))),"ОГРН: есть нецифровые символы",IF(MOD(VALUE(LEFT(D376,12))-11*INT(VALUE(LEFT(D376,12))/11),10)=VALUE(RIGHT(D376,1)),"","ОГРН: неверная контрольная цифра"))))</f>
        <v/>
      </c>
      <c r="M376" s="24" t="str">
        <f aca="false">IF(TRIM(E376)="","КПП не указан",IF(LEN(E376)&lt;&gt;9,"КПП: должно быть 9 знаков",IF(NOT(AND(ISNUMBER(IFERROR(VALUE(LEFT(E376,4)),"x")),ISNUMBER(IFERROR(VALUE(RIGHT(E376,3)),"x")))),"КПП: неверный формат",IF(LEFT(E376,2)&lt;&gt;LEFT(C376,2),"КПП: код региона не совпадает с ИНН",""))))</f>
        <v/>
      </c>
      <c r="N376" s="24" t="str">
        <f aca="false">IF(TRIM(C376)="","",IF(COUNTIF($C$2:$C$401,C376)&gt;1,"Дубликат ИНН в реестре",""))</f>
        <v/>
      </c>
      <c r="O376" s="24" t="str">
        <f aca="false">IF(TRIM(H376)="","Email не указан",IF(AND(ISNUMBER(FIND("@",H376)),ISNUMBER(FIND(".",H376,IFERROR(FIND("@",H376),1))),ISERROR(FIND(" ",H376)),LEFT(H376,1)&lt;&gt;"@",RIGHT(H376,1)&lt;&gt;".",LEN(H376)-LEN(SUBSTITUTE(H376,"@",""))=1),"","Email: неверный формат"))</f>
        <v/>
      </c>
      <c r="P376" s="24" t="str">
        <f aca="false">IF(TRIM(I376)="","Телефон не указан",IF(AND(LEN(SUBSTITUTE(SUBSTITUTE(SUBSTITUTE(SUBSTITUTE(SUBSTITUTE(I376," ",""),"-",""),"(",""),")",""),"+",""))=11,OR(LEFT(SUBSTITUTE(SUBSTITUTE(SUBSTITUTE(SUBSTITUTE(SUBSTITUTE(I376," ",""),"-",""),"(",""),")",""),"+",""),1)="7",LEFT(SUBSTITUTE(SUBSTITUTE(SUBSTITUTE(SUBSTITUTE(SUBSTITUTE(I376," ",""),"-",""),"(",""),")",""),"+",""),1)="8"),ISNUMBER(IFERROR(VALUE(SUBSTITUTE(SUBSTITUTE(SUBSTITUTE(SUBSTITUTE(SUBSTITUTE(I376," ",""),"-",""),"(",""),")",""),"+","")),"x"))),"","Телефон: неверный формат"))</f>
        <v/>
      </c>
      <c r="Q376" s="24" t="str">
        <f aca="false">TRIM(IF(TRIM(B376)="","Нет наименования. ","")&amp;IF(TRIM(F376)="","Нет адреса. ","")&amp;IF(TRIM(G376)="","Нет контактного лица.",""))</f>
        <v/>
      </c>
      <c r="R376" s="21" t="n">
        <f aca="false">SUMPRODUCT(--(LEN(K376:Q376)&gt;0))</f>
        <v>0</v>
      </c>
      <c r="S376" s="24" t="str">
        <f aca="false">IF(R376=0,"Готово к передаче","Требует исправления")</f>
        <v>Готово к передаче</v>
      </c>
      <c r="T376" s="24" t="str">
        <f aca="false">IF(R376=0,"",_xlfn.TEXTJOIN("; ",TRUE(),K376:Q376))</f>
        <v/>
      </c>
      <c r="U376" s="24" t="str">
        <f aca="false">IF(R376=0,"","Здравствуйте! В данных организации «"&amp;B376&amp;"» обнаружены ошибки: "&amp;T376&amp;". Просим проверить и прислать исправленную информацию.")</f>
        <v/>
      </c>
      <c r="V376" s="21" t="str">
        <f aca="false">IF(R376&gt;0,COUNTIF($R$2:R376,"&gt;0"),"")</f>
        <v/>
      </c>
      <c r="W376" s="21" t="n">
        <f aca="false">IF(R376=0,COUNTIF($R$2:R376,0),"")</f>
        <v>268</v>
      </c>
    </row>
    <row r="377" customFormat="false" ht="15" hidden="false" customHeight="false" outlineLevel="0" collapsed="false">
      <c r="A377" s="21" t="n">
        <v>376</v>
      </c>
      <c r="B377" s="22" t="s">
        <v>3023</v>
      </c>
      <c r="C377" s="23" t="s">
        <v>3024</v>
      </c>
      <c r="D377" s="23" t="s">
        <v>3025</v>
      </c>
      <c r="E377" s="23" t="s">
        <v>3026</v>
      </c>
      <c r="F377" s="22" t="s">
        <v>3027</v>
      </c>
      <c r="G377" s="22" t="s">
        <v>3028</v>
      </c>
      <c r="H377" s="22" t="s">
        <v>3029</v>
      </c>
      <c r="I377" s="23" t="s">
        <v>3030</v>
      </c>
      <c r="J377" s="24" t="str">
        <f aca="false">IFERROR(VLOOKUP(VALUE(LEFT(C377,2)),Справочники!$A$2:$B$16,2,FALSE()),"не определён")</f>
        <v>г. Москва</v>
      </c>
      <c r="K377" s="24" t="str">
        <f aca="false">IF(TRIM(C377)="","ИНН не указан",IF(LEN(C377)&lt;&gt;10,"ИНН: должно быть 10 цифр",IF(NOT(ISNUMBER(IFERROR(VALUE(C377),"x"))),"ИНН: есть нецифровые символы",IF(MOD(MOD(SUMPRODUCT(--MID(C377,{1,2,3,4,5,6,7,8,9},1),{2,4,10,3,5,9,4,6,8}),11),10)=VALUE(RIGHT(C377,1)),"","ИНН: неверная контрольная цифра"))))</f>
        <v/>
      </c>
      <c r="L377" s="24" t="str">
        <f aca="false">IF(TRIM(D377)="","ОГРН не указан",IF(LEN(D377)&lt;&gt;13,"ОГРН: должно быть 13 цифр",IF(NOT(ISNUMBER(IFERROR(VALUE(D377),"x"))),"ОГРН: есть нецифровые символы",IF(MOD(VALUE(LEFT(D377,12))-11*INT(VALUE(LEFT(D377,12))/11),10)=VALUE(RIGHT(D377,1)),"","ОГРН: неверная контрольная цифра"))))</f>
        <v/>
      </c>
      <c r="M377" s="24" t="str">
        <f aca="false">IF(TRIM(E377)="","КПП не указан",IF(LEN(E377)&lt;&gt;9,"КПП: должно быть 9 знаков",IF(NOT(AND(ISNUMBER(IFERROR(VALUE(LEFT(E377,4)),"x")),ISNUMBER(IFERROR(VALUE(RIGHT(E377,3)),"x")))),"КПП: неверный формат",IF(LEFT(E377,2)&lt;&gt;LEFT(C377,2),"КПП: код региона не совпадает с ИНН",""))))</f>
        <v/>
      </c>
      <c r="N377" s="24" t="str">
        <f aca="false">IF(TRIM(C377)="","",IF(COUNTIF($C$2:$C$401,C377)&gt;1,"Дубликат ИНН в реестре",""))</f>
        <v/>
      </c>
      <c r="O377" s="24" t="str">
        <f aca="false">IF(TRIM(H377)="","Email не указан",IF(AND(ISNUMBER(FIND("@",H377)),ISNUMBER(FIND(".",H377,IFERROR(FIND("@",H377),1))),ISERROR(FIND(" ",H377)),LEFT(H377,1)&lt;&gt;"@",RIGHT(H377,1)&lt;&gt;".",LEN(H377)-LEN(SUBSTITUTE(H377,"@",""))=1),"","Email: неверный формат"))</f>
        <v/>
      </c>
      <c r="P377" s="24" t="str">
        <f aca="false">IF(TRIM(I377)="","Телефон не указан",IF(AND(LEN(SUBSTITUTE(SUBSTITUTE(SUBSTITUTE(SUBSTITUTE(SUBSTITUTE(I377," ",""),"-",""),"(",""),")",""),"+",""))=11,OR(LEFT(SUBSTITUTE(SUBSTITUTE(SUBSTITUTE(SUBSTITUTE(SUBSTITUTE(I377," ",""),"-",""),"(",""),")",""),"+",""),1)="7",LEFT(SUBSTITUTE(SUBSTITUTE(SUBSTITUTE(SUBSTITUTE(SUBSTITUTE(I377," ",""),"-",""),"(",""),")",""),"+",""),1)="8"),ISNUMBER(IFERROR(VALUE(SUBSTITUTE(SUBSTITUTE(SUBSTITUTE(SUBSTITUTE(SUBSTITUTE(I377," ",""),"-",""),"(",""),")",""),"+","")),"x"))),"","Телефон: неверный формат"))</f>
        <v>Телефон: неверный формат</v>
      </c>
      <c r="Q377" s="24" t="str">
        <f aca="false">TRIM(IF(TRIM(B377)="","Нет наименования. ","")&amp;IF(TRIM(F377)="","Нет адреса. ","")&amp;IF(TRIM(G377)="","Нет контактного лица.",""))</f>
        <v/>
      </c>
      <c r="R377" s="21" t="n">
        <f aca="false">SUMPRODUCT(--(LEN(K377:Q377)&gt;0))</f>
        <v>1</v>
      </c>
      <c r="S377" s="24" t="str">
        <f aca="false">IF(R377=0,"Готово к передаче","Требует исправления")</f>
        <v>Требует исправления</v>
      </c>
      <c r="T377" s="24" t="str">
        <f aca="false">IF(R377=0,"",_xlfn.TEXTJOIN("; ",TRUE(),K377:Q377))</f>
        <v>Телефон: неверный формат</v>
      </c>
      <c r="U377" s="24" t="str">
        <f aca="false">IF(R377=0,"","Здравствуйте! В данных организации «"&amp;B377&amp;"» обнаружены ошибки: "&amp;T377&amp;". Просим проверить и прислать исправленную информацию.")</f>
        <v>Здравствуйте! В данных организации «ООО «Горизонт Энерго»» обнаружены ошибки: Телефон: неверный формат. Просим проверить и прислать исправленную информацию.</v>
      </c>
      <c r="V377" s="21" t="n">
        <f aca="false">IF(R377&gt;0,COUNTIF($R$2:R377,"&gt;0"),"")</f>
        <v>108</v>
      </c>
      <c r="W377" s="21" t="str">
        <f aca="false">IF(R377=0,COUNTIF($R$2:R377,0),"")</f>
        <v/>
      </c>
    </row>
    <row r="378" customFormat="false" ht="15" hidden="false" customHeight="false" outlineLevel="0" collapsed="false">
      <c r="A378" s="21" t="n">
        <v>377</v>
      </c>
      <c r="B378" s="22" t="s">
        <v>3031</v>
      </c>
      <c r="C378" s="23"/>
      <c r="D378" s="23" t="s">
        <v>3032</v>
      </c>
      <c r="E378" s="23" t="s">
        <v>3033</v>
      </c>
      <c r="F378" s="22" t="s">
        <v>3034</v>
      </c>
      <c r="G378" s="22" t="s">
        <v>3035</v>
      </c>
      <c r="H378" s="22" t="s">
        <v>3036</v>
      </c>
      <c r="I378" s="23" t="s">
        <v>3037</v>
      </c>
      <c r="J378" s="24" t="str">
        <f aca="false">IFERROR(VLOOKUP(VALUE(LEFT(C378,2)),Справочники!$A$2:$B$16,2,FALSE()),"не определён")</f>
        <v>не определён</v>
      </c>
      <c r="K378" s="24" t="str">
        <f aca="false">IF(TRIM(C378)="","ИНН не указан",IF(LEN(C378)&lt;&gt;10,"ИНН: должно быть 10 цифр",IF(NOT(ISNUMBER(IFERROR(VALUE(C378),"x"))),"ИНН: есть нецифровые символы",IF(MOD(MOD(SUMPRODUCT(--MID(C378,{1,2,3,4,5,6,7,8,9},1),{2,4,10,3,5,9,4,6,8}),11),10)=VALUE(RIGHT(C378,1)),"","ИНН: неверная контрольная цифра"))))</f>
        <v>ИНН не указан</v>
      </c>
      <c r="L378" s="24" t="str">
        <f aca="false">IF(TRIM(D378)="","ОГРН не указан",IF(LEN(D378)&lt;&gt;13,"ОГРН: должно быть 13 цифр",IF(NOT(ISNUMBER(IFERROR(VALUE(D378),"x"))),"ОГРН: есть нецифровые символы",IF(MOD(VALUE(LEFT(D378,12))-11*INT(VALUE(LEFT(D378,12))/11),10)=VALUE(RIGHT(D378,1)),"","ОГРН: неверная контрольная цифра"))))</f>
        <v/>
      </c>
      <c r="M378" s="24" t="str">
        <f aca="false">IF(TRIM(E378)="","КПП не указан",IF(LEN(E378)&lt;&gt;9,"КПП: должно быть 9 знаков",IF(NOT(AND(ISNUMBER(IFERROR(VALUE(LEFT(E378,4)),"x")),ISNUMBER(IFERROR(VALUE(RIGHT(E378,3)),"x")))),"КПП: неверный формат",IF(LEFT(E378,2)&lt;&gt;LEFT(C378,2),"КПП: код региона не совпадает с ИНН",""))))</f>
        <v>КПП: код региона не совпадает с ИНН</v>
      </c>
      <c r="N378" s="24" t="str">
        <f aca="false">IF(TRIM(C378)="","",IF(COUNTIF($C$2:$C$401,C378)&gt;1,"Дубликат ИНН в реестре",""))</f>
        <v/>
      </c>
      <c r="O378" s="24" t="str">
        <f aca="false">IF(TRIM(H378)="","Email не указан",IF(AND(ISNUMBER(FIND("@",H378)),ISNUMBER(FIND(".",H378,IFERROR(FIND("@",H378),1))),ISERROR(FIND(" ",H378)),LEFT(H378,1)&lt;&gt;"@",RIGHT(H378,1)&lt;&gt;".",LEN(H378)-LEN(SUBSTITUTE(H378,"@",""))=1),"","Email: неверный формат"))</f>
        <v/>
      </c>
      <c r="P378" s="24" t="str">
        <f aca="false">IF(TRIM(I378)="","Телефон не указан",IF(AND(LEN(SUBSTITUTE(SUBSTITUTE(SUBSTITUTE(SUBSTITUTE(SUBSTITUTE(I378," ",""),"-",""),"(",""),")",""),"+",""))=11,OR(LEFT(SUBSTITUTE(SUBSTITUTE(SUBSTITUTE(SUBSTITUTE(SUBSTITUTE(I378," ",""),"-",""),"(",""),")",""),"+",""),1)="7",LEFT(SUBSTITUTE(SUBSTITUTE(SUBSTITUTE(SUBSTITUTE(SUBSTITUTE(I378," ",""),"-",""),"(",""),")",""),"+",""),1)="8"),ISNUMBER(IFERROR(VALUE(SUBSTITUTE(SUBSTITUTE(SUBSTITUTE(SUBSTITUTE(SUBSTITUTE(I378," ",""),"-",""),"(",""),")",""),"+","")),"x"))),"","Телефон: неверный формат"))</f>
        <v/>
      </c>
      <c r="Q378" s="24" t="str">
        <f aca="false">TRIM(IF(TRIM(B378)="","Нет наименования. ","")&amp;IF(TRIM(F378)="","Нет адреса. ","")&amp;IF(TRIM(G378)="","Нет контактного лица.",""))</f>
        <v/>
      </c>
      <c r="R378" s="21" t="n">
        <f aca="false">SUMPRODUCT(--(LEN(K378:Q378)&gt;0))</f>
        <v>2</v>
      </c>
      <c r="S378" s="24" t="str">
        <f aca="false">IF(R378=0,"Готово к передаче","Требует исправления")</f>
        <v>Требует исправления</v>
      </c>
      <c r="T378" s="24" t="str">
        <f aca="false">IF(R378=0,"",_xlfn.TEXTJOIN("; ",TRUE(),K378:Q378))</f>
        <v>ИНН не указан; КПП: код региона не совпадает с ИНН</v>
      </c>
      <c r="U378" s="24" t="str">
        <f aca="false">IF(R378=0,"","Здравствуйте! В данных организации «"&amp;B378&amp;"» обнаружены ошибки: "&amp;T378&amp;". Просим проверить и прислать исправленную информацию.")</f>
        <v>Здравствуйте! В данных организации «ООО «Линия Транс»» обнаружены ошибки: ИНН не указан; КПП: код региона не совпадает с ИНН. Просим проверить и прислать исправленную информацию.</v>
      </c>
      <c r="V378" s="21" t="n">
        <f aca="false">IF(R378&gt;0,COUNTIF($R$2:R378,"&gt;0"),"")</f>
        <v>109</v>
      </c>
      <c r="W378" s="21" t="str">
        <f aca="false">IF(R378=0,COUNTIF($R$2:R378,0),"")</f>
        <v/>
      </c>
    </row>
    <row r="379" customFormat="false" ht="15" hidden="false" customHeight="false" outlineLevel="0" collapsed="false">
      <c r="A379" s="21" t="n">
        <v>378</v>
      </c>
      <c r="B379" s="22" t="s">
        <v>3038</v>
      </c>
      <c r="C379" s="23" t="s">
        <v>3039</v>
      </c>
      <c r="D379" s="23" t="s">
        <v>3040</v>
      </c>
      <c r="E379" s="23" t="s">
        <v>3041</v>
      </c>
      <c r="F379" s="22" t="s">
        <v>3042</v>
      </c>
      <c r="G379" s="22" t="s">
        <v>3043</v>
      </c>
      <c r="H379" s="22" t="s">
        <v>3044</v>
      </c>
      <c r="I379" s="23" t="s">
        <v>3045</v>
      </c>
      <c r="J379" s="24" t="str">
        <f aca="false">IFERROR(VLOOKUP(VALUE(LEFT(C379,2)),Справочники!$A$2:$B$16,2,FALSE()),"не определён")</f>
        <v>Московская область</v>
      </c>
      <c r="K379" s="24" t="str">
        <f aca="false">IF(TRIM(C379)="","ИНН не указан",IF(LEN(C379)&lt;&gt;10,"ИНН: должно быть 10 цифр",IF(NOT(ISNUMBER(IFERROR(VALUE(C379),"x"))),"ИНН: есть нецифровые символы",IF(MOD(MOD(SUMPRODUCT(--MID(C379,{1,2,3,4,5,6,7,8,9},1),{2,4,10,3,5,9,4,6,8}),11),10)=VALUE(RIGHT(C379,1)),"","ИНН: неверная контрольная цифра"))))</f>
        <v/>
      </c>
      <c r="L379" s="24" t="str">
        <f aca="false">IF(TRIM(D379)="","ОГРН не указан",IF(LEN(D379)&lt;&gt;13,"ОГРН: должно быть 13 цифр",IF(NOT(ISNUMBER(IFERROR(VALUE(D379),"x"))),"ОГРН: есть нецифровые символы",IF(MOD(VALUE(LEFT(D379,12))-11*INT(VALUE(LEFT(D379,12))/11),10)=VALUE(RIGHT(D379,1)),"","ОГРН: неверная контрольная цифра"))))</f>
        <v/>
      </c>
      <c r="M379" s="24" t="str">
        <f aca="false">IF(TRIM(E379)="","КПП не указан",IF(LEN(E379)&lt;&gt;9,"КПП: должно быть 9 знаков",IF(NOT(AND(ISNUMBER(IFERROR(VALUE(LEFT(E379,4)),"x")),ISNUMBER(IFERROR(VALUE(RIGHT(E379,3)),"x")))),"КПП: неверный формат",IF(LEFT(E379,2)&lt;&gt;LEFT(C379,2),"КПП: код региона не совпадает с ИНН",""))))</f>
        <v/>
      </c>
      <c r="N379" s="24" t="str">
        <f aca="false">IF(TRIM(C379)="","",IF(COUNTIF($C$2:$C$401,C379)&gt;1,"Дубликат ИНН в реестре",""))</f>
        <v/>
      </c>
      <c r="O379" s="24" t="str">
        <f aca="false">IF(TRIM(H379)="","Email не указан",IF(AND(ISNUMBER(FIND("@",H379)),ISNUMBER(FIND(".",H379,IFERROR(FIND("@",H379),1))),ISERROR(FIND(" ",H379)),LEFT(H379,1)&lt;&gt;"@",RIGHT(H379,1)&lt;&gt;".",LEN(H379)-LEN(SUBSTITUTE(H379,"@",""))=1),"","Email: неверный формат"))</f>
        <v/>
      </c>
      <c r="P379" s="24" t="str">
        <f aca="false">IF(TRIM(I379)="","Телефон не указан",IF(AND(LEN(SUBSTITUTE(SUBSTITUTE(SUBSTITUTE(SUBSTITUTE(SUBSTITUTE(I379," ",""),"-",""),"(",""),")",""),"+",""))=11,OR(LEFT(SUBSTITUTE(SUBSTITUTE(SUBSTITUTE(SUBSTITUTE(SUBSTITUTE(I379," ",""),"-",""),"(",""),")",""),"+",""),1)="7",LEFT(SUBSTITUTE(SUBSTITUTE(SUBSTITUTE(SUBSTITUTE(SUBSTITUTE(I379," ",""),"-",""),"(",""),")",""),"+",""),1)="8"),ISNUMBER(IFERROR(VALUE(SUBSTITUTE(SUBSTITUTE(SUBSTITUTE(SUBSTITUTE(SUBSTITUTE(I379," ",""),"-",""),"(",""),")",""),"+","")),"x"))),"","Телефон: неверный формат"))</f>
        <v/>
      </c>
      <c r="Q379" s="24" t="str">
        <f aca="false">TRIM(IF(TRIM(B379)="","Нет наименования. ","")&amp;IF(TRIM(F379)="","Нет адреса. ","")&amp;IF(TRIM(G379)="","Нет контактного лица.",""))</f>
        <v/>
      </c>
      <c r="R379" s="21" t="n">
        <f aca="false">SUMPRODUCT(--(LEN(K379:Q379)&gt;0))</f>
        <v>0</v>
      </c>
      <c r="S379" s="24" t="str">
        <f aca="false">IF(R379=0,"Готово к передаче","Требует исправления")</f>
        <v>Готово к передаче</v>
      </c>
      <c r="T379" s="24" t="str">
        <f aca="false">IF(R379=0,"",_xlfn.TEXTJOIN("; ",TRUE(),K379:Q379))</f>
        <v/>
      </c>
      <c r="U379" s="24" t="str">
        <f aca="false">IF(R379=0,"","Здравствуйте! В данных организации «"&amp;B379&amp;"» обнаружены ошибки: "&amp;T379&amp;". Просим проверить и прислать исправленную информацию.")</f>
        <v/>
      </c>
      <c r="V379" s="21" t="str">
        <f aca="false">IF(R379&gt;0,COUNTIF($R$2:R379,"&gt;0"),"")</f>
        <v/>
      </c>
      <c r="W379" s="21" t="n">
        <f aca="false">IF(R379=0,COUNTIF($R$2:R379,0),"")</f>
        <v>269</v>
      </c>
    </row>
    <row r="380" customFormat="false" ht="15" hidden="false" customHeight="false" outlineLevel="0" collapsed="false">
      <c r="A380" s="21" t="n">
        <v>379</v>
      </c>
      <c r="B380" s="22" t="s">
        <v>3046</v>
      </c>
      <c r="C380" s="23" t="s">
        <v>1909</v>
      </c>
      <c r="D380" s="23" t="s">
        <v>3047</v>
      </c>
      <c r="E380" s="23" t="s">
        <v>3048</v>
      </c>
      <c r="F380" s="22" t="s">
        <v>3049</v>
      </c>
      <c r="G380" s="22" t="s">
        <v>3050</v>
      </c>
      <c r="H380" s="22" t="s">
        <v>3051</v>
      </c>
      <c r="I380" s="23" t="s">
        <v>3052</v>
      </c>
      <c r="J380" s="24" t="str">
        <f aca="false">IFERROR(VLOOKUP(VALUE(LEFT(C380,2)),Справочники!$A$2:$B$16,2,FALSE()),"не определён")</f>
        <v>Республика Крым</v>
      </c>
      <c r="K380" s="24" t="str">
        <f aca="false">IF(TRIM(C380)="","ИНН не указан",IF(LEN(C380)&lt;&gt;10,"ИНН: должно быть 10 цифр",IF(NOT(ISNUMBER(IFERROR(VALUE(C380),"x"))),"ИНН: есть нецифровые символы",IF(MOD(MOD(SUMPRODUCT(--MID(C380,{1,2,3,4,5,6,7,8,9},1),{2,4,10,3,5,9,4,6,8}),11),10)=VALUE(RIGHT(C380,1)),"","ИНН: неверная контрольная цифра"))))</f>
        <v/>
      </c>
      <c r="L380" s="24" t="str">
        <f aca="false">IF(TRIM(D380)="","ОГРН не указан",IF(LEN(D380)&lt;&gt;13,"ОГРН: должно быть 13 цифр",IF(NOT(ISNUMBER(IFERROR(VALUE(D380),"x"))),"ОГРН: есть нецифровые символы",IF(MOD(VALUE(LEFT(D380,12))-11*INT(VALUE(LEFT(D380,12))/11),10)=VALUE(RIGHT(D380,1)),"","ОГРН: неверная контрольная цифра"))))</f>
        <v/>
      </c>
      <c r="M380" s="24" t="str">
        <f aca="false">IF(TRIM(E380)="","КПП не указан",IF(LEN(E380)&lt;&gt;9,"КПП: должно быть 9 знаков",IF(NOT(AND(ISNUMBER(IFERROR(VALUE(LEFT(E380,4)),"x")),ISNUMBER(IFERROR(VALUE(RIGHT(E380,3)),"x")))),"КПП: неверный формат",IF(LEFT(E380,2)&lt;&gt;LEFT(C380,2),"КПП: код региона не совпадает с ИНН",""))))</f>
        <v/>
      </c>
      <c r="N380" s="24" t="str">
        <f aca="false">IF(TRIM(C380)="","",IF(COUNTIF($C$2:$C$401,C380)&gt;1,"Дубликат ИНН в реестре",""))</f>
        <v>Дубликат ИНН в реестре</v>
      </c>
      <c r="O380" s="24" t="str">
        <f aca="false">IF(TRIM(H380)="","Email не указан",IF(AND(ISNUMBER(FIND("@",H380)),ISNUMBER(FIND(".",H380,IFERROR(FIND("@",H380),1))),ISERROR(FIND(" ",H380)),LEFT(H380,1)&lt;&gt;"@",RIGHT(H380,1)&lt;&gt;".",LEN(H380)-LEN(SUBSTITUTE(H380,"@",""))=1),"","Email: неверный формат"))</f>
        <v/>
      </c>
      <c r="P380" s="24" t="str">
        <f aca="false">IF(TRIM(I380)="","Телефон не указан",IF(AND(LEN(SUBSTITUTE(SUBSTITUTE(SUBSTITUTE(SUBSTITUTE(SUBSTITUTE(I380," ",""),"-",""),"(",""),")",""),"+",""))=11,OR(LEFT(SUBSTITUTE(SUBSTITUTE(SUBSTITUTE(SUBSTITUTE(SUBSTITUTE(I380," ",""),"-",""),"(",""),")",""),"+",""),1)="7",LEFT(SUBSTITUTE(SUBSTITUTE(SUBSTITUTE(SUBSTITUTE(SUBSTITUTE(I380," ",""),"-",""),"(",""),")",""),"+",""),1)="8"),ISNUMBER(IFERROR(VALUE(SUBSTITUTE(SUBSTITUTE(SUBSTITUTE(SUBSTITUTE(SUBSTITUTE(I380," ",""),"-",""),"(",""),")",""),"+","")),"x"))),"","Телефон: неверный формат"))</f>
        <v/>
      </c>
      <c r="Q380" s="24" t="str">
        <f aca="false">TRIM(IF(TRIM(B380)="","Нет наименования. ","")&amp;IF(TRIM(F380)="","Нет адреса. ","")&amp;IF(TRIM(G380)="","Нет контактного лица.",""))</f>
        <v/>
      </c>
      <c r="R380" s="21" t="n">
        <f aca="false">SUMPRODUCT(--(LEN(K380:Q380)&gt;0))</f>
        <v>1</v>
      </c>
      <c r="S380" s="24" t="str">
        <f aca="false">IF(R380=0,"Готово к передаче","Требует исправления")</f>
        <v>Требует исправления</v>
      </c>
      <c r="T380" s="24" t="str">
        <f aca="false">IF(R380=0,"",_xlfn.TEXTJOIN("; ",TRUE(),K380:Q380))</f>
        <v>Дубликат ИНН в реестре</v>
      </c>
      <c r="U380" s="24" t="str">
        <f aca="false">IF(R380=0,"","Здравствуйте! В данных организации «"&amp;B380&amp;"» обнаружены ошибки: "&amp;T380&amp;". Просим проверить и прислать исправленную информацию.")</f>
        <v>Здравствуйте! В данных организации «ООО «Горизонт Логистик»» обнаружены ошибки: Дубликат ИНН в реестре. Просим проверить и прислать исправленную информацию.</v>
      </c>
      <c r="V380" s="21" t="n">
        <f aca="false">IF(R380&gt;0,COUNTIF($R$2:R380,"&gt;0"),"")</f>
        <v>110</v>
      </c>
      <c r="W380" s="21" t="str">
        <f aca="false">IF(R380=0,COUNTIF($R$2:R380,0),"")</f>
        <v/>
      </c>
    </row>
    <row r="381" customFormat="false" ht="15" hidden="false" customHeight="false" outlineLevel="0" collapsed="false">
      <c r="A381" s="21" t="n">
        <v>380</v>
      </c>
      <c r="B381" s="22" t="s">
        <v>3053</v>
      </c>
      <c r="C381" s="23" t="s">
        <v>3054</v>
      </c>
      <c r="D381" s="23" t="s">
        <v>3055</v>
      </c>
      <c r="E381" s="23" t="s">
        <v>3056</v>
      </c>
      <c r="F381" s="22" t="s">
        <v>3057</v>
      </c>
      <c r="G381" s="22" t="s">
        <v>3058</v>
      </c>
      <c r="H381" s="22" t="s">
        <v>3059</v>
      </c>
      <c r="I381" s="23" t="s">
        <v>3060</v>
      </c>
      <c r="J381" s="24" t="str">
        <f aca="false">IFERROR(VLOOKUP(VALUE(LEFT(C381,2)),Справочники!$A$2:$B$16,2,FALSE()),"не определён")</f>
        <v>г. Санкт-Петербург</v>
      </c>
      <c r="K381" s="24" t="str">
        <f aca="false">IF(TRIM(C381)="","ИНН не указан",IF(LEN(C381)&lt;&gt;10,"ИНН: должно быть 10 цифр",IF(NOT(ISNUMBER(IFERROR(VALUE(C381),"x"))),"ИНН: есть нецифровые символы",IF(MOD(MOD(SUMPRODUCT(--MID(C381,{1,2,3,4,5,6,7,8,9},1),{2,4,10,3,5,9,4,6,8}),11),10)=VALUE(RIGHT(C381,1)),"","ИНН: неверная контрольная цифра"))))</f>
        <v/>
      </c>
      <c r="L381" s="24" t="str">
        <f aca="false">IF(TRIM(D381)="","ОГРН не указан",IF(LEN(D381)&lt;&gt;13,"ОГРН: должно быть 13 цифр",IF(NOT(ISNUMBER(IFERROR(VALUE(D381),"x"))),"ОГРН: есть нецифровые символы",IF(MOD(VALUE(LEFT(D381,12))-11*INT(VALUE(LEFT(D381,12))/11),10)=VALUE(RIGHT(D381,1)),"","ОГРН: неверная контрольная цифра"))))</f>
        <v/>
      </c>
      <c r="M381" s="24" t="str">
        <f aca="false">IF(TRIM(E381)="","КПП не указан",IF(LEN(E381)&lt;&gt;9,"КПП: должно быть 9 знаков",IF(NOT(AND(ISNUMBER(IFERROR(VALUE(LEFT(E381,4)),"x")),ISNUMBER(IFERROR(VALUE(RIGHT(E381,3)),"x")))),"КПП: неверный формат",IF(LEFT(E381,2)&lt;&gt;LEFT(C381,2),"КПП: код региона не совпадает с ИНН",""))))</f>
        <v/>
      </c>
      <c r="N381" s="24" t="str">
        <f aca="false">IF(TRIM(C381)="","",IF(COUNTIF($C$2:$C$401,C381)&gt;1,"Дубликат ИНН в реестре",""))</f>
        <v/>
      </c>
      <c r="O381" s="24" t="str">
        <f aca="false">IF(TRIM(H381)="","Email не указан",IF(AND(ISNUMBER(FIND("@",H381)),ISNUMBER(FIND(".",H381,IFERROR(FIND("@",H381),1))),ISERROR(FIND(" ",H381)),LEFT(H381,1)&lt;&gt;"@",RIGHT(H381,1)&lt;&gt;".",LEN(H381)-LEN(SUBSTITUTE(H381,"@",""))=1),"","Email: неверный формат"))</f>
        <v/>
      </c>
      <c r="P381" s="24" t="str">
        <f aca="false">IF(TRIM(I381)="","Телефон не указан",IF(AND(LEN(SUBSTITUTE(SUBSTITUTE(SUBSTITUTE(SUBSTITUTE(SUBSTITUTE(I381," ",""),"-",""),"(",""),")",""),"+",""))=11,OR(LEFT(SUBSTITUTE(SUBSTITUTE(SUBSTITUTE(SUBSTITUTE(SUBSTITUTE(I381," ",""),"-",""),"(",""),")",""),"+",""),1)="7",LEFT(SUBSTITUTE(SUBSTITUTE(SUBSTITUTE(SUBSTITUTE(SUBSTITUTE(I381," ",""),"-",""),"(",""),")",""),"+",""),1)="8"),ISNUMBER(IFERROR(VALUE(SUBSTITUTE(SUBSTITUTE(SUBSTITUTE(SUBSTITUTE(SUBSTITUTE(I381," ",""),"-",""),"(",""),")",""),"+","")),"x"))),"","Телефон: неверный формат"))</f>
        <v/>
      </c>
      <c r="Q381" s="24" t="str">
        <f aca="false">TRIM(IF(TRIM(B381)="","Нет наименования. ","")&amp;IF(TRIM(F381)="","Нет адреса. ","")&amp;IF(TRIM(G381)="","Нет контактного лица.",""))</f>
        <v/>
      </c>
      <c r="R381" s="21" t="n">
        <f aca="false">SUMPRODUCT(--(LEN(K381:Q381)&gt;0))</f>
        <v>0</v>
      </c>
      <c r="S381" s="24" t="str">
        <f aca="false">IF(R381=0,"Готово к передаче","Требует исправления")</f>
        <v>Готово к передаче</v>
      </c>
      <c r="T381" s="24" t="str">
        <f aca="false">IF(R381=0,"",_xlfn.TEXTJOIN("; ",TRUE(),K381:Q381))</f>
        <v/>
      </c>
      <c r="U381" s="24" t="str">
        <f aca="false">IF(R381=0,"","Здравствуйте! В данных организации «"&amp;B381&amp;"» обнаружены ошибки: "&amp;T381&amp;". Просим проверить и прислать исправленную информацию.")</f>
        <v/>
      </c>
      <c r="V381" s="21" t="str">
        <f aca="false">IF(R381&gt;0,COUNTIF($R$2:R381,"&gt;0"),"")</f>
        <v/>
      </c>
      <c r="W381" s="21" t="n">
        <f aca="false">IF(R381=0,COUNTIF($R$2:R381,0),"")</f>
        <v>270</v>
      </c>
    </row>
    <row r="382" customFormat="false" ht="15" hidden="false" customHeight="false" outlineLevel="0" collapsed="false">
      <c r="A382" s="21" t="n">
        <v>381</v>
      </c>
      <c r="B382" s="22" t="s">
        <v>3061</v>
      </c>
      <c r="C382" s="23" t="s">
        <v>3062</v>
      </c>
      <c r="D382" s="23" t="s">
        <v>3063</v>
      </c>
      <c r="E382" s="23" t="s">
        <v>3064</v>
      </c>
      <c r="F382" s="22" t="s">
        <v>3065</v>
      </c>
      <c r="G382" s="22" t="s">
        <v>3066</v>
      </c>
      <c r="H382" s="22" t="s">
        <v>3067</v>
      </c>
      <c r="I382" s="23" t="s">
        <v>3068</v>
      </c>
      <c r="J382" s="24" t="str">
        <f aca="false">IFERROR(VLOOKUP(VALUE(LEFT(C382,2)),Справочники!$A$2:$B$16,2,FALSE()),"не определён")</f>
        <v>Краснодарский край</v>
      </c>
      <c r="K382" s="24" t="str">
        <f aca="false">IF(TRIM(C382)="","ИНН не указан",IF(LEN(C382)&lt;&gt;10,"ИНН: должно быть 10 цифр",IF(NOT(ISNUMBER(IFERROR(VALUE(C382),"x"))),"ИНН: есть нецифровые символы",IF(MOD(MOD(SUMPRODUCT(--MID(C382,{1,2,3,4,5,6,7,8,9},1),{2,4,10,3,5,9,4,6,8}),11),10)=VALUE(RIGHT(C382,1)),"","ИНН: неверная контрольная цифра"))))</f>
        <v/>
      </c>
      <c r="L382" s="24" t="str">
        <f aca="false">IF(TRIM(D382)="","ОГРН не указан",IF(LEN(D382)&lt;&gt;13,"ОГРН: должно быть 13 цифр",IF(NOT(ISNUMBER(IFERROR(VALUE(D382),"x"))),"ОГРН: есть нецифровые символы",IF(MOD(VALUE(LEFT(D382,12))-11*INT(VALUE(LEFT(D382,12))/11),10)=VALUE(RIGHT(D382,1)),"","ОГРН: неверная контрольная цифра"))))</f>
        <v/>
      </c>
      <c r="M382" s="24" t="str">
        <f aca="false">IF(TRIM(E382)="","КПП не указан",IF(LEN(E382)&lt;&gt;9,"КПП: должно быть 9 знаков",IF(NOT(AND(ISNUMBER(IFERROR(VALUE(LEFT(E382,4)),"x")),ISNUMBER(IFERROR(VALUE(RIGHT(E382,3)),"x")))),"КПП: неверный формат",IF(LEFT(E382,2)&lt;&gt;LEFT(C382,2),"КПП: код региона не совпадает с ИНН",""))))</f>
        <v/>
      </c>
      <c r="N382" s="24" t="str">
        <f aca="false">IF(TRIM(C382)="","",IF(COUNTIF($C$2:$C$401,C382)&gt;1,"Дубликат ИНН в реестре",""))</f>
        <v/>
      </c>
      <c r="O382" s="24" t="str">
        <f aca="false">IF(TRIM(H382)="","Email не указан",IF(AND(ISNUMBER(FIND("@",H382)),ISNUMBER(FIND(".",H382,IFERROR(FIND("@",H382),1))),ISERROR(FIND(" ",H382)),LEFT(H382,1)&lt;&gt;"@",RIGHT(H382,1)&lt;&gt;".",LEN(H382)-LEN(SUBSTITUTE(H382,"@",""))=1),"","Email: неверный формат"))</f>
        <v/>
      </c>
      <c r="P382" s="24" t="str">
        <f aca="false">IF(TRIM(I382)="","Телефон не указан",IF(AND(LEN(SUBSTITUTE(SUBSTITUTE(SUBSTITUTE(SUBSTITUTE(SUBSTITUTE(I382," ",""),"-",""),"(",""),")",""),"+",""))=11,OR(LEFT(SUBSTITUTE(SUBSTITUTE(SUBSTITUTE(SUBSTITUTE(SUBSTITUTE(I382," ",""),"-",""),"(",""),")",""),"+",""),1)="7",LEFT(SUBSTITUTE(SUBSTITUTE(SUBSTITUTE(SUBSTITUTE(SUBSTITUTE(I382," ",""),"-",""),"(",""),")",""),"+",""),1)="8"),ISNUMBER(IFERROR(VALUE(SUBSTITUTE(SUBSTITUTE(SUBSTITUTE(SUBSTITUTE(SUBSTITUTE(I382," ",""),"-",""),"(",""),")",""),"+","")),"x"))),"","Телефон: неверный формат"))</f>
        <v/>
      </c>
      <c r="Q382" s="24" t="str">
        <f aca="false">TRIM(IF(TRIM(B382)="","Нет наименования. ","")&amp;IF(TRIM(F382)="","Нет адреса. ","")&amp;IF(TRIM(G382)="","Нет контактного лица.",""))</f>
        <v/>
      </c>
      <c r="R382" s="21" t="n">
        <f aca="false">SUMPRODUCT(--(LEN(K382:Q382)&gt;0))</f>
        <v>0</v>
      </c>
      <c r="S382" s="24" t="str">
        <f aca="false">IF(R382=0,"Готово к передаче","Требует исправления")</f>
        <v>Готово к передаче</v>
      </c>
      <c r="T382" s="24" t="str">
        <f aca="false">IF(R382=0,"",_xlfn.TEXTJOIN("; ",TRUE(),K382:Q382))</f>
        <v/>
      </c>
      <c r="U382" s="24" t="str">
        <f aca="false">IF(R382=0,"","Здравствуйте! В данных организации «"&amp;B382&amp;"» обнаружены ошибки: "&amp;T382&amp;". Просим проверить и прислать исправленную информацию.")</f>
        <v/>
      </c>
      <c r="V382" s="21" t="str">
        <f aca="false">IF(R382&gt;0,COUNTIF($R$2:R382,"&gt;0"),"")</f>
        <v/>
      </c>
      <c r="W382" s="21" t="n">
        <f aca="false">IF(R382=0,COUNTIF($R$2:R382,0),"")</f>
        <v>271</v>
      </c>
    </row>
    <row r="383" customFormat="false" ht="15" hidden="false" customHeight="false" outlineLevel="0" collapsed="false">
      <c r="A383" s="21" t="n">
        <v>382</v>
      </c>
      <c r="B383" s="22" t="s">
        <v>3069</v>
      </c>
      <c r="C383" s="23" t="s">
        <v>3070</v>
      </c>
      <c r="D383" s="23" t="s">
        <v>3071</v>
      </c>
      <c r="E383" s="23" t="s">
        <v>3072</v>
      </c>
      <c r="F383" s="22" t="s">
        <v>3073</v>
      </c>
      <c r="G383" s="22" t="s">
        <v>3074</v>
      </c>
      <c r="H383" s="22" t="s">
        <v>3075</v>
      </c>
      <c r="I383" s="23" t="s">
        <v>3076</v>
      </c>
      <c r="J383" s="24" t="str">
        <f aca="false">IFERROR(VLOOKUP(VALUE(LEFT(C383,2)),Справочники!$A$2:$B$16,2,FALSE()),"не определён")</f>
        <v>г. Санкт-Петербург</v>
      </c>
      <c r="K383" s="24" t="str">
        <f aca="false">IF(TRIM(C383)="","ИНН не указан",IF(LEN(C383)&lt;&gt;10,"ИНН: должно быть 10 цифр",IF(NOT(ISNUMBER(IFERROR(VALUE(C383),"x"))),"ИНН: есть нецифровые символы",IF(MOD(MOD(SUMPRODUCT(--MID(C383,{1,2,3,4,5,6,7,8,9},1),{2,4,10,3,5,9,4,6,8}),11),10)=VALUE(RIGHT(C383,1)),"","ИНН: неверная контрольная цифра"))))</f>
        <v/>
      </c>
      <c r="L383" s="24" t="str">
        <f aca="false">IF(TRIM(D383)="","ОГРН не указан",IF(LEN(D383)&lt;&gt;13,"ОГРН: должно быть 13 цифр",IF(NOT(ISNUMBER(IFERROR(VALUE(D383),"x"))),"ОГРН: есть нецифровые символы",IF(MOD(VALUE(LEFT(D383,12))-11*INT(VALUE(LEFT(D383,12))/11),10)=VALUE(RIGHT(D383,1)),"","ОГРН: неверная контрольная цифра"))))</f>
        <v/>
      </c>
      <c r="M383" s="24" t="str">
        <f aca="false">IF(TRIM(E383)="","КПП не указан",IF(LEN(E383)&lt;&gt;9,"КПП: должно быть 9 знаков",IF(NOT(AND(ISNUMBER(IFERROR(VALUE(LEFT(E383,4)),"x")),ISNUMBER(IFERROR(VALUE(RIGHT(E383,3)),"x")))),"КПП: неверный формат",IF(LEFT(E383,2)&lt;&gt;LEFT(C383,2),"КПП: код региона не совпадает с ИНН",""))))</f>
        <v/>
      </c>
      <c r="N383" s="24" t="str">
        <f aca="false">IF(TRIM(C383)="","",IF(COUNTIF($C$2:$C$401,C383)&gt;1,"Дубликат ИНН в реестре",""))</f>
        <v/>
      </c>
      <c r="O383" s="24" t="str">
        <f aca="false">IF(TRIM(H383)="","Email не указан",IF(AND(ISNUMBER(FIND("@",H383)),ISNUMBER(FIND(".",H383,IFERROR(FIND("@",H383),1))),ISERROR(FIND(" ",H383)),LEFT(H383,1)&lt;&gt;"@",RIGHT(H383,1)&lt;&gt;".",LEN(H383)-LEN(SUBSTITUTE(H383,"@",""))=1),"","Email: неверный формат"))</f>
        <v/>
      </c>
      <c r="P383" s="24" t="str">
        <f aca="false">IF(TRIM(I383)="","Телефон не указан",IF(AND(LEN(SUBSTITUTE(SUBSTITUTE(SUBSTITUTE(SUBSTITUTE(SUBSTITUTE(I383," ",""),"-",""),"(",""),")",""),"+",""))=11,OR(LEFT(SUBSTITUTE(SUBSTITUTE(SUBSTITUTE(SUBSTITUTE(SUBSTITUTE(I383," ",""),"-",""),"(",""),")",""),"+",""),1)="7",LEFT(SUBSTITUTE(SUBSTITUTE(SUBSTITUTE(SUBSTITUTE(SUBSTITUTE(I383," ",""),"-",""),"(",""),")",""),"+",""),1)="8"),ISNUMBER(IFERROR(VALUE(SUBSTITUTE(SUBSTITUTE(SUBSTITUTE(SUBSTITUTE(SUBSTITUTE(I383," ",""),"-",""),"(",""),")",""),"+","")),"x"))),"","Телефон: неверный формат"))</f>
        <v/>
      </c>
      <c r="Q383" s="24" t="str">
        <f aca="false">TRIM(IF(TRIM(B383)="","Нет наименования. ","")&amp;IF(TRIM(F383)="","Нет адреса. ","")&amp;IF(TRIM(G383)="","Нет контактного лица.",""))</f>
        <v/>
      </c>
      <c r="R383" s="21" t="n">
        <f aca="false">SUMPRODUCT(--(LEN(K383:Q383)&gt;0))</f>
        <v>0</v>
      </c>
      <c r="S383" s="24" t="str">
        <f aca="false">IF(R383=0,"Готово к передаче","Требует исправления")</f>
        <v>Готово к передаче</v>
      </c>
      <c r="T383" s="24" t="str">
        <f aca="false">IF(R383=0,"",_xlfn.TEXTJOIN("; ",TRUE(),K383:Q383))</f>
        <v/>
      </c>
      <c r="U383" s="24" t="str">
        <f aca="false">IF(R383=0,"","Здравствуйте! В данных организации «"&amp;B383&amp;"» обнаружены ошибки: "&amp;T383&amp;". Просим проверить и прислать исправленную информацию.")</f>
        <v/>
      </c>
      <c r="V383" s="21" t="str">
        <f aca="false">IF(R383&gt;0,COUNTIF($R$2:R383,"&gt;0"),"")</f>
        <v/>
      </c>
      <c r="W383" s="21" t="n">
        <f aca="false">IF(R383=0,COUNTIF($R$2:R383,0),"")</f>
        <v>272</v>
      </c>
    </row>
    <row r="384" customFormat="false" ht="15" hidden="false" customHeight="false" outlineLevel="0" collapsed="false">
      <c r="A384" s="21" t="n">
        <v>383</v>
      </c>
      <c r="B384" s="22" t="s">
        <v>3077</v>
      </c>
      <c r="C384" s="23" t="s">
        <v>3078</v>
      </c>
      <c r="D384" s="23" t="s">
        <v>3079</v>
      </c>
      <c r="E384" s="23" t="s">
        <v>3080</v>
      </c>
      <c r="F384" s="22" t="s">
        <v>3081</v>
      </c>
      <c r="G384" s="22" t="s">
        <v>3082</v>
      </c>
      <c r="H384" s="22" t="s">
        <v>3083</v>
      </c>
      <c r="I384" s="23" t="s">
        <v>3084</v>
      </c>
      <c r="J384" s="24" t="str">
        <f aca="false">IFERROR(VLOOKUP(VALUE(LEFT(C384,2)),Справочники!$A$2:$B$16,2,FALSE()),"не определён")</f>
        <v>Краснодарский край</v>
      </c>
      <c r="K384" s="24" t="str">
        <f aca="false">IF(TRIM(C384)="","ИНН не указан",IF(LEN(C384)&lt;&gt;10,"ИНН: должно быть 10 цифр",IF(NOT(ISNUMBER(IFERROR(VALUE(C384),"x"))),"ИНН: есть нецифровые символы",IF(MOD(MOD(SUMPRODUCT(--MID(C384,{1,2,3,4,5,6,7,8,9},1),{2,4,10,3,5,9,4,6,8}),11),10)=VALUE(RIGHT(C384,1)),"","ИНН: неверная контрольная цифра"))))</f>
        <v/>
      </c>
      <c r="L384" s="24" t="str">
        <f aca="false">IF(TRIM(D384)="","ОГРН не указан",IF(LEN(D384)&lt;&gt;13,"ОГРН: должно быть 13 цифр",IF(NOT(ISNUMBER(IFERROR(VALUE(D384),"x"))),"ОГРН: есть нецифровые символы",IF(MOD(VALUE(LEFT(D384,12))-11*INT(VALUE(LEFT(D384,12))/11),10)=VALUE(RIGHT(D384,1)),"","ОГРН: неверная контрольная цифра"))))</f>
        <v/>
      </c>
      <c r="M384" s="24" t="str">
        <f aca="false">IF(TRIM(E384)="","КПП не указан",IF(LEN(E384)&lt;&gt;9,"КПП: должно быть 9 знаков",IF(NOT(AND(ISNUMBER(IFERROR(VALUE(LEFT(E384,4)),"x")),ISNUMBER(IFERROR(VALUE(RIGHT(E384,3)),"x")))),"КПП: неверный формат",IF(LEFT(E384,2)&lt;&gt;LEFT(C384,2),"КПП: код региона не совпадает с ИНН",""))))</f>
        <v/>
      </c>
      <c r="N384" s="24" t="str">
        <f aca="false">IF(TRIM(C384)="","",IF(COUNTIF($C$2:$C$401,C384)&gt;1,"Дубликат ИНН в реестре",""))</f>
        <v/>
      </c>
      <c r="O384" s="24" t="str">
        <f aca="false">IF(TRIM(H384)="","Email не указан",IF(AND(ISNUMBER(FIND("@",H384)),ISNUMBER(FIND(".",H384,IFERROR(FIND("@",H384),1))),ISERROR(FIND(" ",H384)),LEFT(H384,1)&lt;&gt;"@",RIGHT(H384,1)&lt;&gt;".",LEN(H384)-LEN(SUBSTITUTE(H384,"@",""))=1),"","Email: неверный формат"))</f>
        <v/>
      </c>
      <c r="P384" s="24" t="str">
        <f aca="false">IF(TRIM(I384)="","Телефон не указан",IF(AND(LEN(SUBSTITUTE(SUBSTITUTE(SUBSTITUTE(SUBSTITUTE(SUBSTITUTE(I384," ",""),"-",""),"(",""),")",""),"+",""))=11,OR(LEFT(SUBSTITUTE(SUBSTITUTE(SUBSTITUTE(SUBSTITUTE(SUBSTITUTE(I384," ",""),"-",""),"(",""),")",""),"+",""),1)="7",LEFT(SUBSTITUTE(SUBSTITUTE(SUBSTITUTE(SUBSTITUTE(SUBSTITUTE(I384," ",""),"-",""),"(",""),")",""),"+",""),1)="8"),ISNUMBER(IFERROR(VALUE(SUBSTITUTE(SUBSTITUTE(SUBSTITUTE(SUBSTITUTE(SUBSTITUTE(I384," ",""),"-",""),"(",""),")",""),"+","")),"x"))),"","Телефон: неверный формат"))</f>
        <v/>
      </c>
      <c r="Q384" s="24" t="str">
        <f aca="false">TRIM(IF(TRIM(B384)="","Нет наименования. ","")&amp;IF(TRIM(F384)="","Нет адреса. ","")&amp;IF(TRIM(G384)="","Нет контактного лица.",""))</f>
        <v/>
      </c>
      <c r="R384" s="21" t="n">
        <f aca="false">SUMPRODUCT(--(LEN(K384:Q384)&gt;0))</f>
        <v>0</v>
      </c>
      <c r="S384" s="24" t="str">
        <f aca="false">IF(R384=0,"Готово к передаче","Требует исправления")</f>
        <v>Готово к передаче</v>
      </c>
      <c r="T384" s="24" t="str">
        <f aca="false">IF(R384=0,"",_xlfn.TEXTJOIN("; ",TRUE(),K384:Q384))</f>
        <v/>
      </c>
      <c r="U384" s="24" t="str">
        <f aca="false">IF(R384=0,"","Здравствуйте! В данных организации «"&amp;B384&amp;"» обнаружены ошибки: "&amp;T384&amp;". Просим проверить и прислать исправленную информацию.")</f>
        <v/>
      </c>
      <c r="V384" s="21" t="str">
        <f aca="false">IF(R384&gt;0,COUNTIF($R$2:R384,"&gt;0"),"")</f>
        <v/>
      </c>
      <c r="W384" s="21" t="n">
        <f aca="false">IF(R384=0,COUNTIF($R$2:R384,0),"")</f>
        <v>273</v>
      </c>
    </row>
    <row r="385" customFormat="false" ht="15" hidden="false" customHeight="false" outlineLevel="0" collapsed="false">
      <c r="A385" s="21" t="n">
        <v>384</v>
      </c>
      <c r="B385" s="22" t="s">
        <v>3085</v>
      </c>
      <c r="C385" s="23" t="s">
        <v>3086</v>
      </c>
      <c r="D385" s="23" t="s">
        <v>3087</v>
      </c>
      <c r="E385" s="23" t="s">
        <v>3088</v>
      </c>
      <c r="F385" s="22" t="s">
        <v>3089</v>
      </c>
      <c r="G385" s="22" t="s">
        <v>3090</v>
      </c>
      <c r="H385" s="22" t="s">
        <v>3091</v>
      </c>
      <c r="I385" s="23" t="s">
        <v>3092</v>
      </c>
      <c r="J385" s="24" t="str">
        <f aca="false">IFERROR(VLOOKUP(VALUE(LEFT(C385,2)),Справочники!$A$2:$B$16,2,FALSE()),"не определён")</f>
        <v>Ростовская область</v>
      </c>
      <c r="K385" s="24" t="str">
        <f aca="false">IF(TRIM(C385)="","ИНН не указан",IF(LEN(C385)&lt;&gt;10,"ИНН: должно быть 10 цифр",IF(NOT(ISNUMBER(IFERROR(VALUE(C385),"x"))),"ИНН: есть нецифровые символы",IF(MOD(MOD(SUMPRODUCT(--MID(C385,{1,2,3,4,5,6,7,8,9},1),{2,4,10,3,5,9,4,6,8}),11),10)=VALUE(RIGHT(C385,1)),"","ИНН: неверная контрольная цифра"))))</f>
        <v/>
      </c>
      <c r="L385" s="24" t="str">
        <f aca="false">IF(TRIM(D385)="","ОГРН не указан",IF(LEN(D385)&lt;&gt;13,"ОГРН: должно быть 13 цифр",IF(NOT(ISNUMBER(IFERROR(VALUE(D385),"x"))),"ОГРН: есть нецифровые символы",IF(MOD(VALUE(LEFT(D385,12))-11*INT(VALUE(LEFT(D385,12))/11),10)=VALUE(RIGHT(D385,1)),"","ОГРН: неверная контрольная цифра"))))</f>
        <v>ОГРН: неверная контрольная цифра</v>
      </c>
      <c r="M385" s="24" t="str">
        <f aca="false">IF(TRIM(E385)="","КПП не указан",IF(LEN(E385)&lt;&gt;9,"КПП: должно быть 9 знаков",IF(NOT(AND(ISNUMBER(IFERROR(VALUE(LEFT(E385,4)),"x")),ISNUMBER(IFERROR(VALUE(RIGHT(E385,3)),"x")))),"КПП: неверный формат",IF(LEFT(E385,2)&lt;&gt;LEFT(C385,2),"КПП: код региона не совпадает с ИНН",""))))</f>
        <v/>
      </c>
      <c r="N385" s="24" t="str">
        <f aca="false">IF(TRIM(C385)="","",IF(COUNTIF($C$2:$C$401,C385)&gt;1,"Дубликат ИНН в реестре",""))</f>
        <v/>
      </c>
      <c r="O385" s="24" t="str">
        <f aca="false">IF(TRIM(H385)="","Email не указан",IF(AND(ISNUMBER(FIND("@",H385)),ISNUMBER(FIND(".",H385,IFERROR(FIND("@",H385),1))),ISERROR(FIND(" ",H385)),LEFT(H385,1)&lt;&gt;"@",RIGHT(H385,1)&lt;&gt;".",LEN(H385)-LEN(SUBSTITUTE(H385,"@",""))=1),"","Email: неверный формат"))</f>
        <v/>
      </c>
      <c r="P385" s="24" t="str">
        <f aca="false">IF(TRIM(I385)="","Телефон не указан",IF(AND(LEN(SUBSTITUTE(SUBSTITUTE(SUBSTITUTE(SUBSTITUTE(SUBSTITUTE(I385," ",""),"-",""),"(",""),")",""),"+",""))=11,OR(LEFT(SUBSTITUTE(SUBSTITUTE(SUBSTITUTE(SUBSTITUTE(SUBSTITUTE(I385," ",""),"-",""),"(",""),")",""),"+",""),1)="7",LEFT(SUBSTITUTE(SUBSTITUTE(SUBSTITUTE(SUBSTITUTE(SUBSTITUTE(I385," ",""),"-",""),"(",""),")",""),"+",""),1)="8"),ISNUMBER(IFERROR(VALUE(SUBSTITUTE(SUBSTITUTE(SUBSTITUTE(SUBSTITUTE(SUBSTITUTE(I385," ",""),"-",""),"(",""),")",""),"+","")),"x"))),"","Телефон: неверный формат"))</f>
        <v/>
      </c>
      <c r="Q385" s="24" t="str">
        <f aca="false">TRIM(IF(TRIM(B385)="","Нет наименования. ","")&amp;IF(TRIM(F385)="","Нет адреса. ","")&amp;IF(TRIM(G385)="","Нет контактного лица.",""))</f>
        <v/>
      </c>
      <c r="R385" s="21" t="n">
        <f aca="false">SUMPRODUCT(--(LEN(K385:Q385)&gt;0))</f>
        <v>1</v>
      </c>
      <c r="S385" s="24" t="str">
        <f aca="false">IF(R385=0,"Готово к передаче","Требует исправления")</f>
        <v>Требует исправления</v>
      </c>
      <c r="T385" s="24" t="str">
        <f aca="false">IF(R385=0,"",_xlfn.TEXTJOIN("; ",TRUE(),K385:Q385))</f>
        <v>ОГРН: неверная контрольная цифра</v>
      </c>
      <c r="U385" s="24" t="str">
        <f aca="false">IF(R385=0,"","Здравствуйте! В данных организации «"&amp;B385&amp;"» обнаружены ошибки: "&amp;T385&amp;". Просим проверить и прислать исправленную информацию.")</f>
        <v>Здравствуйте! В данных организации «ООО «Эталон Строй»» обнаружены ошибки: ОГРН: неверная контрольная цифра. Просим проверить и прислать исправленную информацию.</v>
      </c>
      <c r="V385" s="21" t="n">
        <f aca="false">IF(R385&gt;0,COUNTIF($R$2:R385,"&gt;0"),"")</f>
        <v>111</v>
      </c>
      <c r="W385" s="21" t="str">
        <f aca="false">IF(R385=0,COUNTIF($R$2:R385,0),"")</f>
        <v/>
      </c>
    </row>
    <row r="386" customFormat="false" ht="15" hidden="false" customHeight="false" outlineLevel="0" collapsed="false">
      <c r="A386" s="21" t="n">
        <v>385</v>
      </c>
      <c r="B386" s="22" t="s">
        <v>3093</v>
      </c>
      <c r="C386" s="23" t="s">
        <v>3094</v>
      </c>
      <c r="D386" s="23" t="s">
        <v>3095</v>
      </c>
      <c r="E386" s="23" t="s">
        <v>3096</v>
      </c>
      <c r="F386" s="22" t="s">
        <v>3097</v>
      </c>
      <c r="G386" s="22" t="s">
        <v>3098</v>
      </c>
      <c r="H386" s="22" t="s">
        <v>3099</v>
      </c>
      <c r="I386" s="23" t="s">
        <v>3100</v>
      </c>
      <c r="J386" s="24" t="str">
        <f aca="false">IFERROR(VLOOKUP(VALUE(LEFT(C386,2)),Справочники!$A$2:$B$16,2,FALSE()),"не определён")</f>
        <v>г. Севастополь</v>
      </c>
      <c r="K386" s="24" t="str">
        <f aca="false">IF(TRIM(C386)="","ИНН не указан",IF(LEN(C386)&lt;&gt;10,"ИНН: должно быть 10 цифр",IF(NOT(ISNUMBER(IFERROR(VALUE(C386),"x"))),"ИНН: есть нецифровые символы",IF(MOD(MOD(SUMPRODUCT(--MID(C386,{1,2,3,4,5,6,7,8,9},1),{2,4,10,3,5,9,4,6,8}),11),10)=VALUE(RIGHT(C386,1)),"","ИНН: неверная контрольная цифра"))))</f>
        <v/>
      </c>
      <c r="L386" s="24" t="str">
        <f aca="false">IF(TRIM(D386)="","ОГРН не указан",IF(LEN(D386)&lt;&gt;13,"ОГРН: должно быть 13 цифр",IF(NOT(ISNUMBER(IFERROR(VALUE(D386),"x"))),"ОГРН: есть нецифровые символы",IF(MOD(VALUE(LEFT(D386,12))-11*INT(VALUE(LEFT(D386,12))/11),10)=VALUE(RIGHT(D386,1)),"","ОГРН: неверная контрольная цифра"))))</f>
        <v/>
      </c>
      <c r="M386" s="24" t="str">
        <f aca="false">IF(TRIM(E386)="","КПП не указан",IF(LEN(E386)&lt;&gt;9,"КПП: должно быть 9 знаков",IF(NOT(AND(ISNUMBER(IFERROR(VALUE(LEFT(E386,4)),"x")),ISNUMBER(IFERROR(VALUE(RIGHT(E386,3)),"x")))),"КПП: неверный формат",IF(LEFT(E386,2)&lt;&gt;LEFT(C386,2),"КПП: код региона не совпадает с ИНН",""))))</f>
        <v/>
      </c>
      <c r="N386" s="24" t="str">
        <f aca="false">IF(TRIM(C386)="","",IF(COUNTIF($C$2:$C$401,C386)&gt;1,"Дубликат ИНН в реестре",""))</f>
        <v/>
      </c>
      <c r="O386" s="24" t="str">
        <f aca="false">IF(TRIM(H386)="","Email не указан",IF(AND(ISNUMBER(FIND("@",H386)),ISNUMBER(FIND(".",H386,IFERROR(FIND("@",H386),1))),ISERROR(FIND(" ",H386)),LEFT(H386,1)&lt;&gt;"@",RIGHT(H386,1)&lt;&gt;".",LEN(H386)-LEN(SUBSTITUTE(H386,"@",""))=1),"","Email: неверный формат"))</f>
        <v/>
      </c>
      <c r="P386" s="24" t="str">
        <f aca="false">IF(TRIM(I386)="","Телефон не указан",IF(AND(LEN(SUBSTITUTE(SUBSTITUTE(SUBSTITUTE(SUBSTITUTE(SUBSTITUTE(I386," ",""),"-",""),"(",""),")",""),"+",""))=11,OR(LEFT(SUBSTITUTE(SUBSTITUTE(SUBSTITUTE(SUBSTITUTE(SUBSTITUTE(I386," ",""),"-",""),"(",""),")",""),"+",""),1)="7",LEFT(SUBSTITUTE(SUBSTITUTE(SUBSTITUTE(SUBSTITUTE(SUBSTITUTE(I386," ",""),"-",""),"(",""),")",""),"+",""),1)="8"),ISNUMBER(IFERROR(VALUE(SUBSTITUTE(SUBSTITUTE(SUBSTITUTE(SUBSTITUTE(SUBSTITUTE(I386," ",""),"-",""),"(",""),")",""),"+","")),"x"))),"","Телефон: неверный формат"))</f>
        <v/>
      </c>
      <c r="Q386" s="24" t="str">
        <f aca="false">TRIM(IF(TRIM(B386)="","Нет наименования. ","")&amp;IF(TRIM(F386)="","Нет адреса. ","")&amp;IF(TRIM(G386)="","Нет контактного лица.",""))</f>
        <v/>
      </c>
      <c r="R386" s="21" t="n">
        <f aca="false">SUMPRODUCT(--(LEN(K386:Q386)&gt;0))</f>
        <v>0</v>
      </c>
      <c r="S386" s="24" t="str">
        <f aca="false">IF(R386=0,"Готово к передаче","Требует исправления")</f>
        <v>Готово к передаче</v>
      </c>
      <c r="T386" s="24" t="str">
        <f aca="false">IF(R386=0,"",_xlfn.TEXTJOIN("; ",TRUE(),K386:Q386))</f>
        <v/>
      </c>
      <c r="U386" s="24" t="str">
        <f aca="false">IF(R386=0,"","Здравствуйте! В данных организации «"&amp;B386&amp;"» обнаружены ошибки: "&amp;T386&amp;". Просим проверить и прислать исправленную информацию.")</f>
        <v/>
      </c>
      <c r="V386" s="21" t="str">
        <f aca="false">IF(R386&gt;0,COUNTIF($R$2:R386,"&gt;0"),"")</f>
        <v/>
      </c>
      <c r="W386" s="21" t="n">
        <f aca="false">IF(R386=0,COUNTIF($R$2:R386,0),"")</f>
        <v>274</v>
      </c>
    </row>
    <row r="387" customFormat="false" ht="15" hidden="false" customHeight="false" outlineLevel="0" collapsed="false">
      <c r="A387" s="21" t="n">
        <v>386</v>
      </c>
      <c r="B387" s="22" t="s">
        <v>3101</v>
      </c>
      <c r="C387" s="23" t="s">
        <v>3102</v>
      </c>
      <c r="D387" s="23" t="s">
        <v>3103</v>
      </c>
      <c r="E387" s="23" t="s">
        <v>3104</v>
      </c>
      <c r="F387" s="22" t="s">
        <v>3105</v>
      </c>
      <c r="G387" s="22" t="s">
        <v>2154</v>
      </c>
      <c r="H387" s="22" t="s">
        <v>3106</v>
      </c>
      <c r="I387" s="23" t="s">
        <v>3107</v>
      </c>
      <c r="J387" s="24" t="str">
        <f aca="false">IFERROR(VLOOKUP(VALUE(LEFT(C387,2)),Справочники!$A$2:$B$16,2,FALSE()),"не определён")</f>
        <v>Московская область</v>
      </c>
      <c r="K387" s="24" t="str">
        <f aca="false">IF(TRIM(C387)="","ИНН не указан",IF(LEN(C387)&lt;&gt;10,"ИНН: должно быть 10 цифр",IF(NOT(ISNUMBER(IFERROR(VALUE(C387),"x"))),"ИНН: есть нецифровые символы",IF(MOD(MOD(SUMPRODUCT(--MID(C387,{1,2,3,4,5,6,7,8,9},1),{2,4,10,3,5,9,4,6,8}),11),10)=VALUE(RIGHT(C387,1)),"","ИНН: неверная контрольная цифра"))))</f>
        <v/>
      </c>
      <c r="L387" s="24" t="str">
        <f aca="false">IF(TRIM(D387)="","ОГРН не указан",IF(LEN(D387)&lt;&gt;13,"ОГРН: должно быть 13 цифр",IF(NOT(ISNUMBER(IFERROR(VALUE(D387),"x"))),"ОГРН: есть нецифровые символы",IF(MOD(VALUE(LEFT(D387,12))-11*INT(VALUE(LEFT(D387,12))/11),10)=VALUE(RIGHT(D387,1)),"","ОГРН: неверная контрольная цифра"))))</f>
        <v/>
      </c>
      <c r="M387" s="24" t="str">
        <f aca="false">IF(TRIM(E387)="","КПП не указан",IF(LEN(E387)&lt;&gt;9,"КПП: должно быть 9 знаков",IF(NOT(AND(ISNUMBER(IFERROR(VALUE(LEFT(E387,4)),"x")),ISNUMBER(IFERROR(VALUE(RIGHT(E387,3)),"x")))),"КПП: неверный формат",IF(LEFT(E387,2)&lt;&gt;LEFT(C387,2),"КПП: код региона не совпадает с ИНН",""))))</f>
        <v/>
      </c>
      <c r="N387" s="24" t="str">
        <f aca="false">IF(TRIM(C387)="","",IF(COUNTIF($C$2:$C$401,C387)&gt;1,"Дубликат ИНН в реестре",""))</f>
        <v/>
      </c>
      <c r="O387" s="24" t="str">
        <f aca="false">IF(TRIM(H387)="","Email не указан",IF(AND(ISNUMBER(FIND("@",H387)),ISNUMBER(FIND(".",H387,IFERROR(FIND("@",H387),1))),ISERROR(FIND(" ",H387)),LEFT(H387,1)&lt;&gt;"@",RIGHT(H387,1)&lt;&gt;".",LEN(H387)-LEN(SUBSTITUTE(H387,"@",""))=1),"","Email: неверный формат"))</f>
        <v/>
      </c>
      <c r="P387" s="24" t="str">
        <f aca="false">IF(TRIM(I387)="","Телефон не указан",IF(AND(LEN(SUBSTITUTE(SUBSTITUTE(SUBSTITUTE(SUBSTITUTE(SUBSTITUTE(I387," ",""),"-",""),"(",""),")",""),"+",""))=11,OR(LEFT(SUBSTITUTE(SUBSTITUTE(SUBSTITUTE(SUBSTITUTE(SUBSTITUTE(I387," ",""),"-",""),"(",""),")",""),"+",""),1)="7",LEFT(SUBSTITUTE(SUBSTITUTE(SUBSTITUTE(SUBSTITUTE(SUBSTITUTE(I387," ",""),"-",""),"(",""),")",""),"+",""),1)="8"),ISNUMBER(IFERROR(VALUE(SUBSTITUTE(SUBSTITUTE(SUBSTITUTE(SUBSTITUTE(SUBSTITUTE(I387," ",""),"-",""),"(",""),")",""),"+","")),"x"))),"","Телефон: неверный формат"))</f>
        <v/>
      </c>
      <c r="Q387" s="24" t="str">
        <f aca="false">TRIM(IF(TRIM(B387)="","Нет наименования. ","")&amp;IF(TRIM(F387)="","Нет адреса. ","")&amp;IF(TRIM(G387)="","Нет контактного лица.",""))</f>
        <v/>
      </c>
      <c r="R387" s="21" t="n">
        <f aca="false">SUMPRODUCT(--(LEN(K387:Q387)&gt;0))</f>
        <v>0</v>
      </c>
      <c r="S387" s="24" t="str">
        <f aca="false">IF(R387=0,"Готово к передаче","Требует исправления")</f>
        <v>Готово к передаче</v>
      </c>
      <c r="T387" s="24" t="str">
        <f aca="false">IF(R387=0,"",_xlfn.TEXTJOIN("; ",TRUE(),K387:Q387))</f>
        <v/>
      </c>
      <c r="U387" s="24" t="str">
        <f aca="false">IF(R387=0,"","Здравствуйте! В данных организации «"&amp;B387&amp;"» обнаружены ошибки: "&amp;T387&amp;". Просим проверить и прислать исправленную информацию.")</f>
        <v/>
      </c>
      <c r="V387" s="21" t="str">
        <f aca="false">IF(R387&gt;0,COUNTIF($R$2:R387,"&gt;0"),"")</f>
        <v/>
      </c>
      <c r="W387" s="21" t="n">
        <f aca="false">IF(R387=0,COUNTIF($R$2:R387,0),"")</f>
        <v>275</v>
      </c>
    </row>
    <row r="388" customFormat="false" ht="15" hidden="false" customHeight="false" outlineLevel="0" collapsed="false">
      <c r="A388" s="21" t="n">
        <v>387</v>
      </c>
      <c r="B388" s="22" t="s">
        <v>3108</v>
      </c>
      <c r="C388" s="23" t="s">
        <v>3109</v>
      </c>
      <c r="D388" s="23" t="s">
        <v>3110</v>
      </c>
      <c r="E388" s="23" t="s">
        <v>508</v>
      </c>
      <c r="F388" s="22" t="s">
        <v>3111</v>
      </c>
      <c r="G388" s="22"/>
      <c r="H388" s="22" t="s">
        <v>3112</v>
      </c>
      <c r="I388" s="23" t="s">
        <v>3113</v>
      </c>
      <c r="J388" s="24" t="str">
        <f aca="false">IFERROR(VLOOKUP(VALUE(LEFT(C388,2)),Справочники!$A$2:$B$16,2,FALSE()),"не определён")</f>
        <v>г. Санкт-Петербург</v>
      </c>
      <c r="K388" s="24" t="str">
        <f aca="false">IF(TRIM(C388)="","ИНН не указан",IF(LEN(C388)&lt;&gt;10,"ИНН: должно быть 10 цифр",IF(NOT(ISNUMBER(IFERROR(VALUE(C388),"x"))),"ИНН: есть нецифровые символы",IF(MOD(MOD(SUMPRODUCT(--MID(C388,{1,2,3,4,5,6,7,8,9},1),{2,4,10,3,5,9,4,6,8}),11),10)=VALUE(RIGHT(C388,1)),"","ИНН: неверная контрольная цифра"))))</f>
        <v/>
      </c>
      <c r="L388" s="24" t="str">
        <f aca="false">IF(TRIM(D388)="","ОГРН не указан",IF(LEN(D388)&lt;&gt;13,"ОГРН: должно быть 13 цифр",IF(NOT(ISNUMBER(IFERROR(VALUE(D388),"x"))),"ОГРН: есть нецифровые символы",IF(MOD(VALUE(LEFT(D388,12))-11*INT(VALUE(LEFT(D388,12))/11),10)=VALUE(RIGHT(D388,1)),"","ОГРН: неверная контрольная цифра"))))</f>
        <v/>
      </c>
      <c r="M388" s="24" t="str">
        <f aca="false">IF(TRIM(E388)="","КПП не указан",IF(LEN(E388)&lt;&gt;9,"КПП: должно быть 9 знаков",IF(NOT(AND(ISNUMBER(IFERROR(VALUE(LEFT(E388,4)),"x")),ISNUMBER(IFERROR(VALUE(RIGHT(E388,3)),"x")))),"КПП: неверный формат",IF(LEFT(E388,2)&lt;&gt;LEFT(C388,2),"КПП: код региона не совпадает с ИНН",""))))</f>
        <v/>
      </c>
      <c r="N388" s="24" t="str">
        <f aca="false">IF(TRIM(C388)="","",IF(COUNTIF($C$2:$C$401,C388)&gt;1,"Дубликат ИНН в реестре",""))</f>
        <v/>
      </c>
      <c r="O388" s="24" t="str">
        <f aca="false">IF(TRIM(H388)="","Email не указан",IF(AND(ISNUMBER(FIND("@",H388)),ISNUMBER(FIND(".",H388,IFERROR(FIND("@",H388),1))),ISERROR(FIND(" ",H388)),LEFT(H388,1)&lt;&gt;"@",RIGHT(H388,1)&lt;&gt;".",LEN(H388)-LEN(SUBSTITUTE(H388,"@",""))=1),"","Email: неверный формат"))</f>
        <v/>
      </c>
      <c r="P388" s="24" t="str">
        <f aca="false">IF(TRIM(I388)="","Телефон не указан",IF(AND(LEN(SUBSTITUTE(SUBSTITUTE(SUBSTITUTE(SUBSTITUTE(SUBSTITUTE(I388," ",""),"-",""),"(",""),")",""),"+",""))=11,OR(LEFT(SUBSTITUTE(SUBSTITUTE(SUBSTITUTE(SUBSTITUTE(SUBSTITUTE(I388," ",""),"-",""),"(",""),")",""),"+",""),1)="7",LEFT(SUBSTITUTE(SUBSTITUTE(SUBSTITUTE(SUBSTITUTE(SUBSTITUTE(I388," ",""),"-",""),"(",""),")",""),"+",""),1)="8"),ISNUMBER(IFERROR(VALUE(SUBSTITUTE(SUBSTITUTE(SUBSTITUTE(SUBSTITUTE(SUBSTITUTE(I388," ",""),"-",""),"(",""),")",""),"+","")),"x"))),"","Телефон: неверный формат"))</f>
        <v/>
      </c>
      <c r="Q388" s="24" t="str">
        <f aca="false">TRIM(IF(TRIM(B388)="","Нет наименования. ","")&amp;IF(TRIM(F388)="","Нет адреса. ","")&amp;IF(TRIM(G388)="","Нет контактного лица.",""))</f>
        <v>Нет контактного лица.</v>
      </c>
      <c r="R388" s="21" t="n">
        <f aca="false">SUMPRODUCT(--(LEN(K388:Q388)&gt;0))</f>
        <v>1</v>
      </c>
      <c r="S388" s="24" t="str">
        <f aca="false">IF(R388=0,"Готово к передаче","Требует исправления")</f>
        <v>Требует исправления</v>
      </c>
      <c r="T388" s="24" t="str">
        <f aca="false">IF(R388=0,"",_xlfn.TEXTJOIN("; ",TRUE(),K388:Q388))</f>
        <v>Нет контактного лица.</v>
      </c>
      <c r="U388" s="24" t="str">
        <f aca="false">IF(R388=0,"","Здравствуйте! В данных организации «"&amp;B388&amp;"» обнаружены ошибки: "&amp;T388&amp;". Просим проверить и прислать исправленную информацию.")</f>
        <v>Здравствуйте! В данных организации «ООО «Берег Софт»» обнаружены ошибки: Нет контактного лица.. Просим проверить и прислать исправленную информацию.</v>
      </c>
      <c r="V388" s="21" t="n">
        <f aca="false">IF(R388&gt;0,COUNTIF($R$2:R388,"&gt;0"),"")</f>
        <v>112</v>
      </c>
      <c r="W388" s="21" t="str">
        <f aca="false">IF(R388=0,COUNTIF($R$2:R388,0),"")</f>
        <v/>
      </c>
    </row>
    <row r="389" customFormat="false" ht="15" hidden="false" customHeight="false" outlineLevel="0" collapsed="false">
      <c r="A389" s="21" t="n">
        <v>388</v>
      </c>
      <c r="B389" s="22" t="s">
        <v>3114</v>
      </c>
      <c r="C389" s="23" t="s">
        <v>3115</v>
      </c>
      <c r="D389" s="23" t="s">
        <v>3116</v>
      </c>
      <c r="E389" s="23" t="s">
        <v>3117</v>
      </c>
      <c r="F389" s="22" t="s">
        <v>3118</v>
      </c>
      <c r="G389" s="22" t="s">
        <v>3119</v>
      </c>
      <c r="H389" s="22" t="s">
        <v>3120</v>
      </c>
      <c r="I389" s="23" t="s">
        <v>3121</v>
      </c>
      <c r="J389" s="24" t="str">
        <f aca="false">IFERROR(VLOOKUP(VALUE(LEFT(C389,2)),Справочники!$A$2:$B$16,2,FALSE()),"не определён")</f>
        <v>Республика Башкортостан</v>
      </c>
      <c r="K389" s="24" t="str">
        <f aca="false">IF(TRIM(C389)="","ИНН не указан",IF(LEN(C389)&lt;&gt;10,"ИНН: должно быть 10 цифр",IF(NOT(ISNUMBER(IFERROR(VALUE(C389),"x"))),"ИНН: есть нецифровые символы",IF(MOD(MOD(SUMPRODUCT(--MID(C389,{1,2,3,4,5,6,7,8,9},1),{2,4,10,3,5,9,4,6,8}),11),10)=VALUE(RIGHT(C389,1)),"","ИНН: неверная контрольная цифра"))))</f>
        <v/>
      </c>
      <c r="L389" s="24" t="str">
        <f aca="false">IF(TRIM(D389)="","ОГРН не указан",IF(LEN(D389)&lt;&gt;13,"ОГРН: должно быть 13 цифр",IF(NOT(ISNUMBER(IFERROR(VALUE(D389),"x"))),"ОГРН: есть нецифровые символы",IF(MOD(VALUE(LEFT(D389,12))-11*INT(VALUE(LEFT(D389,12))/11),10)=VALUE(RIGHT(D389,1)),"","ОГРН: неверная контрольная цифра"))))</f>
        <v/>
      </c>
      <c r="M389" s="24" t="str">
        <f aca="false">IF(TRIM(E389)="","КПП не указан",IF(LEN(E389)&lt;&gt;9,"КПП: должно быть 9 знаков",IF(NOT(AND(ISNUMBER(IFERROR(VALUE(LEFT(E389,4)),"x")),ISNUMBER(IFERROR(VALUE(RIGHT(E389,3)),"x")))),"КПП: неверный формат",IF(LEFT(E389,2)&lt;&gt;LEFT(C389,2),"КПП: код региона не совпадает с ИНН",""))))</f>
        <v/>
      </c>
      <c r="N389" s="24" t="str">
        <f aca="false">IF(TRIM(C389)="","",IF(COUNTIF($C$2:$C$401,C389)&gt;1,"Дубликат ИНН в реестре",""))</f>
        <v/>
      </c>
      <c r="O389" s="24" t="str">
        <f aca="false">IF(TRIM(H389)="","Email не указан",IF(AND(ISNUMBER(FIND("@",H389)),ISNUMBER(FIND(".",H389,IFERROR(FIND("@",H389),1))),ISERROR(FIND(" ",H389)),LEFT(H389,1)&lt;&gt;"@",RIGHT(H389,1)&lt;&gt;".",LEN(H389)-LEN(SUBSTITUTE(H389,"@",""))=1),"","Email: неверный формат"))</f>
        <v/>
      </c>
      <c r="P389" s="24" t="str">
        <f aca="false">IF(TRIM(I389)="","Телефон не указан",IF(AND(LEN(SUBSTITUTE(SUBSTITUTE(SUBSTITUTE(SUBSTITUTE(SUBSTITUTE(I389," ",""),"-",""),"(",""),")",""),"+",""))=11,OR(LEFT(SUBSTITUTE(SUBSTITUTE(SUBSTITUTE(SUBSTITUTE(SUBSTITUTE(I389," ",""),"-",""),"(",""),")",""),"+",""),1)="7",LEFT(SUBSTITUTE(SUBSTITUTE(SUBSTITUTE(SUBSTITUTE(SUBSTITUTE(I389," ",""),"-",""),"(",""),")",""),"+",""),1)="8"),ISNUMBER(IFERROR(VALUE(SUBSTITUTE(SUBSTITUTE(SUBSTITUTE(SUBSTITUTE(SUBSTITUTE(I389," ",""),"-",""),"(",""),")",""),"+","")),"x"))),"","Телефон: неверный формат"))</f>
        <v/>
      </c>
      <c r="Q389" s="24" t="str">
        <f aca="false">TRIM(IF(TRIM(B389)="","Нет наименования. ","")&amp;IF(TRIM(F389)="","Нет адреса. ","")&amp;IF(TRIM(G389)="","Нет контактного лица.",""))</f>
        <v/>
      </c>
      <c r="R389" s="21" t="n">
        <f aca="false">SUMPRODUCT(--(LEN(K389:Q389)&gt;0))</f>
        <v>0</v>
      </c>
      <c r="S389" s="24" t="str">
        <f aca="false">IF(R389=0,"Готово к передаче","Требует исправления")</f>
        <v>Готово к передаче</v>
      </c>
      <c r="T389" s="24" t="str">
        <f aca="false">IF(R389=0,"",_xlfn.TEXTJOIN("; ",TRUE(),K389:Q389))</f>
        <v/>
      </c>
      <c r="U389" s="24" t="str">
        <f aca="false">IF(R389=0,"","Здравствуйте! В данных организации «"&amp;B389&amp;"» обнаружены ошибки: "&amp;T389&amp;". Просим проверить и прислать исправленную информацию.")</f>
        <v/>
      </c>
      <c r="V389" s="21" t="str">
        <f aca="false">IF(R389&gt;0,COUNTIF($R$2:R389,"&gt;0"),"")</f>
        <v/>
      </c>
      <c r="W389" s="21" t="n">
        <f aca="false">IF(R389=0,COUNTIF($R$2:R389,0),"")</f>
        <v>276</v>
      </c>
    </row>
    <row r="390" customFormat="false" ht="15" hidden="false" customHeight="false" outlineLevel="0" collapsed="false">
      <c r="A390" s="21" t="n">
        <v>389</v>
      </c>
      <c r="B390" s="22" t="s">
        <v>3122</v>
      </c>
      <c r="C390" s="23" t="s">
        <v>3123</v>
      </c>
      <c r="D390" s="23" t="s">
        <v>3124</v>
      </c>
      <c r="E390" s="23" t="s">
        <v>3125</v>
      </c>
      <c r="F390" s="22" t="s">
        <v>3126</v>
      </c>
      <c r="G390" s="22" t="s">
        <v>3127</v>
      </c>
      <c r="H390" s="22" t="s">
        <v>3128</v>
      </c>
      <c r="I390" s="23" t="s">
        <v>3129</v>
      </c>
      <c r="J390" s="24" t="str">
        <f aca="false">IFERROR(VLOOKUP(VALUE(LEFT(C390,2)),Справочники!$A$2:$B$16,2,FALSE()),"не определён")</f>
        <v>Нижегородская область</v>
      </c>
      <c r="K390" s="24" t="str">
        <f aca="false">IF(TRIM(C390)="","ИНН не указан",IF(LEN(C390)&lt;&gt;10,"ИНН: должно быть 10 цифр",IF(NOT(ISNUMBER(IFERROR(VALUE(C390),"x"))),"ИНН: есть нецифровые символы",IF(MOD(MOD(SUMPRODUCT(--MID(C390,{1,2,3,4,5,6,7,8,9},1),{2,4,10,3,5,9,4,6,8}),11),10)=VALUE(RIGHT(C390,1)),"","ИНН: неверная контрольная цифра"))))</f>
        <v/>
      </c>
      <c r="L390" s="24" t="str">
        <f aca="false">IF(TRIM(D390)="","ОГРН не указан",IF(LEN(D390)&lt;&gt;13,"ОГРН: должно быть 13 цифр",IF(NOT(ISNUMBER(IFERROR(VALUE(D390),"x"))),"ОГРН: есть нецифровые символы",IF(MOD(VALUE(LEFT(D390,12))-11*INT(VALUE(LEFT(D390,12))/11),10)=VALUE(RIGHT(D390,1)),"","ОГРН: неверная контрольная цифра"))))</f>
        <v>ОГРН: неверная контрольная цифра</v>
      </c>
      <c r="M390" s="24" t="str">
        <f aca="false">IF(TRIM(E390)="","КПП не указан",IF(LEN(E390)&lt;&gt;9,"КПП: должно быть 9 знаков",IF(NOT(AND(ISNUMBER(IFERROR(VALUE(LEFT(E390,4)),"x")),ISNUMBER(IFERROR(VALUE(RIGHT(E390,3)),"x")))),"КПП: неверный формат",IF(LEFT(E390,2)&lt;&gt;LEFT(C390,2),"КПП: код региона не совпадает с ИНН",""))))</f>
        <v/>
      </c>
      <c r="N390" s="24" t="str">
        <f aca="false">IF(TRIM(C390)="","",IF(COUNTIF($C$2:$C$401,C390)&gt;1,"Дубликат ИНН в реестре",""))</f>
        <v/>
      </c>
      <c r="O390" s="24" t="str">
        <f aca="false">IF(TRIM(H390)="","Email не указан",IF(AND(ISNUMBER(FIND("@",H390)),ISNUMBER(FIND(".",H390,IFERROR(FIND("@",H390),1))),ISERROR(FIND(" ",H390)),LEFT(H390,1)&lt;&gt;"@",RIGHT(H390,1)&lt;&gt;".",LEN(H390)-LEN(SUBSTITUTE(H390,"@",""))=1),"","Email: неверный формат"))</f>
        <v/>
      </c>
      <c r="P390" s="24" t="str">
        <f aca="false">IF(TRIM(I390)="","Телефон не указан",IF(AND(LEN(SUBSTITUTE(SUBSTITUTE(SUBSTITUTE(SUBSTITUTE(SUBSTITUTE(I390," ",""),"-",""),"(",""),")",""),"+",""))=11,OR(LEFT(SUBSTITUTE(SUBSTITUTE(SUBSTITUTE(SUBSTITUTE(SUBSTITUTE(I390," ",""),"-",""),"(",""),")",""),"+",""),1)="7",LEFT(SUBSTITUTE(SUBSTITUTE(SUBSTITUTE(SUBSTITUTE(SUBSTITUTE(I390," ",""),"-",""),"(",""),")",""),"+",""),1)="8"),ISNUMBER(IFERROR(VALUE(SUBSTITUTE(SUBSTITUTE(SUBSTITUTE(SUBSTITUTE(SUBSTITUTE(I390," ",""),"-",""),"(",""),")",""),"+","")),"x"))),"","Телефон: неверный формат"))</f>
        <v/>
      </c>
      <c r="Q390" s="24" t="str">
        <f aca="false">TRIM(IF(TRIM(B390)="","Нет наименования. ","")&amp;IF(TRIM(F390)="","Нет адреса. ","")&amp;IF(TRIM(G390)="","Нет контактного лица.",""))</f>
        <v/>
      </c>
      <c r="R390" s="21" t="n">
        <f aca="false">SUMPRODUCT(--(LEN(K390:Q390)&gt;0))</f>
        <v>1</v>
      </c>
      <c r="S390" s="24" t="str">
        <f aca="false">IF(R390=0,"Готово к передаче","Требует исправления")</f>
        <v>Требует исправления</v>
      </c>
      <c r="T390" s="24" t="str">
        <f aca="false">IF(R390=0,"",_xlfn.TEXTJOIN("; ",TRUE(),K390:Q390))</f>
        <v>ОГРН: неверная контрольная цифра</v>
      </c>
      <c r="U390" s="24" t="str">
        <f aca="false">IF(R390=0,"","Здравствуйте! В данных организации «"&amp;B390&amp;"» обнаружены ошибки: "&amp;T390&amp;". Просим проверить и прислать исправленную информацию.")</f>
        <v>Здравствуйте! В данных организации «ООО «Феникс Консалт»» обнаружены ошибки: ОГРН: неверная контрольная цифра. Просим проверить и прислать исправленную информацию.</v>
      </c>
      <c r="V390" s="21" t="n">
        <f aca="false">IF(R390&gt;0,COUNTIF($R$2:R390,"&gt;0"),"")</f>
        <v>113</v>
      </c>
      <c r="W390" s="21" t="str">
        <f aca="false">IF(R390=0,COUNTIF($R$2:R390,0),"")</f>
        <v/>
      </c>
    </row>
    <row r="391" customFormat="false" ht="15" hidden="false" customHeight="false" outlineLevel="0" collapsed="false">
      <c r="A391" s="21" t="n">
        <v>390</v>
      </c>
      <c r="B391" s="22" t="s">
        <v>3130</v>
      </c>
      <c r="C391" s="23" t="s">
        <v>3131</v>
      </c>
      <c r="D391" s="23" t="s">
        <v>3132</v>
      </c>
      <c r="E391" s="23" t="s">
        <v>3133</v>
      </c>
      <c r="F391" s="22" t="s">
        <v>3134</v>
      </c>
      <c r="G391" s="22" t="s">
        <v>1981</v>
      </c>
      <c r="H391" s="22" t="s">
        <v>3135</v>
      </c>
      <c r="I391" s="23" t="s">
        <v>3136</v>
      </c>
      <c r="J391" s="24" t="str">
        <f aca="false">IFERROR(VLOOKUP(VALUE(LEFT(C391,2)),Справочники!$A$2:$B$16,2,FALSE()),"не определён")</f>
        <v>г. Севастополь</v>
      </c>
      <c r="K391" s="24" t="str">
        <f aca="false">IF(TRIM(C391)="","ИНН не указан",IF(LEN(C391)&lt;&gt;10,"ИНН: должно быть 10 цифр",IF(NOT(ISNUMBER(IFERROR(VALUE(C391),"x"))),"ИНН: есть нецифровые символы",IF(MOD(MOD(SUMPRODUCT(--MID(C391,{1,2,3,4,5,6,7,8,9},1),{2,4,10,3,5,9,4,6,8}),11),10)=VALUE(RIGHT(C391,1)),"","ИНН: неверная контрольная цифра"))))</f>
        <v/>
      </c>
      <c r="L391" s="24" t="str">
        <f aca="false">IF(TRIM(D391)="","ОГРН не указан",IF(LEN(D391)&lt;&gt;13,"ОГРН: должно быть 13 цифр",IF(NOT(ISNUMBER(IFERROR(VALUE(D391),"x"))),"ОГРН: есть нецифровые символы",IF(MOD(VALUE(LEFT(D391,12))-11*INT(VALUE(LEFT(D391,12))/11),10)=VALUE(RIGHT(D391,1)),"","ОГРН: неверная контрольная цифра"))))</f>
        <v/>
      </c>
      <c r="M391" s="24" t="str">
        <f aca="false">IF(TRIM(E391)="","КПП не указан",IF(LEN(E391)&lt;&gt;9,"КПП: должно быть 9 знаков",IF(NOT(AND(ISNUMBER(IFERROR(VALUE(LEFT(E391,4)),"x")),ISNUMBER(IFERROR(VALUE(RIGHT(E391,3)),"x")))),"КПП: неверный формат",IF(LEFT(E391,2)&lt;&gt;LEFT(C391,2),"КПП: код региона не совпадает с ИНН",""))))</f>
        <v/>
      </c>
      <c r="N391" s="24" t="str">
        <f aca="false">IF(TRIM(C391)="","",IF(COUNTIF($C$2:$C$401,C391)&gt;1,"Дубликат ИНН в реестре",""))</f>
        <v/>
      </c>
      <c r="O391" s="24" t="str">
        <f aca="false">IF(TRIM(H391)="","Email не указан",IF(AND(ISNUMBER(FIND("@",H391)),ISNUMBER(FIND(".",H391,IFERROR(FIND("@",H391),1))),ISERROR(FIND(" ",H391)),LEFT(H391,1)&lt;&gt;"@",RIGHT(H391,1)&lt;&gt;".",LEN(H391)-LEN(SUBSTITUTE(H391,"@",""))=1),"","Email: неверный формат"))</f>
        <v/>
      </c>
      <c r="P391" s="24" t="str">
        <f aca="false">IF(TRIM(I391)="","Телефон не указан",IF(AND(LEN(SUBSTITUTE(SUBSTITUTE(SUBSTITUTE(SUBSTITUTE(SUBSTITUTE(I391," ",""),"-",""),"(",""),")",""),"+",""))=11,OR(LEFT(SUBSTITUTE(SUBSTITUTE(SUBSTITUTE(SUBSTITUTE(SUBSTITUTE(I391," ",""),"-",""),"(",""),")",""),"+",""),1)="7",LEFT(SUBSTITUTE(SUBSTITUTE(SUBSTITUTE(SUBSTITUTE(SUBSTITUTE(I391," ",""),"-",""),"(",""),")",""),"+",""),1)="8"),ISNUMBER(IFERROR(VALUE(SUBSTITUTE(SUBSTITUTE(SUBSTITUTE(SUBSTITUTE(SUBSTITUTE(I391," ",""),"-",""),"(",""),")",""),"+","")),"x"))),"","Телефон: неверный формат"))</f>
        <v/>
      </c>
      <c r="Q391" s="24" t="str">
        <f aca="false">TRIM(IF(TRIM(B391)="","Нет наименования. ","")&amp;IF(TRIM(F391)="","Нет адреса. ","")&amp;IF(TRIM(G391)="","Нет контактного лица.",""))</f>
        <v/>
      </c>
      <c r="R391" s="21" t="n">
        <f aca="false">SUMPRODUCT(--(LEN(K391:Q391)&gt;0))</f>
        <v>0</v>
      </c>
      <c r="S391" s="24" t="str">
        <f aca="false">IF(R391=0,"Готово к передаче","Требует исправления")</f>
        <v>Готово к передаче</v>
      </c>
      <c r="T391" s="24" t="str">
        <f aca="false">IF(R391=0,"",_xlfn.TEXTJOIN("; ",TRUE(),K391:Q391))</f>
        <v/>
      </c>
      <c r="U391" s="24" t="str">
        <f aca="false">IF(R391=0,"","Здравствуйте! В данных организации «"&amp;B391&amp;"» обнаружены ошибки: "&amp;T391&amp;". Просим проверить и прислать исправленную информацию.")</f>
        <v/>
      </c>
      <c r="V391" s="21" t="str">
        <f aca="false">IF(R391&gt;0,COUNTIF($R$2:R391,"&gt;0"),"")</f>
        <v/>
      </c>
      <c r="W391" s="21" t="n">
        <f aca="false">IF(R391=0,COUNTIF($R$2:R391,0),"")</f>
        <v>277</v>
      </c>
    </row>
    <row r="392" customFormat="false" ht="15" hidden="false" customHeight="false" outlineLevel="0" collapsed="false">
      <c r="A392" s="21" t="n">
        <v>391</v>
      </c>
      <c r="B392" s="22" t="s">
        <v>3137</v>
      </c>
      <c r="C392" s="23" t="s">
        <v>3138</v>
      </c>
      <c r="D392" s="23" t="s">
        <v>3139</v>
      </c>
      <c r="E392" s="23" t="s">
        <v>3140</v>
      </c>
      <c r="F392" s="22" t="s">
        <v>3141</v>
      </c>
      <c r="G392" s="22" t="s">
        <v>3142</v>
      </c>
      <c r="H392" s="22" t="s">
        <v>3143</v>
      </c>
      <c r="I392" s="23" t="s">
        <v>3144</v>
      </c>
      <c r="J392" s="24" t="str">
        <f aca="false">IFERROR(VLOOKUP(VALUE(LEFT(C392,2)),Справочники!$A$2:$B$16,2,FALSE()),"не определён")</f>
        <v>Республика Крым</v>
      </c>
      <c r="K392" s="24" t="str">
        <f aca="false">IF(TRIM(C392)="","ИНН не указан",IF(LEN(C392)&lt;&gt;10,"ИНН: должно быть 10 цифр",IF(NOT(ISNUMBER(IFERROR(VALUE(C392),"x"))),"ИНН: есть нецифровые символы",IF(MOD(MOD(SUMPRODUCT(--MID(C392,{1,2,3,4,5,6,7,8,9},1),{2,4,10,3,5,9,4,6,8}),11),10)=VALUE(RIGHT(C392,1)),"","ИНН: неверная контрольная цифра"))))</f>
        <v/>
      </c>
      <c r="L392" s="24" t="str">
        <f aca="false">IF(TRIM(D392)="","ОГРН не указан",IF(LEN(D392)&lt;&gt;13,"ОГРН: должно быть 13 цифр",IF(NOT(ISNUMBER(IFERROR(VALUE(D392),"x"))),"ОГРН: есть нецифровые символы",IF(MOD(VALUE(LEFT(D392,12))-11*INT(VALUE(LEFT(D392,12))/11),10)=VALUE(RIGHT(D392,1)),"","ОГРН: неверная контрольная цифра"))))</f>
        <v/>
      </c>
      <c r="M392" s="24" t="str">
        <f aca="false">IF(TRIM(E392)="","КПП не указан",IF(LEN(E392)&lt;&gt;9,"КПП: должно быть 9 знаков",IF(NOT(AND(ISNUMBER(IFERROR(VALUE(LEFT(E392,4)),"x")),ISNUMBER(IFERROR(VALUE(RIGHT(E392,3)),"x")))),"КПП: неверный формат",IF(LEFT(E392,2)&lt;&gt;LEFT(C392,2),"КПП: код региона не совпадает с ИНН",""))))</f>
        <v/>
      </c>
      <c r="N392" s="24" t="str">
        <f aca="false">IF(TRIM(C392)="","",IF(COUNTIF($C$2:$C$401,C392)&gt;1,"Дубликат ИНН в реестре",""))</f>
        <v/>
      </c>
      <c r="O392" s="24" t="str">
        <f aca="false">IF(TRIM(H392)="","Email не указан",IF(AND(ISNUMBER(FIND("@",H392)),ISNUMBER(FIND(".",H392,IFERROR(FIND("@",H392),1))),ISERROR(FIND(" ",H392)),LEFT(H392,1)&lt;&gt;"@",RIGHT(H392,1)&lt;&gt;".",LEN(H392)-LEN(SUBSTITUTE(H392,"@",""))=1),"","Email: неверный формат"))</f>
        <v/>
      </c>
      <c r="P392" s="24" t="str">
        <f aca="false">IF(TRIM(I392)="","Телефон не указан",IF(AND(LEN(SUBSTITUTE(SUBSTITUTE(SUBSTITUTE(SUBSTITUTE(SUBSTITUTE(I392," ",""),"-",""),"(",""),")",""),"+",""))=11,OR(LEFT(SUBSTITUTE(SUBSTITUTE(SUBSTITUTE(SUBSTITUTE(SUBSTITUTE(I392," ",""),"-",""),"(",""),")",""),"+",""),1)="7",LEFT(SUBSTITUTE(SUBSTITUTE(SUBSTITUTE(SUBSTITUTE(SUBSTITUTE(I392," ",""),"-",""),"(",""),")",""),"+",""),1)="8"),ISNUMBER(IFERROR(VALUE(SUBSTITUTE(SUBSTITUTE(SUBSTITUTE(SUBSTITUTE(SUBSTITUTE(I392," ",""),"-",""),"(",""),")",""),"+","")),"x"))),"","Телефон: неверный формат"))</f>
        <v/>
      </c>
      <c r="Q392" s="24" t="str">
        <f aca="false">TRIM(IF(TRIM(B392)="","Нет наименования. ","")&amp;IF(TRIM(F392)="","Нет адреса. ","")&amp;IF(TRIM(G392)="","Нет контактного лица.",""))</f>
        <v/>
      </c>
      <c r="R392" s="21" t="n">
        <f aca="false">SUMPRODUCT(--(LEN(K392:Q392)&gt;0))</f>
        <v>0</v>
      </c>
      <c r="S392" s="24" t="str">
        <f aca="false">IF(R392=0,"Готово к передаче","Требует исправления")</f>
        <v>Готово к передаче</v>
      </c>
      <c r="T392" s="24" t="str">
        <f aca="false">IF(R392=0,"",_xlfn.TEXTJOIN("; ",TRUE(),K392:Q392))</f>
        <v/>
      </c>
      <c r="U392" s="24" t="str">
        <f aca="false">IF(R392=0,"","Здравствуйте! В данных организации «"&amp;B392&amp;"» обнаружены ошибки: "&amp;T392&amp;". Просим проверить и прислать исправленную информацию.")</f>
        <v/>
      </c>
      <c r="V392" s="21" t="str">
        <f aca="false">IF(R392&gt;0,COUNTIF($R$2:R392,"&gt;0"),"")</f>
        <v/>
      </c>
      <c r="W392" s="21" t="n">
        <f aca="false">IF(R392=0,COUNTIF($R$2:R392,0),"")</f>
        <v>278</v>
      </c>
    </row>
    <row r="393" customFormat="false" ht="15" hidden="false" customHeight="false" outlineLevel="0" collapsed="false">
      <c r="A393" s="21" t="n">
        <v>392</v>
      </c>
      <c r="B393" s="22" t="s">
        <v>3145</v>
      </c>
      <c r="C393" s="23" t="s">
        <v>3146</v>
      </c>
      <c r="D393" s="23" t="s">
        <v>3147</v>
      </c>
      <c r="E393" s="23" t="s">
        <v>3148</v>
      </c>
      <c r="F393" s="22" t="s">
        <v>3149</v>
      </c>
      <c r="G393" s="22" t="s">
        <v>3150</v>
      </c>
      <c r="H393" s="22" t="s">
        <v>3151</v>
      </c>
      <c r="I393" s="23" t="s">
        <v>3152</v>
      </c>
      <c r="J393" s="24" t="str">
        <f aca="false">IFERROR(VLOOKUP(VALUE(LEFT(C393,2)),Справочники!$A$2:$B$16,2,FALSE()),"не определён")</f>
        <v>Свердловская область</v>
      </c>
      <c r="K393" s="24" t="str">
        <f aca="false">IF(TRIM(C393)="","ИНН не указан",IF(LEN(C393)&lt;&gt;10,"ИНН: должно быть 10 цифр",IF(NOT(ISNUMBER(IFERROR(VALUE(C393),"x"))),"ИНН: есть нецифровые символы",IF(MOD(MOD(SUMPRODUCT(--MID(C393,{1,2,3,4,5,6,7,8,9},1),{2,4,10,3,5,9,4,6,8}),11),10)=VALUE(RIGHT(C393,1)),"","ИНН: неверная контрольная цифра"))))</f>
        <v>ИНН: должно быть 10 цифр</v>
      </c>
      <c r="L393" s="24" t="str">
        <f aca="false">IF(TRIM(D393)="","ОГРН не указан",IF(LEN(D393)&lt;&gt;13,"ОГРН: должно быть 13 цифр",IF(NOT(ISNUMBER(IFERROR(VALUE(D393),"x"))),"ОГРН: есть нецифровые символы",IF(MOD(VALUE(LEFT(D393,12))-11*INT(VALUE(LEFT(D393,12))/11),10)=VALUE(RIGHT(D393,1)),"","ОГРН: неверная контрольная цифра"))))</f>
        <v/>
      </c>
      <c r="M393" s="24" t="str">
        <f aca="false">IF(TRIM(E393)="","КПП не указан",IF(LEN(E393)&lt;&gt;9,"КПП: должно быть 9 знаков",IF(NOT(AND(ISNUMBER(IFERROR(VALUE(LEFT(E393,4)),"x")),ISNUMBER(IFERROR(VALUE(RIGHT(E393,3)),"x")))),"КПП: неверный формат",IF(LEFT(E393,2)&lt;&gt;LEFT(C393,2),"КПП: код региона не совпадает с ИНН",""))))</f>
        <v/>
      </c>
      <c r="N393" s="24" t="str">
        <f aca="false">IF(TRIM(C393)="","",IF(COUNTIF($C$2:$C$401,C393)&gt;1,"Дубликат ИНН в реестре",""))</f>
        <v/>
      </c>
      <c r="O393" s="24" t="str">
        <f aca="false">IF(TRIM(H393)="","Email не указан",IF(AND(ISNUMBER(FIND("@",H393)),ISNUMBER(FIND(".",H393,IFERROR(FIND("@",H393),1))),ISERROR(FIND(" ",H393)),LEFT(H393,1)&lt;&gt;"@",RIGHT(H393,1)&lt;&gt;".",LEN(H393)-LEN(SUBSTITUTE(H393,"@",""))=1),"","Email: неверный формат"))</f>
        <v/>
      </c>
      <c r="P393" s="24" t="str">
        <f aca="false">IF(TRIM(I393)="","Телефон не указан",IF(AND(LEN(SUBSTITUTE(SUBSTITUTE(SUBSTITUTE(SUBSTITUTE(SUBSTITUTE(I393," ",""),"-",""),"(",""),")",""),"+",""))=11,OR(LEFT(SUBSTITUTE(SUBSTITUTE(SUBSTITUTE(SUBSTITUTE(SUBSTITUTE(I393," ",""),"-",""),"(",""),")",""),"+",""),1)="7",LEFT(SUBSTITUTE(SUBSTITUTE(SUBSTITUTE(SUBSTITUTE(SUBSTITUTE(I393," ",""),"-",""),"(",""),")",""),"+",""),1)="8"),ISNUMBER(IFERROR(VALUE(SUBSTITUTE(SUBSTITUTE(SUBSTITUTE(SUBSTITUTE(SUBSTITUTE(I393," ",""),"-",""),"(",""),")",""),"+","")),"x"))),"","Телефон: неверный формат"))</f>
        <v/>
      </c>
      <c r="Q393" s="24" t="str">
        <f aca="false">TRIM(IF(TRIM(B393)="","Нет наименования. ","")&amp;IF(TRIM(F393)="","Нет адреса. ","")&amp;IF(TRIM(G393)="","Нет контактного лица.",""))</f>
        <v/>
      </c>
      <c r="R393" s="21" t="n">
        <f aca="false">SUMPRODUCT(--(LEN(K393:Q393)&gt;0))</f>
        <v>1</v>
      </c>
      <c r="S393" s="24" t="str">
        <f aca="false">IF(R393=0,"Готово к передаче","Требует исправления")</f>
        <v>Требует исправления</v>
      </c>
      <c r="T393" s="24" t="str">
        <f aca="false">IF(R393=0,"",_xlfn.TEXTJOIN("; ",TRUE(),K393:Q393))</f>
        <v>ИНН: должно быть 10 цифр</v>
      </c>
      <c r="U393" s="24" t="str">
        <f aca="false">IF(R393=0,"","Здравствуйте! В данных организации «"&amp;B393&amp;"» обнаружены ошибки: "&amp;T393&amp;". Просим проверить и прислать исправленную информацию.")</f>
        <v>Здравствуйте! В данных организации «ООО «Эталон Пласт»» обнаружены ошибки: ИНН: должно быть 10 цифр. Просим проверить и прислать исправленную информацию.</v>
      </c>
      <c r="V393" s="21" t="n">
        <f aca="false">IF(R393&gt;0,COUNTIF($R$2:R393,"&gt;0"),"")</f>
        <v>114</v>
      </c>
      <c r="W393" s="21" t="str">
        <f aca="false">IF(R393=0,COUNTIF($R$2:R393,0),"")</f>
        <v/>
      </c>
    </row>
    <row r="394" customFormat="false" ht="15" hidden="false" customHeight="false" outlineLevel="0" collapsed="false">
      <c r="A394" s="21" t="n">
        <v>393</v>
      </c>
      <c r="B394" s="22" t="s">
        <v>3153</v>
      </c>
      <c r="C394" s="23" t="s">
        <v>3154</v>
      </c>
      <c r="D394" s="23" t="s">
        <v>3155</v>
      </c>
      <c r="E394" s="23" t="s">
        <v>3156</v>
      </c>
      <c r="F394" s="22" t="s">
        <v>3157</v>
      </c>
      <c r="G394" s="22" t="s">
        <v>2058</v>
      </c>
      <c r="H394" s="22" t="s">
        <v>3158</v>
      </c>
      <c r="I394" s="23" t="s">
        <v>3159</v>
      </c>
      <c r="J394" s="24" t="str">
        <f aca="false">IFERROR(VLOOKUP(VALUE(LEFT(C394,2)),Справочники!$A$2:$B$16,2,FALSE()),"не определён")</f>
        <v>г. Севастополь</v>
      </c>
      <c r="K394" s="24" t="str">
        <f aca="false">IF(TRIM(C394)="","ИНН не указан",IF(LEN(C394)&lt;&gt;10,"ИНН: должно быть 10 цифр",IF(NOT(ISNUMBER(IFERROR(VALUE(C394),"x"))),"ИНН: есть нецифровые символы",IF(MOD(MOD(SUMPRODUCT(--MID(C394,{1,2,3,4,5,6,7,8,9},1),{2,4,10,3,5,9,4,6,8}),11),10)=VALUE(RIGHT(C394,1)),"","ИНН: неверная контрольная цифра"))))</f>
        <v/>
      </c>
      <c r="L394" s="24" t="str">
        <f aca="false">IF(TRIM(D394)="","ОГРН не указан",IF(LEN(D394)&lt;&gt;13,"ОГРН: должно быть 13 цифр",IF(NOT(ISNUMBER(IFERROR(VALUE(D394),"x"))),"ОГРН: есть нецифровые символы",IF(MOD(VALUE(LEFT(D394,12))-11*INT(VALUE(LEFT(D394,12))/11),10)=VALUE(RIGHT(D394,1)),"","ОГРН: неверная контрольная цифра"))))</f>
        <v/>
      </c>
      <c r="M394" s="24" t="str">
        <f aca="false">IF(TRIM(E394)="","КПП не указан",IF(LEN(E394)&lt;&gt;9,"КПП: должно быть 9 знаков",IF(NOT(AND(ISNUMBER(IFERROR(VALUE(LEFT(E394,4)),"x")),ISNUMBER(IFERROR(VALUE(RIGHT(E394,3)),"x")))),"КПП: неверный формат",IF(LEFT(E394,2)&lt;&gt;LEFT(C394,2),"КПП: код региона не совпадает с ИНН",""))))</f>
        <v/>
      </c>
      <c r="N394" s="24" t="str">
        <f aca="false">IF(TRIM(C394)="","",IF(COUNTIF($C$2:$C$401,C394)&gt;1,"Дубликат ИНН в реестре",""))</f>
        <v/>
      </c>
      <c r="O394" s="24" t="str">
        <f aca="false">IF(TRIM(H394)="","Email не указан",IF(AND(ISNUMBER(FIND("@",H394)),ISNUMBER(FIND(".",H394,IFERROR(FIND("@",H394),1))),ISERROR(FIND(" ",H394)),LEFT(H394,1)&lt;&gt;"@",RIGHT(H394,1)&lt;&gt;".",LEN(H394)-LEN(SUBSTITUTE(H394,"@",""))=1),"","Email: неверный формат"))</f>
        <v>Email: неверный формат</v>
      </c>
      <c r="P394" s="24" t="str">
        <f aca="false">IF(TRIM(I394)="","Телефон не указан",IF(AND(LEN(SUBSTITUTE(SUBSTITUTE(SUBSTITUTE(SUBSTITUTE(SUBSTITUTE(I394," ",""),"-",""),"(",""),")",""),"+",""))=11,OR(LEFT(SUBSTITUTE(SUBSTITUTE(SUBSTITUTE(SUBSTITUTE(SUBSTITUTE(I394," ",""),"-",""),"(",""),")",""),"+",""),1)="7",LEFT(SUBSTITUTE(SUBSTITUTE(SUBSTITUTE(SUBSTITUTE(SUBSTITUTE(I394," ",""),"-",""),"(",""),")",""),"+",""),1)="8"),ISNUMBER(IFERROR(VALUE(SUBSTITUTE(SUBSTITUTE(SUBSTITUTE(SUBSTITUTE(SUBSTITUTE(I394," ",""),"-",""),"(",""),")",""),"+","")),"x"))),"","Телефон: неверный формат"))</f>
        <v/>
      </c>
      <c r="Q394" s="24" t="str">
        <f aca="false">TRIM(IF(TRIM(B394)="","Нет наименования. ","")&amp;IF(TRIM(F394)="","Нет адреса. ","")&amp;IF(TRIM(G394)="","Нет контактного лица.",""))</f>
        <v/>
      </c>
      <c r="R394" s="21" t="n">
        <f aca="false">SUMPRODUCT(--(LEN(K394:Q394)&gt;0))</f>
        <v>1</v>
      </c>
      <c r="S394" s="24" t="str">
        <f aca="false">IF(R394=0,"Готово к передаче","Требует исправления")</f>
        <v>Требует исправления</v>
      </c>
      <c r="T394" s="24" t="str">
        <f aca="false">IF(R394=0,"",_xlfn.TEXTJOIN("; ",TRUE(),K394:Q394))</f>
        <v>Email: неверный формат</v>
      </c>
      <c r="U394" s="24" t="str">
        <f aca="false">IF(R394=0,"","Здравствуйте! В данных организации «"&amp;B394&amp;"» обнаружены ошибки: "&amp;T394&amp;". Просим проверить и прислать исправленную информацию.")</f>
        <v>Здравствуйте! В данных организации «АО «Эталон Транс»» обнаружены ошибки: Email: неверный формат. Просим проверить и прислать исправленную информацию.</v>
      </c>
      <c r="V394" s="21" t="n">
        <f aca="false">IF(R394&gt;0,COUNTIF($R$2:R394,"&gt;0"),"")</f>
        <v>115</v>
      </c>
      <c r="W394" s="21" t="str">
        <f aca="false">IF(R394=0,COUNTIF($R$2:R394,0),"")</f>
        <v/>
      </c>
    </row>
    <row r="395" customFormat="false" ht="15" hidden="false" customHeight="false" outlineLevel="0" collapsed="false">
      <c r="A395" s="21" t="n">
        <v>394</v>
      </c>
      <c r="B395" s="22" t="s">
        <v>3160</v>
      </c>
      <c r="C395" s="23" t="s">
        <v>3161</v>
      </c>
      <c r="D395" s="23" t="s">
        <v>3162</v>
      </c>
      <c r="E395" s="23" t="s">
        <v>3163</v>
      </c>
      <c r="F395" s="22" t="s">
        <v>3164</v>
      </c>
      <c r="G395" s="22" t="s">
        <v>3165</v>
      </c>
      <c r="H395" s="22" t="s">
        <v>3166</v>
      </c>
      <c r="I395" s="23" t="s">
        <v>3167</v>
      </c>
      <c r="J395" s="24" t="str">
        <f aca="false">IFERROR(VLOOKUP(VALUE(LEFT(C395,2)),Справочники!$A$2:$B$16,2,FALSE()),"не определён")</f>
        <v>г. Санкт-Петербург</v>
      </c>
      <c r="K395" s="24" t="str">
        <f aca="false">IF(TRIM(C395)="","ИНН не указан",IF(LEN(C395)&lt;&gt;10,"ИНН: должно быть 10 цифр",IF(NOT(ISNUMBER(IFERROR(VALUE(C395),"x"))),"ИНН: есть нецифровые символы",IF(MOD(MOD(SUMPRODUCT(--MID(C395,{1,2,3,4,5,6,7,8,9},1),{2,4,10,3,5,9,4,6,8}),11),10)=VALUE(RIGHT(C395,1)),"","ИНН: неверная контрольная цифра"))))</f>
        <v/>
      </c>
      <c r="L395" s="24" t="str">
        <f aca="false">IF(TRIM(D395)="","ОГРН не указан",IF(LEN(D395)&lt;&gt;13,"ОГРН: должно быть 13 цифр",IF(NOT(ISNUMBER(IFERROR(VALUE(D395),"x"))),"ОГРН: есть нецифровые символы",IF(MOD(VALUE(LEFT(D395,12))-11*INT(VALUE(LEFT(D395,12))/11),10)=VALUE(RIGHT(D395,1)),"","ОГРН: неверная контрольная цифра"))))</f>
        <v/>
      </c>
      <c r="M395" s="24" t="str">
        <f aca="false">IF(TRIM(E395)="","КПП не указан",IF(LEN(E395)&lt;&gt;9,"КПП: должно быть 9 знаков",IF(NOT(AND(ISNUMBER(IFERROR(VALUE(LEFT(E395,4)),"x")),ISNUMBER(IFERROR(VALUE(RIGHT(E395,3)),"x")))),"КПП: неверный формат",IF(LEFT(E395,2)&lt;&gt;LEFT(C395,2),"КПП: код региона не совпадает с ИНН",""))))</f>
        <v/>
      </c>
      <c r="N395" s="24" t="str">
        <f aca="false">IF(TRIM(C395)="","",IF(COUNTIF($C$2:$C$401,C395)&gt;1,"Дубликат ИНН в реестре",""))</f>
        <v/>
      </c>
      <c r="O395" s="24" t="str">
        <f aca="false">IF(TRIM(H395)="","Email не указан",IF(AND(ISNUMBER(FIND("@",H395)),ISNUMBER(FIND(".",H395,IFERROR(FIND("@",H395),1))),ISERROR(FIND(" ",H395)),LEFT(H395,1)&lt;&gt;"@",RIGHT(H395,1)&lt;&gt;".",LEN(H395)-LEN(SUBSTITUTE(H395,"@",""))=1),"","Email: неверный формат"))</f>
        <v>Email: неверный формат</v>
      </c>
      <c r="P395" s="24" t="str">
        <f aca="false">IF(TRIM(I395)="","Телефон не указан",IF(AND(LEN(SUBSTITUTE(SUBSTITUTE(SUBSTITUTE(SUBSTITUTE(SUBSTITUTE(I395," ",""),"-",""),"(",""),")",""),"+",""))=11,OR(LEFT(SUBSTITUTE(SUBSTITUTE(SUBSTITUTE(SUBSTITUTE(SUBSTITUTE(I395," ",""),"-",""),"(",""),")",""),"+",""),1)="7",LEFT(SUBSTITUTE(SUBSTITUTE(SUBSTITUTE(SUBSTITUTE(SUBSTITUTE(I395," ",""),"-",""),"(",""),")",""),"+",""),1)="8"),ISNUMBER(IFERROR(VALUE(SUBSTITUTE(SUBSTITUTE(SUBSTITUTE(SUBSTITUTE(SUBSTITUTE(I395," ",""),"-",""),"(",""),")",""),"+","")),"x"))),"","Телефон: неверный формат"))</f>
        <v/>
      </c>
      <c r="Q395" s="24" t="str">
        <f aca="false">TRIM(IF(TRIM(B395)="","Нет наименования. ","")&amp;IF(TRIM(F395)="","Нет адреса. ","")&amp;IF(TRIM(G395)="","Нет контактного лица.",""))</f>
        <v/>
      </c>
      <c r="R395" s="21" t="n">
        <f aca="false">SUMPRODUCT(--(LEN(K395:Q395)&gt;0))</f>
        <v>1</v>
      </c>
      <c r="S395" s="24" t="str">
        <f aca="false">IF(R395=0,"Готово к передаче","Требует исправления")</f>
        <v>Требует исправления</v>
      </c>
      <c r="T395" s="24" t="str">
        <f aca="false">IF(R395=0,"",_xlfn.TEXTJOIN("; ",TRUE(),K395:Q395))</f>
        <v>Email: неверный формат</v>
      </c>
      <c r="U395" s="24" t="str">
        <f aca="false">IF(R395=0,"","Здравствуйте! В данных организации «"&amp;B395&amp;"» обнаружены ошибки: "&amp;T395&amp;". Просим проверить и прислать исправленную информацию.")</f>
        <v>Здравствуйте! В данных организации «ООО «Импульс Софт»» обнаружены ошибки: Email: неверный формат. Просим проверить и прислать исправленную информацию.</v>
      </c>
      <c r="V395" s="21" t="n">
        <f aca="false">IF(R395&gt;0,COUNTIF($R$2:R395,"&gt;0"),"")</f>
        <v>116</v>
      </c>
      <c r="W395" s="21" t="str">
        <f aca="false">IF(R395=0,COUNTIF($R$2:R395,0),"")</f>
        <v/>
      </c>
    </row>
    <row r="396" customFormat="false" ht="15" hidden="false" customHeight="false" outlineLevel="0" collapsed="false">
      <c r="A396" s="21" t="n">
        <v>395</v>
      </c>
      <c r="B396" s="22" t="s">
        <v>3168</v>
      </c>
      <c r="C396" s="23" t="s">
        <v>3169</v>
      </c>
      <c r="D396" s="23" t="s">
        <v>3170</v>
      </c>
      <c r="E396" s="23" t="s">
        <v>3171</v>
      </c>
      <c r="F396" s="22" t="s">
        <v>3172</v>
      </c>
      <c r="G396" s="22" t="s">
        <v>3173</v>
      </c>
      <c r="H396" s="22" t="s">
        <v>3174</v>
      </c>
      <c r="I396" s="23" t="s">
        <v>3175</v>
      </c>
      <c r="J396" s="24" t="str">
        <f aca="false">IFERROR(VLOOKUP(VALUE(LEFT(C396,2)),Справочники!$A$2:$B$16,2,FALSE()),"не определён")</f>
        <v>Нижегородская область</v>
      </c>
      <c r="K396" s="24" t="str">
        <f aca="false">IF(TRIM(C396)="","ИНН не указан",IF(LEN(C396)&lt;&gt;10,"ИНН: должно быть 10 цифр",IF(NOT(ISNUMBER(IFERROR(VALUE(C396),"x"))),"ИНН: есть нецифровые символы",IF(MOD(MOD(SUMPRODUCT(--MID(C396,{1,2,3,4,5,6,7,8,9},1),{2,4,10,3,5,9,4,6,8}),11),10)=VALUE(RIGHT(C396,1)),"","ИНН: неверная контрольная цифра"))))</f>
        <v/>
      </c>
      <c r="L396" s="24" t="str">
        <f aca="false">IF(TRIM(D396)="","ОГРН не указан",IF(LEN(D396)&lt;&gt;13,"ОГРН: должно быть 13 цифр",IF(NOT(ISNUMBER(IFERROR(VALUE(D396),"x"))),"ОГРН: есть нецифровые символы",IF(MOD(VALUE(LEFT(D396,12))-11*INT(VALUE(LEFT(D396,12))/11),10)=VALUE(RIGHT(D396,1)),"","ОГРН: неверная контрольная цифра"))))</f>
        <v/>
      </c>
      <c r="M396" s="24" t="str">
        <f aca="false">IF(TRIM(E396)="","КПП не указан",IF(LEN(E396)&lt;&gt;9,"КПП: должно быть 9 знаков",IF(NOT(AND(ISNUMBER(IFERROR(VALUE(LEFT(E396,4)),"x")),ISNUMBER(IFERROR(VALUE(RIGHT(E396,3)),"x")))),"КПП: неверный формат",IF(LEFT(E396,2)&lt;&gt;LEFT(C396,2),"КПП: код региона не совпадает с ИНН",""))))</f>
        <v/>
      </c>
      <c r="N396" s="24" t="str">
        <f aca="false">IF(TRIM(C396)="","",IF(COUNTIF($C$2:$C$401,C396)&gt;1,"Дубликат ИНН в реестре",""))</f>
        <v/>
      </c>
      <c r="O396" s="24" t="str">
        <f aca="false">IF(TRIM(H396)="","Email не указан",IF(AND(ISNUMBER(FIND("@",H396)),ISNUMBER(FIND(".",H396,IFERROR(FIND("@",H396),1))),ISERROR(FIND(" ",H396)),LEFT(H396,1)&lt;&gt;"@",RIGHT(H396,1)&lt;&gt;".",LEN(H396)-LEN(SUBSTITUTE(H396,"@",""))=1),"","Email: неверный формат"))</f>
        <v/>
      </c>
      <c r="P396" s="24" t="str">
        <f aca="false">IF(TRIM(I396)="","Телефон не указан",IF(AND(LEN(SUBSTITUTE(SUBSTITUTE(SUBSTITUTE(SUBSTITUTE(SUBSTITUTE(I396," ",""),"-",""),"(",""),")",""),"+",""))=11,OR(LEFT(SUBSTITUTE(SUBSTITUTE(SUBSTITUTE(SUBSTITUTE(SUBSTITUTE(I396," ",""),"-",""),"(",""),")",""),"+",""),1)="7",LEFT(SUBSTITUTE(SUBSTITUTE(SUBSTITUTE(SUBSTITUTE(SUBSTITUTE(I396," ",""),"-",""),"(",""),")",""),"+",""),1)="8"),ISNUMBER(IFERROR(VALUE(SUBSTITUTE(SUBSTITUTE(SUBSTITUTE(SUBSTITUTE(SUBSTITUTE(I396," ",""),"-",""),"(",""),")",""),"+","")),"x"))),"","Телефон: неверный формат"))</f>
        <v/>
      </c>
      <c r="Q396" s="24" t="str">
        <f aca="false">TRIM(IF(TRIM(B396)="","Нет наименования. ","")&amp;IF(TRIM(F396)="","Нет адреса. ","")&amp;IF(TRIM(G396)="","Нет контактного лица.",""))</f>
        <v/>
      </c>
      <c r="R396" s="21" t="n">
        <f aca="false">SUMPRODUCT(--(LEN(K396:Q396)&gt;0))</f>
        <v>0</v>
      </c>
      <c r="S396" s="24" t="str">
        <f aca="false">IF(R396=0,"Готово к передаче","Требует исправления")</f>
        <v>Готово к передаче</v>
      </c>
      <c r="T396" s="24" t="str">
        <f aca="false">IF(R396=0,"",_xlfn.TEXTJOIN("; ",TRUE(),K396:Q396))</f>
        <v/>
      </c>
      <c r="U396" s="24" t="str">
        <f aca="false">IF(R396=0,"","Здравствуйте! В данных организации «"&amp;B396&amp;"» обнаружены ошибки: "&amp;T396&amp;". Просим проверить и прислать исправленную информацию.")</f>
        <v/>
      </c>
      <c r="V396" s="21" t="str">
        <f aca="false">IF(R396&gt;0,COUNTIF($R$2:R396,"&gt;0"),"")</f>
        <v/>
      </c>
      <c r="W396" s="21" t="n">
        <f aca="false">IF(R396=0,COUNTIF($R$2:R396,0),"")</f>
        <v>279</v>
      </c>
    </row>
    <row r="397" customFormat="false" ht="15" hidden="false" customHeight="false" outlineLevel="0" collapsed="false">
      <c r="A397" s="21" t="n">
        <v>396</v>
      </c>
      <c r="B397" s="22" t="s">
        <v>3176</v>
      </c>
      <c r="C397" s="23" t="s">
        <v>1697</v>
      </c>
      <c r="D397" s="23" t="s">
        <v>3177</v>
      </c>
      <c r="E397" s="23" t="s">
        <v>3178</v>
      </c>
      <c r="F397" s="22" t="s">
        <v>3179</v>
      </c>
      <c r="G397" s="22" t="s">
        <v>3180</v>
      </c>
      <c r="H397" s="22" t="s">
        <v>3181</v>
      </c>
      <c r="I397" s="23" t="s">
        <v>3182</v>
      </c>
      <c r="J397" s="24" t="str">
        <f aca="false">IFERROR(VLOOKUP(VALUE(LEFT(C397,2)),Справочники!$A$2:$B$16,2,FALSE()),"не определён")</f>
        <v>Свердловская область</v>
      </c>
      <c r="K397" s="24" t="str">
        <f aca="false">IF(TRIM(C397)="","ИНН не указан",IF(LEN(C397)&lt;&gt;10,"ИНН: должно быть 10 цифр",IF(NOT(ISNUMBER(IFERROR(VALUE(C397),"x"))),"ИНН: есть нецифровые символы",IF(MOD(MOD(SUMPRODUCT(--MID(C397,{1,2,3,4,5,6,7,8,9},1),{2,4,10,3,5,9,4,6,8}),11),10)=VALUE(RIGHT(C397,1)),"","ИНН: неверная контрольная цифра"))))</f>
        <v/>
      </c>
      <c r="L397" s="24" t="str">
        <f aca="false">IF(TRIM(D397)="","ОГРН не указан",IF(LEN(D397)&lt;&gt;13,"ОГРН: должно быть 13 цифр",IF(NOT(ISNUMBER(IFERROR(VALUE(D397),"x"))),"ОГРН: есть нецифровые символы",IF(MOD(VALUE(LEFT(D397,12))-11*INT(VALUE(LEFT(D397,12))/11),10)=VALUE(RIGHT(D397,1)),"","ОГРН: неверная контрольная цифра"))))</f>
        <v/>
      </c>
      <c r="M397" s="24" t="str">
        <f aca="false">IF(TRIM(E397)="","КПП не указан",IF(LEN(E397)&lt;&gt;9,"КПП: должно быть 9 знаков",IF(NOT(AND(ISNUMBER(IFERROR(VALUE(LEFT(E397,4)),"x")),ISNUMBER(IFERROR(VALUE(RIGHT(E397,3)),"x")))),"КПП: неверный формат",IF(LEFT(E397,2)&lt;&gt;LEFT(C397,2),"КПП: код региона не совпадает с ИНН",""))))</f>
        <v/>
      </c>
      <c r="N397" s="24" t="str">
        <f aca="false">IF(TRIM(C397)="","",IF(COUNTIF($C$2:$C$401,C397)&gt;1,"Дубликат ИНН в реестре",""))</f>
        <v>Дубликат ИНН в реестре</v>
      </c>
      <c r="O397" s="24" t="str">
        <f aca="false">IF(TRIM(H397)="","Email не указан",IF(AND(ISNUMBER(FIND("@",H397)),ISNUMBER(FIND(".",H397,IFERROR(FIND("@",H397),1))),ISERROR(FIND(" ",H397)),LEFT(H397,1)&lt;&gt;"@",RIGHT(H397,1)&lt;&gt;".",LEN(H397)-LEN(SUBSTITUTE(H397,"@",""))=1),"","Email: неверный формат"))</f>
        <v/>
      </c>
      <c r="P397" s="24" t="str">
        <f aca="false">IF(TRIM(I397)="","Телефон не указан",IF(AND(LEN(SUBSTITUTE(SUBSTITUTE(SUBSTITUTE(SUBSTITUTE(SUBSTITUTE(I397," ",""),"-",""),"(",""),")",""),"+",""))=11,OR(LEFT(SUBSTITUTE(SUBSTITUTE(SUBSTITUTE(SUBSTITUTE(SUBSTITUTE(I397," ",""),"-",""),"(",""),")",""),"+",""),1)="7",LEFT(SUBSTITUTE(SUBSTITUTE(SUBSTITUTE(SUBSTITUTE(SUBSTITUTE(I397," ",""),"-",""),"(",""),")",""),"+",""),1)="8"),ISNUMBER(IFERROR(VALUE(SUBSTITUTE(SUBSTITUTE(SUBSTITUTE(SUBSTITUTE(SUBSTITUTE(I397," ",""),"-",""),"(",""),")",""),"+","")),"x"))),"","Телефон: неверный формат"))</f>
        <v/>
      </c>
      <c r="Q397" s="24" t="str">
        <f aca="false">TRIM(IF(TRIM(B397)="","Нет наименования. ","")&amp;IF(TRIM(F397)="","Нет адреса. ","")&amp;IF(TRIM(G397)="","Нет контактного лица.",""))</f>
        <v/>
      </c>
      <c r="R397" s="21" t="n">
        <f aca="false">SUMPRODUCT(--(LEN(K397:Q397)&gt;0))</f>
        <v>1</v>
      </c>
      <c r="S397" s="24" t="str">
        <f aca="false">IF(R397=0,"Готово к передаче","Требует исправления")</f>
        <v>Требует исправления</v>
      </c>
      <c r="T397" s="24" t="str">
        <f aca="false">IF(R397=0,"",_xlfn.TEXTJOIN("; ",TRUE(),K397:Q397))</f>
        <v>Дубликат ИНН в реестре</v>
      </c>
      <c r="U397" s="24" t="str">
        <f aca="false">IF(R397=0,"","Здравствуйте! В данных организации «"&amp;B397&amp;"» обнаружены ошибки: "&amp;T397&amp;". Просим проверить и прислать исправленную информацию.")</f>
        <v>Здравствуйте! В данных организации «АО «Юпитер Агро»» обнаружены ошибки: Дубликат ИНН в реестре. Просим проверить и прислать исправленную информацию.</v>
      </c>
      <c r="V397" s="21" t="n">
        <f aca="false">IF(R397&gt;0,COUNTIF($R$2:R397,"&gt;0"),"")</f>
        <v>117</v>
      </c>
      <c r="W397" s="21" t="str">
        <f aca="false">IF(R397=0,COUNTIF($R$2:R397,0),"")</f>
        <v/>
      </c>
    </row>
    <row r="398" customFormat="false" ht="15" hidden="false" customHeight="false" outlineLevel="0" collapsed="false">
      <c r="A398" s="21" t="n">
        <v>397</v>
      </c>
      <c r="B398" s="22" t="s">
        <v>3183</v>
      </c>
      <c r="C398" s="23" t="s">
        <v>3184</v>
      </c>
      <c r="D398" s="23" t="s">
        <v>3185</v>
      </c>
      <c r="E398" s="23" t="s">
        <v>3186</v>
      </c>
      <c r="F398" s="22" t="s">
        <v>3187</v>
      </c>
      <c r="G398" s="22" t="s">
        <v>3188</v>
      </c>
      <c r="H398" s="22" t="s">
        <v>3189</v>
      </c>
      <c r="I398" s="23" t="s">
        <v>3190</v>
      </c>
      <c r="J398" s="24" t="str">
        <f aca="false">IFERROR(VLOOKUP(VALUE(LEFT(C398,2)),Справочники!$A$2:$B$16,2,FALSE()),"не определён")</f>
        <v>г. Санкт-Петербург</v>
      </c>
      <c r="K398" s="24" t="str">
        <f aca="false">IF(TRIM(C398)="","ИНН не указан",IF(LEN(C398)&lt;&gt;10,"ИНН: должно быть 10 цифр",IF(NOT(ISNUMBER(IFERROR(VALUE(C398),"x"))),"ИНН: есть нецифровые символы",IF(MOD(MOD(SUMPRODUCT(--MID(C398,{1,2,3,4,5,6,7,8,9},1),{2,4,10,3,5,9,4,6,8}),11),10)=VALUE(RIGHT(C398,1)),"","ИНН: неверная контрольная цифра"))))</f>
        <v/>
      </c>
      <c r="L398" s="24" t="str">
        <f aca="false">IF(TRIM(D398)="","ОГРН не указан",IF(LEN(D398)&lt;&gt;13,"ОГРН: должно быть 13 цифр",IF(NOT(ISNUMBER(IFERROR(VALUE(D398),"x"))),"ОГРН: есть нецифровые символы",IF(MOD(VALUE(LEFT(D398,12))-11*INT(VALUE(LEFT(D398,12))/11),10)=VALUE(RIGHT(D398,1)),"","ОГРН: неверная контрольная цифра"))))</f>
        <v/>
      </c>
      <c r="M398" s="24" t="str">
        <f aca="false">IF(TRIM(E398)="","КПП не указан",IF(LEN(E398)&lt;&gt;9,"КПП: должно быть 9 знаков",IF(NOT(AND(ISNUMBER(IFERROR(VALUE(LEFT(E398,4)),"x")),ISNUMBER(IFERROR(VALUE(RIGHT(E398,3)),"x")))),"КПП: неверный формат",IF(LEFT(E398,2)&lt;&gt;LEFT(C398,2),"КПП: код региона не совпадает с ИНН",""))))</f>
        <v/>
      </c>
      <c r="N398" s="24" t="str">
        <f aca="false">IF(TRIM(C398)="","",IF(COUNTIF($C$2:$C$401,C398)&gt;1,"Дубликат ИНН в реестре",""))</f>
        <v/>
      </c>
      <c r="O398" s="24" t="str">
        <f aca="false">IF(TRIM(H398)="","Email не указан",IF(AND(ISNUMBER(FIND("@",H398)),ISNUMBER(FIND(".",H398,IFERROR(FIND("@",H398),1))),ISERROR(FIND(" ",H398)),LEFT(H398,1)&lt;&gt;"@",RIGHT(H398,1)&lt;&gt;".",LEN(H398)-LEN(SUBSTITUTE(H398,"@",""))=1),"","Email: неверный формат"))</f>
        <v/>
      </c>
      <c r="P398" s="24" t="str">
        <f aca="false">IF(TRIM(I398)="","Телефон не указан",IF(AND(LEN(SUBSTITUTE(SUBSTITUTE(SUBSTITUTE(SUBSTITUTE(SUBSTITUTE(I398," ",""),"-",""),"(",""),")",""),"+",""))=11,OR(LEFT(SUBSTITUTE(SUBSTITUTE(SUBSTITUTE(SUBSTITUTE(SUBSTITUTE(I398," ",""),"-",""),"(",""),")",""),"+",""),1)="7",LEFT(SUBSTITUTE(SUBSTITUTE(SUBSTITUTE(SUBSTITUTE(SUBSTITUTE(I398," ",""),"-",""),"(",""),")",""),"+",""),1)="8"),ISNUMBER(IFERROR(VALUE(SUBSTITUTE(SUBSTITUTE(SUBSTITUTE(SUBSTITUTE(SUBSTITUTE(I398," ",""),"-",""),"(",""),")",""),"+","")),"x"))),"","Телефон: неверный формат"))</f>
        <v/>
      </c>
      <c r="Q398" s="24" t="str">
        <f aca="false">TRIM(IF(TRIM(B398)="","Нет наименования. ","")&amp;IF(TRIM(F398)="","Нет адреса. ","")&amp;IF(TRIM(G398)="","Нет контактного лица.",""))</f>
        <v/>
      </c>
      <c r="R398" s="21" t="n">
        <f aca="false">SUMPRODUCT(--(LEN(K398:Q398)&gt;0))</f>
        <v>0</v>
      </c>
      <c r="S398" s="24" t="str">
        <f aca="false">IF(R398=0,"Готово к передаче","Требует исправления")</f>
        <v>Готово к передаче</v>
      </c>
      <c r="T398" s="24" t="str">
        <f aca="false">IF(R398=0,"",_xlfn.TEXTJOIN("; ",TRUE(),K398:Q398))</f>
        <v/>
      </c>
      <c r="U398" s="24" t="str">
        <f aca="false">IF(R398=0,"","Здравствуйте! В данных организации «"&amp;B398&amp;"» обнаружены ошибки: "&amp;T398&amp;". Просим проверить и прислать исправленную информацию.")</f>
        <v/>
      </c>
      <c r="V398" s="21" t="str">
        <f aca="false">IF(R398&gt;0,COUNTIF($R$2:R398,"&gt;0"),"")</f>
        <v/>
      </c>
      <c r="W398" s="21" t="n">
        <f aca="false">IF(R398=0,COUNTIF($R$2:R398,0),"")</f>
        <v>280</v>
      </c>
    </row>
    <row r="399" customFormat="false" ht="15" hidden="false" customHeight="false" outlineLevel="0" collapsed="false">
      <c r="A399" s="21" t="n">
        <v>398</v>
      </c>
      <c r="B399" s="22" t="s">
        <v>3191</v>
      </c>
      <c r="C399" s="23" t="s">
        <v>3192</v>
      </c>
      <c r="D399" s="23" t="s">
        <v>3193</v>
      </c>
      <c r="E399" s="23" t="s">
        <v>3194</v>
      </c>
      <c r="F399" s="22" t="s">
        <v>3195</v>
      </c>
      <c r="G399" s="22" t="s">
        <v>3196</v>
      </c>
      <c r="H399" s="22" t="s">
        <v>3197</v>
      </c>
      <c r="I399" s="23" t="s">
        <v>3198</v>
      </c>
      <c r="J399" s="24" t="str">
        <f aca="false">IFERROR(VLOOKUP(VALUE(LEFT(C399,2)),Справочники!$A$2:$B$16,2,FALSE()),"не определён")</f>
        <v>г. Санкт-Петербург</v>
      </c>
      <c r="K399" s="24" t="str">
        <f aca="false">IF(TRIM(C399)="","ИНН не указан",IF(LEN(C399)&lt;&gt;10,"ИНН: должно быть 10 цифр",IF(NOT(ISNUMBER(IFERROR(VALUE(C399),"x"))),"ИНН: есть нецифровые символы",IF(MOD(MOD(SUMPRODUCT(--MID(C399,{1,2,3,4,5,6,7,8,9},1),{2,4,10,3,5,9,4,6,8}),11),10)=VALUE(RIGHT(C399,1)),"","ИНН: неверная контрольная цифра"))))</f>
        <v/>
      </c>
      <c r="L399" s="24" t="str">
        <f aca="false">IF(TRIM(D399)="","ОГРН не указан",IF(LEN(D399)&lt;&gt;13,"ОГРН: должно быть 13 цифр",IF(NOT(ISNUMBER(IFERROR(VALUE(D399),"x"))),"ОГРН: есть нецифровые символы",IF(MOD(VALUE(LEFT(D399,12))-11*INT(VALUE(LEFT(D399,12))/11),10)=VALUE(RIGHT(D399,1)),"","ОГРН: неверная контрольная цифра"))))</f>
        <v/>
      </c>
      <c r="M399" s="24" t="str">
        <f aca="false">IF(TRIM(E399)="","КПП не указан",IF(LEN(E399)&lt;&gt;9,"КПП: должно быть 9 знаков",IF(NOT(AND(ISNUMBER(IFERROR(VALUE(LEFT(E399,4)),"x")),ISNUMBER(IFERROR(VALUE(RIGHT(E399,3)),"x")))),"КПП: неверный формат",IF(LEFT(E399,2)&lt;&gt;LEFT(C399,2),"КПП: код региона не совпадает с ИНН",""))))</f>
        <v/>
      </c>
      <c r="N399" s="24" t="str">
        <f aca="false">IF(TRIM(C399)="","",IF(COUNTIF($C$2:$C$401,C399)&gt;1,"Дубликат ИНН в реестре",""))</f>
        <v/>
      </c>
      <c r="O399" s="24" t="str">
        <f aca="false">IF(TRIM(H399)="","Email не указан",IF(AND(ISNUMBER(FIND("@",H399)),ISNUMBER(FIND(".",H399,IFERROR(FIND("@",H399),1))),ISERROR(FIND(" ",H399)),LEFT(H399,1)&lt;&gt;"@",RIGHT(H399,1)&lt;&gt;".",LEN(H399)-LEN(SUBSTITUTE(H399,"@",""))=1),"","Email: неверный формат"))</f>
        <v/>
      </c>
      <c r="P399" s="24" t="str">
        <f aca="false">IF(TRIM(I399)="","Телефон не указан",IF(AND(LEN(SUBSTITUTE(SUBSTITUTE(SUBSTITUTE(SUBSTITUTE(SUBSTITUTE(I399," ",""),"-",""),"(",""),")",""),"+",""))=11,OR(LEFT(SUBSTITUTE(SUBSTITUTE(SUBSTITUTE(SUBSTITUTE(SUBSTITUTE(I399," ",""),"-",""),"(",""),")",""),"+",""),1)="7",LEFT(SUBSTITUTE(SUBSTITUTE(SUBSTITUTE(SUBSTITUTE(SUBSTITUTE(I399," ",""),"-",""),"(",""),")",""),"+",""),1)="8"),ISNUMBER(IFERROR(VALUE(SUBSTITUTE(SUBSTITUTE(SUBSTITUTE(SUBSTITUTE(SUBSTITUTE(I399," ",""),"-",""),"(",""),")",""),"+","")),"x"))),"","Телефон: неверный формат"))</f>
        <v/>
      </c>
      <c r="Q399" s="24" t="str">
        <f aca="false">TRIM(IF(TRIM(B399)="","Нет наименования. ","")&amp;IF(TRIM(F399)="","Нет адреса. ","")&amp;IF(TRIM(G399)="","Нет контактного лица.",""))</f>
        <v/>
      </c>
      <c r="R399" s="21" t="n">
        <f aca="false">SUMPRODUCT(--(LEN(K399:Q399)&gt;0))</f>
        <v>0</v>
      </c>
      <c r="S399" s="24" t="str">
        <f aca="false">IF(R399=0,"Готово к передаче","Требует исправления")</f>
        <v>Готово к передаче</v>
      </c>
      <c r="T399" s="24" t="str">
        <f aca="false">IF(R399=0,"",_xlfn.TEXTJOIN("; ",TRUE(),K399:Q399))</f>
        <v/>
      </c>
      <c r="U399" s="24" t="str">
        <f aca="false">IF(R399=0,"","Здравствуйте! В данных организации «"&amp;B399&amp;"» обнаружены ошибки: "&amp;T399&amp;". Просим проверить и прислать исправленную информацию.")</f>
        <v/>
      </c>
      <c r="V399" s="21" t="str">
        <f aca="false">IF(R399&gt;0,COUNTIF($R$2:R399,"&gt;0"),"")</f>
        <v/>
      </c>
      <c r="W399" s="21" t="n">
        <f aca="false">IF(R399=0,COUNTIF($R$2:R399,0),"")</f>
        <v>281</v>
      </c>
    </row>
    <row r="400" customFormat="false" ht="15" hidden="false" customHeight="false" outlineLevel="0" collapsed="false">
      <c r="A400" s="21" t="n">
        <v>399</v>
      </c>
      <c r="B400" s="22" t="s">
        <v>3199</v>
      </c>
      <c r="C400" s="23" t="s">
        <v>3200</v>
      </c>
      <c r="D400" s="23" t="s">
        <v>3201</v>
      </c>
      <c r="E400" s="23" t="s">
        <v>3202</v>
      </c>
      <c r="F400" s="22" t="s">
        <v>3203</v>
      </c>
      <c r="G400" s="22" t="s">
        <v>3204</v>
      </c>
      <c r="H400" s="22" t="s">
        <v>3205</v>
      </c>
      <c r="I400" s="23" t="s">
        <v>3206</v>
      </c>
      <c r="J400" s="24" t="str">
        <f aca="false">IFERROR(VLOOKUP(VALUE(LEFT(C400,2)),Справочники!$A$2:$B$16,2,FALSE()),"не определён")</f>
        <v>г. Москва</v>
      </c>
      <c r="K400" s="24" t="str">
        <f aca="false">IF(TRIM(C400)="","ИНН не указан",IF(LEN(C400)&lt;&gt;10,"ИНН: должно быть 10 цифр",IF(NOT(ISNUMBER(IFERROR(VALUE(C400),"x"))),"ИНН: есть нецифровые символы",IF(MOD(MOD(SUMPRODUCT(--MID(C400,{1,2,3,4,5,6,7,8,9},1),{2,4,10,3,5,9,4,6,8}),11),10)=VALUE(RIGHT(C400,1)),"","ИНН: неверная контрольная цифра"))))</f>
        <v>ИНН: неверная контрольная цифра</v>
      </c>
      <c r="L400" s="24" t="str">
        <f aca="false">IF(TRIM(D400)="","ОГРН не указан",IF(LEN(D400)&lt;&gt;13,"ОГРН: должно быть 13 цифр",IF(NOT(ISNUMBER(IFERROR(VALUE(D400),"x"))),"ОГРН: есть нецифровые символы",IF(MOD(VALUE(LEFT(D400,12))-11*INT(VALUE(LEFT(D400,12))/11),10)=VALUE(RIGHT(D400,1)),"","ОГРН: неверная контрольная цифра"))))</f>
        <v/>
      </c>
      <c r="M400" s="24" t="str">
        <f aca="false">IF(TRIM(E400)="","КПП не указан",IF(LEN(E400)&lt;&gt;9,"КПП: должно быть 9 знаков",IF(NOT(AND(ISNUMBER(IFERROR(VALUE(LEFT(E400,4)),"x")),ISNUMBER(IFERROR(VALUE(RIGHT(E400,3)),"x")))),"КПП: неверный формат",IF(LEFT(E400,2)&lt;&gt;LEFT(C400,2),"КПП: код региона не совпадает с ИНН",""))))</f>
        <v/>
      </c>
      <c r="N400" s="24" t="str">
        <f aca="false">IF(TRIM(C400)="","",IF(COUNTIF($C$2:$C$401,C400)&gt;1,"Дубликат ИНН в реестре",""))</f>
        <v/>
      </c>
      <c r="O400" s="24" t="str">
        <f aca="false">IF(TRIM(H400)="","Email не указан",IF(AND(ISNUMBER(FIND("@",H400)),ISNUMBER(FIND(".",H400,IFERROR(FIND("@",H400),1))),ISERROR(FIND(" ",H400)),LEFT(H400,1)&lt;&gt;"@",RIGHT(H400,1)&lt;&gt;".",LEN(H400)-LEN(SUBSTITUTE(H400,"@",""))=1),"","Email: неверный формат"))</f>
        <v/>
      </c>
      <c r="P400" s="24" t="str">
        <f aca="false">IF(TRIM(I400)="","Телефон не указан",IF(AND(LEN(SUBSTITUTE(SUBSTITUTE(SUBSTITUTE(SUBSTITUTE(SUBSTITUTE(I400," ",""),"-",""),"(",""),")",""),"+",""))=11,OR(LEFT(SUBSTITUTE(SUBSTITUTE(SUBSTITUTE(SUBSTITUTE(SUBSTITUTE(I400," ",""),"-",""),"(",""),")",""),"+",""),1)="7",LEFT(SUBSTITUTE(SUBSTITUTE(SUBSTITUTE(SUBSTITUTE(SUBSTITUTE(I400," ",""),"-",""),"(",""),")",""),"+",""),1)="8"),ISNUMBER(IFERROR(VALUE(SUBSTITUTE(SUBSTITUTE(SUBSTITUTE(SUBSTITUTE(SUBSTITUTE(I400," ",""),"-",""),"(",""),")",""),"+","")),"x"))),"","Телефон: неверный формат"))</f>
        <v/>
      </c>
      <c r="Q400" s="24" t="str">
        <f aca="false">TRIM(IF(TRIM(B400)="","Нет наименования. ","")&amp;IF(TRIM(F400)="","Нет адреса. ","")&amp;IF(TRIM(G400)="","Нет контактного лица.",""))</f>
        <v/>
      </c>
      <c r="R400" s="21" t="n">
        <f aca="false">SUMPRODUCT(--(LEN(K400:Q400)&gt;0))</f>
        <v>1</v>
      </c>
      <c r="S400" s="24" t="str">
        <f aca="false">IF(R400=0,"Готово к передаче","Требует исправления")</f>
        <v>Требует исправления</v>
      </c>
      <c r="T400" s="24" t="str">
        <f aca="false">IF(R400=0,"",_xlfn.TEXTJOIN("; ",TRUE(),K400:Q400))</f>
        <v>ИНН: неверная контрольная цифра</v>
      </c>
      <c r="U400" s="24" t="str">
        <f aca="false">IF(R400=0,"","Здравствуйте! В данных организации «"&amp;B400&amp;"» обнаружены ошибки: "&amp;T400&amp;". Просим проверить и прислать исправленную информацию.")</f>
        <v>Здравствуйте! В данных организации «ООО «Меридиан Сервис»» обнаружены ошибки: ИНН: неверная контрольная цифра. Просим проверить и прислать исправленную информацию.</v>
      </c>
      <c r="V400" s="21" t="n">
        <f aca="false">IF(R400&gt;0,COUNTIF($R$2:R400,"&gt;0"),"")</f>
        <v>118</v>
      </c>
      <c r="W400" s="21" t="str">
        <f aca="false">IF(R400=0,COUNTIF($R$2:R400,0),"")</f>
        <v/>
      </c>
    </row>
    <row r="401" customFormat="false" ht="15" hidden="false" customHeight="false" outlineLevel="0" collapsed="false">
      <c r="A401" s="21" t="n">
        <v>400</v>
      </c>
      <c r="B401" s="22" t="s">
        <v>3207</v>
      </c>
      <c r="C401" s="23" t="s">
        <v>3208</v>
      </c>
      <c r="D401" s="23" t="s">
        <v>3209</v>
      </c>
      <c r="E401" s="23" t="s">
        <v>3210</v>
      </c>
      <c r="F401" s="22" t="s">
        <v>3211</v>
      </c>
      <c r="G401" s="22" t="s">
        <v>3212</v>
      </c>
      <c r="H401" s="22" t="s">
        <v>3213</v>
      </c>
      <c r="I401" s="23" t="s">
        <v>3214</v>
      </c>
      <c r="J401" s="24" t="str">
        <f aca="false">IFERROR(VLOOKUP(VALUE(LEFT(C401,2)),Справочники!$A$2:$B$16,2,FALSE()),"не определён")</f>
        <v>Республика Крым</v>
      </c>
      <c r="K401" s="24" t="str">
        <f aca="false">IF(TRIM(C401)="","ИНН не указан",IF(LEN(C401)&lt;&gt;10,"ИНН: должно быть 10 цифр",IF(NOT(ISNUMBER(IFERROR(VALUE(C401),"x"))),"ИНН: есть нецифровые символы",IF(MOD(MOD(SUMPRODUCT(--MID(C401,{1,2,3,4,5,6,7,8,9},1),{2,4,10,3,5,9,4,6,8}),11),10)=VALUE(RIGHT(C401,1)),"","ИНН: неверная контрольная цифра"))))</f>
        <v/>
      </c>
      <c r="L401" s="24" t="str">
        <f aca="false">IF(TRIM(D401)="","ОГРН не указан",IF(LEN(D401)&lt;&gt;13,"ОГРН: должно быть 13 цифр",IF(NOT(ISNUMBER(IFERROR(VALUE(D401),"x"))),"ОГРН: есть нецифровые символы",IF(MOD(VALUE(LEFT(D401,12))-11*INT(VALUE(LEFT(D401,12))/11),10)=VALUE(RIGHT(D401,1)),"","ОГРН: неверная контрольная цифра"))))</f>
        <v/>
      </c>
      <c r="M401" s="24" t="str">
        <f aca="false">IF(TRIM(E401)="","КПП не указан",IF(LEN(E401)&lt;&gt;9,"КПП: должно быть 9 знаков",IF(NOT(AND(ISNUMBER(IFERROR(VALUE(LEFT(E401,4)),"x")),ISNUMBER(IFERROR(VALUE(RIGHT(E401,3)),"x")))),"КПП: неверный формат",IF(LEFT(E401,2)&lt;&gt;LEFT(C401,2),"КПП: код региона не совпадает с ИНН",""))))</f>
        <v/>
      </c>
      <c r="N401" s="24" t="str">
        <f aca="false">IF(TRIM(C401)="","",IF(COUNTIF($C$2:$C$401,C401)&gt;1,"Дубликат ИНН в реестре",""))</f>
        <v/>
      </c>
      <c r="O401" s="24" t="str">
        <f aca="false">IF(TRIM(H401)="","Email не указан",IF(AND(ISNUMBER(FIND("@",H401)),ISNUMBER(FIND(".",H401,IFERROR(FIND("@",H401),1))),ISERROR(FIND(" ",H401)),LEFT(H401,1)&lt;&gt;"@",RIGHT(H401,1)&lt;&gt;".",LEN(H401)-LEN(SUBSTITUTE(H401,"@",""))=1),"","Email: неверный формат"))</f>
        <v/>
      </c>
      <c r="P401" s="24" t="str">
        <f aca="false">IF(TRIM(I401)="","Телефон не указан",IF(AND(LEN(SUBSTITUTE(SUBSTITUTE(SUBSTITUTE(SUBSTITUTE(SUBSTITUTE(I401," ",""),"-",""),"(",""),")",""),"+",""))=11,OR(LEFT(SUBSTITUTE(SUBSTITUTE(SUBSTITUTE(SUBSTITUTE(SUBSTITUTE(I401," ",""),"-",""),"(",""),")",""),"+",""),1)="7",LEFT(SUBSTITUTE(SUBSTITUTE(SUBSTITUTE(SUBSTITUTE(SUBSTITUTE(I401," ",""),"-",""),"(",""),")",""),"+",""),1)="8"),ISNUMBER(IFERROR(VALUE(SUBSTITUTE(SUBSTITUTE(SUBSTITUTE(SUBSTITUTE(SUBSTITUTE(I401," ",""),"-",""),"(",""),")",""),"+","")),"x"))),"","Телефон: неверный формат"))</f>
        <v/>
      </c>
      <c r="Q401" s="24" t="str">
        <f aca="false">TRIM(IF(TRIM(B401)="","Нет наименования. ","")&amp;IF(TRIM(F401)="","Нет адреса. ","")&amp;IF(TRIM(G401)="","Нет контактного лица.",""))</f>
        <v/>
      </c>
      <c r="R401" s="21" t="n">
        <f aca="false">SUMPRODUCT(--(LEN(K401:Q401)&gt;0))</f>
        <v>0</v>
      </c>
      <c r="S401" s="24" t="str">
        <f aca="false">IF(R401=0,"Готово к передаче","Требует исправления")</f>
        <v>Готово к передаче</v>
      </c>
      <c r="T401" s="24" t="str">
        <f aca="false">IF(R401=0,"",_xlfn.TEXTJOIN("; ",TRUE(),K401:Q401))</f>
        <v/>
      </c>
      <c r="U401" s="24" t="str">
        <f aca="false">IF(R401=0,"","Здравствуйте! В данных организации «"&amp;B401&amp;"» обнаружены ошибки: "&amp;T401&amp;". Просим проверить и прислать исправленную информацию.")</f>
        <v/>
      </c>
      <c r="V401" s="21" t="str">
        <f aca="false">IF(R401&gt;0,COUNTIF($R$2:R401,"&gt;0"),"")</f>
        <v/>
      </c>
      <c r="W401" s="21" t="n">
        <f aca="false">IF(R401=0,COUNTIF($R$2:R401,0),"")</f>
        <v>282</v>
      </c>
    </row>
  </sheetData>
  <autoFilter ref="A1:W401"/>
  <conditionalFormatting sqref="C2:C401">
    <cfRule type="expression" priority="2" aboveAverage="0" equalAverage="0" bottom="0" percent="0" rank="0" text="" dxfId="10">
      <formula>OR($K2&lt;&gt;"",$N2&lt;&gt;"")</formula>
    </cfRule>
  </conditionalFormatting>
  <conditionalFormatting sqref="D2:D401">
    <cfRule type="expression" priority="3" aboveAverage="0" equalAverage="0" bottom="0" percent="0" rank="0" text="" dxfId="10">
      <formula>$L2&lt;&gt;""</formula>
    </cfRule>
  </conditionalFormatting>
  <conditionalFormatting sqref="E2:E401">
    <cfRule type="expression" priority="4" aboveAverage="0" equalAverage="0" bottom="0" percent="0" rank="0" text="" dxfId="10">
      <formula>$M2&lt;&gt;""</formula>
    </cfRule>
  </conditionalFormatting>
  <conditionalFormatting sqref="H2:H401">
    <cfRule type="expression" priority="5" aboveAverage="0" equalAverage="0" bottom="0" percent="0" rank="0" text="" dxfId="10">
      <formula>$O2&lt;&gt;""</formula>
    </cfRule>
  </conditionalFormatting>
  <conditionalFormatting sqref="I2:I401">
    <cfRule type="expression" priority="6" aboveAverage="0" equalAverage="0" bottom="0" percent="0" rank="0" text="" dxfId="10">
      <formula>$P2&lt;&gt;""</formula>
    </cfRule>
  </conditionalFormatting>
  <conditionalFormatting sqref="B2:B401">
    <cfRule type="expression" priority="7" aboveAverage="0" equalAverage="0" bottom="0" percent="0" rank="0" text="" dxfId="10">
      <formula>TRIM($B2)=""</formula>
    </cfRule>
  </conditionalFormatting>
  <conditionalFormatting sqref="F2:F401">
    <cfRule type="expression" priority="8" aboveAverage="0" equalAverage="0" bottom="0" percent="0" rank="0" text="" dxfId="10">
      <formula>TRIM($F2)=""</formula>
    </cfRule>
  </conditionalFormatting>
  <conditionalFormatting sqref="G2:G401">
    <cfRule type="expression" priority="9" aboveAverage="0" equalAverage="0" bottom="0" percent="0" rank="0" text="" dxfId="10">
      <formula>TRIM($G2)=""</formula>
    </cfRule>
  </conditionalFormatting>
  <conditionalFormatting sqref="S2:S401">
    <cfRule type="cellIs" priority="10" operator="equal" aboveAverage="0" equalAverage="0" bottom="0" percent="0" rank="0" text="" dxfId="11">
      <formula>"Готово к передаче"</formula>
    </cfRule>
    <cfRule type="cellIs" priority="11" operator="equal" aboveAverage="0" equalAverage="0" bottom="0" percent="0" rank="0" text="" dxfId="12">
      <formula>"Требует исправления"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4"/>
    <col collapsed="false" customWidth="true" hidden="false" outlineLevel="0" max="3" min="3" style="0" width="13"/>
    <col collapsed="false" customWidth="true" hidden="false" outlineLevel="0" max="4" min="4" style="0" width="70"/>
    <col collapsed="false" customWidth="true" hidden="false" outlineLevel="0" max="5" min="5" style="0" width="10"/>
    <col collapsed="false" customWidth="true" hidden="false" outlineLevel="0" max="6" min="6" style="0" width="90"/>
  </cols>
  <sheetData>
    <row r="1" customFormat="false" ht="16.15" hidden="false" customHeight="false" outlineLevel="0" collapsed="false">
      <c r="A1" s="25" t="s">
        <v>3215</v>
      </c>
    </row>
    <row r="2" customFormat="false" ht="15" hidden="false" customHeight="false" outlineLevel="0" collapsed="false">
      <c r="A2" s="2" t="s">
        <v>3216</v>
      </c>
    </row>
    <row r="4" customFormat="false" ht="33.75" hidden="false" customHeight="true" outlineLevel="0" collapsed="false">
      <c r="A4" s="8" t="s">
        <v>67</v>
      </c>
      <c r="B4" s="8" t="s">
        <v>3217</v>
      </c>
      <c r="C4" s="8" t="s">
        <v>19</v>
      </c>
      <c r="D4" s="8" t="s">
        <v>81</v>
      </c>
      <c r="E4" s="8" t="s">
        <v>79</v>
      </c>
      <c r="F4" s="8" t="s">
        <v>82</v>
      </c>
    </row>
    <row r="5" customFormat="false" ht="15" hidden="false" customHeight="false" outlineLevel="0" collapsed="false">
      <c r="A5" s="21" t="n">
        <f aca="false">IF(ROWS(A$5:A5)&lt;=MAX(Реестр!$V$2:$V$401),ROWS(A$5:A5),"")</f>
        <v>1</v>
      </c>
      <c r="B5" s="24" t="str">
        <f aca="false">IF($A5="","",INDEX(Реестр!$B$2:$B$401,MATCH($A5,Реестр!$V$2:$V$401,0)))</f>
        <v>АО «Меридиан Монтаж»</v>
      </c>
      <c r="C5" s="24" t="n">
        <f aca="false">IF($A5="","",INDEX(Реестр!$C$2:$C$401,MATCH($A5,Реестр!$V$2:$V$401,0)))</f>
        <v>0</v>
      </c>
      <c r="D5" s="24" t="str">
        <f aca="false">IF($A5="","",INDEX(Реестр!$T$2:$T$401,MATCH($A5,Реестр!$V$2:$V$401,0)))</f>
        <v>ИНН не указан; КПП: код региона не совпадает с ИНН</v>
      </c>
      <c r="E5" s="21" t="n">
        <f aca="false">IF($A5="","",INDEX(Реестр!$R$2:$R$401,MATCH($A5,Реестр!$V$2:$V$401,0)))</f>
        <v>2</v>
      </c>
      <c r="F5" s="24" t="str">
        <f aca="false">IF($A5="","",INDEX(Реестр!$U$2:$U$401,MATCH($A5,Реестр!$V$2:$V$401,0)))</f>
        <v>Здравствуйте! В данных организации «АО «Меридиан Монтаж»» обнаружены ошибки: ИНН не указан; КПП: код региона не совпадает с ИНН. Просим проверить и прислать исправленную информацию.</v>
      </c>
    </row>
    <row r="6" customFormat="false" ht="15" hidden="false" customHeight="false" outlineLevel="0" collapsed="false">
      <c r="A6" s="21" t="n">
        <f aca="false">IF(ROWS(A$5:A6)&lt;=MAX(Реестр!$V$2:$V$401),ROWS(A$5:A6),"")</f>
        <v>2</v>
      </c>
      <c r="B6" s="24" t="str">
        <f aca="false">IF($A6="","",INDEX(Реестр!$B$2:$B$401,MATCH($A6,Реестр!$V$2:$V$401,0)))</f>
        <v>ООО «Вектор Проект»</v>
      </c>
      <c r="C6" s="24" t="str">
        <f aca="false">IF($A6="","",INDEX(Реестр!$C$2:$C$401,MATCH($A6,Реестр!$V$2:$V$401,0)))</f>
        <v>6338452351</v>
      </c>
      <c r="D6" s="24" t="str">
        <f aca="false">IF($A6="","",INDEX(Реестр!$T$2:$T$401,MATCH($A6,Реестр!$V$2:$V$401,0)))</f>
        <v>ИНН: неверная контрольная цифра; Email: неверный формат</v>
      </c>
      <c r="E6" s="21" t="n">
        <f aca="false">IF($A6="","",INDEX(Реестр!$R$2:$R$401,MATCH($A6,Реестр!$V$2:$V$401,0)))</f>
        <v>2</v>
      </c>
      <c r="F6" s="24" t="str">
        <f aca="false">IF($A6="","",INDEX(Реестр!$U$2:$U$401,MATCH($A6,Реестр!$V$2:$V$401,0)))</f>
        <v>Здравствуйте! В данных организации «ООО «Вектор Проект»» обнаружены ошибки: ИНН: неверная контрольная цифра; Email: неверный формат. Просим проверить и прислать исправленную информацию.</v>
      </c>
    </row>
    <row r="7" customFormat="false" ht="15" hidden="false" customHeight="false" outlineLevel="0" collapsed="false">
      <c r="A7" s="21" t="n">
        <f aca="false">IF(ROWS(A$5:A7)&lt;=MAX(Реестр!$V$2:$V$401),ROWS(A$5:A7),"")</f>
        <v>3</v>
      </c>
      <c r="B7" s="24" t="str">
        <f aca="false">IF($A7="","",INDEX(Реестр!$B$2:$B$401,MATCH($A7,Реестр!$V$2:$V$401,0)))</f>
        <v>АО «Эталон Проект»</v>
      </c>
      <c r="C7" s="24" t="str">
        <f aca="false">IF($A7="","",INDEX(Реестр!$C$2:$C$401,MATCH($A7,Реестр!$V$2:$V$401,0)))</f>
        <v>782218804</v>
      </c>
      <c r="D7" s="24" t="str">
        <f aca="false">IF($A7="","",INDEX(Реестр!$T$2:$T$401,MATCH($A7,Реестр!$V$2:$V$401,0)))</f>
        <v>ИНН: должно быть 10 цифр</v>
      </c>
      <c r="E7" s="21" t="n">
        <f aca="false">IF($A7="","",INDEX(Реестр!$R$2:$R$401,MATCH($A7,Реестр!$V$2:$V$401,0)))</f>
        <v>1</v>
      </c>
      <c r="F7" s="24" t="str">
        <f aca="false">IF($A7="","",INDEX(Реестр!$U$2:$U$401,MATCH($A7,Реестр!$V$2:$V$401,0)))</f>
        <v>Здравствуйте! В данных организации «АО «Эталон Проект»» обнаружены ошибки: ИНН: должно быть 10 цифр. Просим проверить и прислать исправленную информацию.</v>
      </c>
    </row>
    <row r="8" customFormat="false" ht="15" hidden="false" customHeight="false" outlineLevel="0" collapsed="false">
      <c r="A8" s="21" t="n">
        <f aca="false">IF(ROWS(A$5:A8)&lt;=MAX(Реестр!$V$2:$V$401),ROWS(A$5:A8),"")</f>
        <v>4</v>
      </c>
      <c r="B8" s="24" t="str">
        <f aca="false">IF($A8="","",INDEX(Реестр!$B$2:$B$401,MATCH($A8,Реестр!$V$2:$V$401,0)))</f>
        <v>ООО «Эталон Технологии»</v>
      </c>
      <c r="C8" s="24" t="str">
        <f aca="false">IF($A8="","",INDEX(Реестр!$C$2:$C$401,MATCH($A8,Реестр!$V$2:$V$401,0)))</f>
        <v>1633362955</v>
      </c>
      <c r="D8" s="24" t="str">
        <f aca="false">IF($A8="","",INDEX(Реестр!$T$2:$T$401,MATCH($A8,Реестр!$V$2:$V$401,0)))</f>
        <v>Email: неверный формат</v>
      </c>
      <c r="E8" s="21" t="n">
        <f aca="false">IF($A8="","",INDEX(Реестр!$R$2:$R$401,MATCH($A8,Реестр!$V$2:$V$401,0)))</f>
        <v>1</v>
      </c>
      <c r="F8" s="24" t="str">
        <f aca="false">IF($A8="","",INDEX(Реестр!$U$2:$U$401,MATCH($A8,Реестр!$V$2:$V$401,0)))</f>
        <v>Здравствуйте! В данных организации «ООО «Эталон Технологии»» обнаружены ошибки: Email: неверный формат. Просим проверить и прислать исправленную информацию.</v>
      </c>
    </row>
    <row r="9" customFormat="false" ht="15" hidden="false" customHeight="false" outlineLevel="0" collapsed="false">
      <c r="A9" s="21" t="n">
        <f aca="false">IF(ROWS(A$5:A9)&lt;=MAX(Реестр!$V$2:$V$401),ROWS(A$5:A9),"")</f>
        <v>5</v>
      </c>
      <c r="B9" s="24" t="str">
        <f aca="false">IF($A9="","",INDEX(Реестр!$B$2:$B$401,MATCH($A9,Реестр!$V$2:$V$401,0)))</f>
        <v>ООО «Дельта Технологии»</v>
      </c>
      <c r="C9" s="24" t="str">
        <f aca="false">IF($A9="","",INDEX(Реестр!$C$2:$C$401,MATCH($A9,Реестр!$V$2:$V$401,0)))</f>
        <v>5436174653</v>
      </c>
      <c r="D9" s="24" t="str">
        <f aca="false">IF($A9="","",INDEX(Реестр!$T$2:$T$401,MATCH($A9,Реестр!$V$2:$V$401,0)))</f>
        <v>КПП: должно быть 9 знаков</v>
      </c>
      <c r="E9" s="21" t="n">
        <f aca="false">IF($A9="","",INDEX(Реестр!$R$2:$R$401,MATCH($A9,Реестр!$V$2:$V$401,0)))</f>
        <v>1</v>
      </c>
      <c r="F9" s="24" t="str">
        <f aca="false">IF($A9="","",INDEX(Реестр!$U$2:$U$401,MATCH($A9,Реестр!$V$2:$V$401,0)))</f>
        <v>Здравствуйте! В данных организации «ООО «Дельта Технологии»» обнаружены ошибки: КПП: должно быть 9 знаков. Просим проверить и прислать исправленную информацию.</v>
      </c>
    </row>
    <row r="10" customFormat="false" ht="15" hidden="false" customHeight="false" outlineLevel="0" collapsed="false">
      <c r="A10" s="21" t="n">
        <f aca="false">IF(ROWS(A$5:A10)&lt;=MAX(Реестр!$V$2:$V$401),ROWS(A$5:A10),"")</f>
        <v>6</v>
      </c>
      <c r="B10" s="24" t="str">
        <f aca="false">IF($A10="","",INDEX(Реестр!$B$2:$B$401,MATCH($A10,Реестр!$V$2:$V$401,0)))</f>
        <v>АО «Вектор Групп»</v>
      </c>
      <c r="C10" s="24" t="str">
        <f aca="false">IF($A10="","",INDEX(Реестр!$C$2:$C$401,MATCH($A10,Реестр!$V$2:$V$401,0)))</f>
        <v>9203843570</v>
      </c>
      <c r="D10" s="24" t="str">
        <f aca="false">IF($A10="","",INDEX(Реестр!$T$2:$T$401,MATCH($A10,Реестр!$V$2:$V$401,0)))</f>
        <v>Телефон не указан</v>
      </c>
      <c r="E10" s="21" t="n">
        <f aca="false">IF($A10="","",INDEX(Реестр!$R$2:$R$401,MATCH($A10,Реестр!$V$2:$V$401,0)))</f>
        <v>1</v>
      </c>
      <c r="F10" s="24" t="str">
        <f aca="false">IF($A10="","",INDEX(Реестр!$U$2:$U$401,MATCH($A10,Реестр!$V$2:$V$401,0)))</f>
        <v>Здравствуйте! В данных организации «АО «Вектор Групп»» обнаружены ошибки: Телефон не указан. Просим проверить и прислать исправленную информацию.</v>
      </c>
    </row>
    <row r="11" customFormat="false" ht="15" hidden="false" customHeight="false" outlineLevel="0" collapsed="false">
      <c r="A11" s="21" t="n">
        <f aca="false">IF(ROWS(A$5:A11)&lt;=MAX(Реестр!$V$2:$V$401),ROWS(A$5:A11),"")</f>
        <v>7</v>
      </c>
      <c r="B11" s="24" t="str">
        <f aca="false">IF($A11="","",INDEX(Реестр!$B$2:$B$401,MATCH($A11,Реестр!$V$2:$V$401,0)))</f>
        <v>ООО «Эталон Энерго»</v>
      </c>
      <c r="C11" s="24" t="str">
        <f aca="false">IF($A11="","",INDEX(Реестр!$C$2:$C$401,MATCH($A11,Реестр!$V$2:$V$401,0)))</f>
        <v>6140118904</v>
      </c>
      <c r="D11" s="24" t="str">
        <f aca="false">IF($A11="","",INDEX(Реестр!$T$2:$T$401,MATCH($A11,Реестр!$V$2:$V$401,0)))</f>
        <v>ИНН: неверная контрольная цифра</v>
      </c>
      <c r="E11" s="21" t="n">
        <f aca="false">IF($A11="","",INDEX(Реестр!$R$2:$R$401,MATCH($A11,Реестр!$V$2:$V$401,0)))</f>
        <v>1</v>
      </c>
      <c r="F11" s="24" t="str">
        <f aca="false">IF($A11="","",INDEX(Реестр!$U$2:$U$401,MATCH($A11,Реестр!$V$2:$V$401,0)))</f>
        <v>Здравствуйте! В данных организации «ООО «Эталон Энерго»» обнаружены ошибки: ИНН: неверная контрольная цифра. Просим проверить и прислать исправленную информацию.</v>
      </c>
    </row>
    <row r="12" customFormat="false" ht="15" hidden="false" customHeight="false" outlineLevel="0" collapsed="false">
      <c r="A12" s="21" t="n">
        <f aca="false">IF(ROWS(A$5:A12)&lt;=MAX(Реестр!$V$2:$V$401),ROWS(A$5:A12),"")</f>
        <v>8</v>
      </c>
      <c r="B12" s="24" t="str">
        <f aca="false">IF($A12="","",INDEX(Реестр!$B$2:$B$401,MATCH($A12,Реестр!$V$2:$V$401,0)))</f>
        <v>ООО «Импульс Фуд»</v>
      </c>
      <c r="C12" s="24" t="str">
        <f aca="false">IF($A12="","",INDEX(Реестр!$C$2:$C$401,MATCH($A12,Реестр!$V$2:$V$401,0)))</f>
        <v>7843045О55</v>
      </c>
      <c r="D12" s="24" t="str">
        <f aca="false">IF($A12="","",INDEX(Реестр!$T$2:$T$401,MATCH($A12,Реестр!$V$2:$V$401,0)))</f>
        <v>ИНН: есть нецифровые символы</v>
      </c>
      <c r="E12" s="21" t="n">
        <f aca="false">IF($A12="","",INDEX(Реестр!$R$2:$R$401,MATCH($A12,Реестр!$V$2:$V$401,0)))</f>
        <v>1</v>
      </c>
      <c r="F12" s="24" t="str">
        <f aca="false">IF($A12="","",INDEX(Реестр!$U$2:$U$401,MATCH($A12,Реестр!$V$2:$V$401,0)))</f>
        <v>Здравствуйте! В данных организации «ООО «Импульс Фуд»» обнаружены ошибки: ИНН: есть нецифровые символы. Просим проверить и прислать исправленную информацию.</v>
      </c>
    </row>
    <row r="13" customFormat="false" ht="15" hidden="false" customHeight="false" outlineLevel="0" collapsed="false">
      <c r="A13" s="21" t="n">
        <f aca="false">IF(ROWS(A$5:A13)&lt;=MAX(Реестр!$V$2:$V$401),ROWS(A$5:A13),"")</f>
        <v>9</v>
      </c>
      <c r="B13" s="24" t="str">
        <f aca="false">IF($A13="","",INDEX(Реестр!$B$2:$B$401,MATCH($A13,Реестр!$V$2:$V$401,0)))</f>
        <v>АО «Горизонт Агро»</v>
      </c>
      <c r="C13" s="24" t="str">
        <f aca="false">IF($A13="","",INDEX(Реестр!$C$2:$C$401,MATCH($A13,Реестр!$V$2:$V$401,0)))</f>
        <v>6620289584</v>
      </c>
      <c r="D13" s="24" t="str">
        <f aca="false">IF($A13="","",INDEX(Реестр!$T$2:$T$401,MATCH($A13,Реестр!$V$2:$V$401,0)))</f>
        <v>ОГРН: должно быть 13 цифр</v>
      </c>
      <c r="E13" s="21" t="n">
        <f aca="false">IF($A13="","",INDEX(Реестр!$R$2:$R$401,MATCH($A13,Реестр!$V$2:$V$401,0)))</f>
        <v>1</v>
      </c>
      <c r="F13" s="24" t="str">
        <f aca="false">IF($A13="","",INDEX(Реестр!$U$2:$U$401,MATCH($A13,Реестр!$V$2:$V$401,0)))</f>
        <v>Здравствуйте! В данных организации «АО «Горизонт Агро»» обнаружены ошибки: ОГРН: должно быть 13 цифр. Просим проверить и прислать исправленную информацию.</v>
      </c>
    </row>
    <row r="14" customFormat="false" ht="15" hidden="false" customHeight="false" outlineLevel="0" collapsed="false">
      <c r="A14" s="21" t="n">
        <f aca="false">IF(ROWS(A$5:A14)&lt;=MAX(Реестр!$V$2:$V$401),ROWS(A$5:A14),"")</f>
        <v>10</v>
      </c>
      <c r="B14" s="24" t="str">
        <f aca="false">IF($A14="","",INDEX(Реестр!$B$2:$B$401,MATCH($A14,Реестр!$V$2:$V$401,0)))</f>
        <v>ООО «Эталон Торг»</v>
      </c>
      <c r="C14" s="24" t="str">
        <f aca="false">IF($A14="","",INDEX(Реестр!$C$2:$C$401,MATCH($A14,Реестр!$V$2:$V$401,0)))</f>
        <v>6113118030</v>
      </c>
      <c r="D14" s="24" t="str">
        <f aca="false">IF($A14="","",INDEX(Реестр!$T$2:$T$401,MATCH($A14,Реестр!$V$2:$V$401,0)))</f>
        <v>ИНН: неверная контрольная цифра</v>
      </c>
      <c r="E14" s="21" t="n">
        <f aca="false">IF($A14="","",INDEX(Реестр!$R$2:$R$401,MATCH($A14,Реестр!$V$2:$V$401,0)))</f>
        <v>1</v>
      </c>
      <c r="F14" s="24" t="str">
        <f aca="false">IF($A14="","",INDEX(Реестр!$U$2:$U$401,MATCH($A14,Реестр!$V$2:$V$401,0)))</f>
        <v>Здравствуйте! В данных организации «ООО «Эталон Торг»» обнаружены ошибки: ИНН: неверная контрольная цифра. Просим проверить и прислать исправленную информацию.</v>
      </c>
    </row>
    <row r="15" customFormat="false" ht="15" hidden="false" customHeight="false" outlineLevel="0" collapsed="false">
      <c r="A15" s="21" t="n">
        <f aca="false">IF(ROWS(A$5:A15)&lt;=MAX(Реестр!$V$2:$V$401),ROWS(A$5:A15),"")</f>
        <v>11</v>
      </c>
      <c r="B15" s="24" t="str">
        <f aca="false">IF($A15="","",INDEX(Реестр!$B$2:$B$401,MATCH($A15,Реестр!$V$2:$V$401,0)))</f>
        <v>ООО «Альфа Энерго»</v>
      </c>
      <c r="C15" s="24" t="str">
        <f aca="false">IF($A15="","",INDEX(Реестр!$C$2:$C$401,MATCH($A15,Реестр!$V$2:$V$401,0)))</f>
        <v>7701624659</v>
      </c>
      <c r="D15" s="24" t="str">
        <f aca="false">IF($A15="","",INDEX(Реестр!$T$2:$T$401,MATCH($A15,Реестр!$V$2:$V$401,0)))</f>
        <v>Дубликат ИНН в реестре</v>
      </c>
      <c r="E15" s="21" t="n">
        <f aca="false">IF($A15="","",INDEX(Реестр!$R$2:$R$401,MATCH($A15,Реестр!$V$2:$V$401,0)))</f>
        <v>1</v>
      </c>
      <c r="F15" s="24" t="str">
        <f aca="false">IF($A15="","",INDEX(Реестр!$U$2:$U$401,MATCH($A15,Реестр!$V$2:$V$401,0)))</f>
        <v>Здравствуйте! В данных организации «ООО «Альфа Энерго»» обнаружены ошибки: Дубликат ИНН в реестре. Просим проверить и прислать исправленную информацию.</v>
      </c>
    </row>
    <row r="16" customFormat="false" ht="15" hidden="false" customHeight="false" outlineLevel="0" collapsed="false">
      <c r="A16" s="21" t="n">
        <f aca="false">IF(ROWS(A$5:A16)&lt;=MAX(Реестр!$V$2:$V$401),ROWS(A$5:A16),"")</f>
        <v>12</v>
      </c>
      <c r="B16" s="24" t="str">
        <f aca="false">IF($A16="","",INDEX(Реестр!$B$2:$B$401,MATCH($A16,Реестр!$V$2:$V$401,0)))</f>
        <v>ООО «Берег Принт»</v>
      </c>
      <c r="C16" s="24" t="str">
        <f aca="false">IF($A16="","",INDEX(Реестр!$C$2:$C$401,MATCH($A16,Реестр!$V$2:$V$401,0)))</f>
        <v>1624830910</v>
      </c>
      <c r="D16" s="24" t="str">
        <f aca="false">IF($A16="","",INDEX(Реестр!$T$2:$T$401,MATCH($A16,Реестр!$V$2:$V$401,0)))</f>
        <v>ОГРН не указан; Дубликат ИНН в реестре</v>
      </c>
      <c r="E16" s="21" t="n">
        <f aca="false">IF($A16="","",INDEX(Реестр!$R$2:$R$401,MATCH($A16,Реестр!$V$2:$V$401,0)))</f>
        <v>2</v>
      </c>
      <c r="F16" s="24" t="str">
        <f aca="false">IF($A16="","",INDEX(Реестр!$U$2:$U$401,MATCH($A16,Реестр!$V$2:$V$401,0)))</f>
        <v>Здравствуйте! В данных организации «ООО «Берег Принт»» обнаружены ошибки: ОГРН не указан; Дубликат ИНН в реестре. Просим проверить и прислать исправленную информацию.</v>
      </c>
    </row>
    <row r="17" customFormat="false" ht="15" hidden="false" customHeight="false" outlineLevel="0" collapsed="false">
      <c r="A17" s="21" t="n">
        <f aca="false">IF(ROWS(A$5:A17)&lt;=MAX(Реестр!$V$2:$V$401),ROWS(A$5:A17),"")</f>
        <v>13</v>
      </c>
      <c r="B17" s="24" t="str">
        <f aca="false">IF($A17="","",INDEX(Реестр!$B$2:$B$401,MATCH($A17,Реестр!$V$2:$V$401,0)))</f>
        <v>АО «Гранит Сервис»</v>
      </c>
      <c r="C17" s="24" t="str">
        <f aca="false">IF($A17="","",INDEX(Реестр!$C$2:$C$401,MATCH($A17,Реестр!$V$2:$V$401,0)))</f>
        <v>92270541103</v>
      </c>
      <c r="D17" s="24" t="str">
        <f aca="false">IF($A17="","",INDEX(Реестр!$T$2:$T$401,MATCH($A17,Реестр!$V$2:$V$401,0)))</f>
        <v>ИНН: должно быть 10 цифр</v>
      </c>
      <c r="E17" s="21" t="n">
        <f aca="false">IF($A17="","",INDEX(Реестр!$R$2:$R$401,MATCH($A17,Реестр!$V$2:$V$401,0)))</f>
        <v>1</v>
      </c>
      <c r="F17" s="24" t="str">
        <f aca="false">IF($A17="","",INDEX(Реестр!$U$2:$U$401,MATCH($A17,Реестр!$V$2:$V$401,0)))</f>
        <v>Здравствуйте! В данных организации «АО «Гранит Сервис»» обнаружены ошибки: ИНН: должно быть 10 цифр. Просим проверить и прислать исправленную информацию.</v>
      </c>
    </row>
    <row r="18" customFormat="false" ht="15" hidden="false" customHeight="false" outlineLevel="0" collapsed="false">
      <c r="A18" s="21" t="n">
        <f aca="false">IF(ROWS(A$5:A18)&lt;=MAX(Реестр!$V$2:$V$401),ROWS(A$5:A18),"")</f>
        <v>14</v>
      </c>
      <c r="B18" s="24" t="str">
        <f aca="false">IF($A18="","",INDEX(Реестр!$B$2:$B$401,MATCH($A18,Реестр!$V$2:$V$401,0)))</f>
        <v>ООО «Феникс Торг»</v>
      </c>
      <c r="C18" s="24" t="str">
        <f aca="false">IF($A18="","",INDEX(Реестр!$C$2:$C$401,MATCH($A18,Реестр!$V$2:$V$401,0)))</f>
        <v>9116683346</v>
      </c>
      <c r="D18" s="24" t="str">
        <f aca="false">IF($A18="","",INDEX(Реестр!$T$2:$T$401,MATCH($A18,Реестр!$V$2:$V$401,0)))</f>
        <v>ИНН: неверная контрольная цифра</v>
      </c>
      <c r="E18" s="21" t="n">
        <f aca="false">IF($A18="","",INDEX(Реестр!$R$2:$R$401,MATCH($A18,Реестр!$V$2:$V$401,0)))</f>
        <v>1</v>
      </c>
      <c r="F18" s="24" t="str">
        <f aca="false">IF($A18="","",INDEX(Реестр!$U$2:$U$401,MATCH($A18,Реестр!$V$2:$V$401,0)))</f>
        <v>Здравствуйте! В данных организации «ООО «Феникс Торг»» обнаружены ошибки: ИНН: неверная контрольная цифра. Просим проверить и прислать исправленную информацию.</v>
      </c>
    </row>
    <row r="19" customFormat="false" ht="15" hidden="false" customHeight="false" outlineLevel="0" collapsed="false">
      <c r="A19" s="21" t="n">
        <f aca="false">IF(ROWS(A$5:A19)&lt;=MAX(Реестр!$V$2:$V$401),ROWS(A$5:A19),"")</f>
        <v>15</v>
      </c>
      <c r="B19" s="24" t="str">
        <f aca="false">IF($A19="","",INDEX(Реестр!$B$2:$B$401,MATCH($A19,Реестр!$V$2:$V$401,0)))</f>
        <v>ООО «Юпитер Трейд»</v>
      </c>
      <c r="C19" s="24" t="str">
        <f aca="false">IF($A19="","",INDEX(Реестр!$C$2:$C$401,MATCH($A19,Реестр!$V$2:$V$401,0)))</f>
        <v>1630059492</v>
      </c>
      <c r="D19" s="24" t="str">
        <f aca="false">IF($A19="","",INDEX(Реестр!$T$2:$T$401,MATCH($A19,Реестр!$V$2:$V$401,0)))</f>
        <v>Дубликат ИНН в реестре</v>
      </c>
      <c r="E19" s="21" t="n">
        <f aca="false">IF($A19="","",INDEX(Реестр!$R$2:$R$401,MATCH($A19,Реестр!$V$2:$V$401,0)))</f>
        <v>1</v>
      </c>
      <c r="F19" s="24" t="str">
        <f aca="false">IF($A19="","",INDEX(Реестр!$U$2:$U$401,MATCH($A19,Реестр!$V$2:$V$401,0)))</f>
        <v>Здравствуйте! В данных организации «ООО «Юпитер Трейд»» обнаружены ошибки: Дубликат ИНН в реестре. Просим проверить и прислать исправленную информацию.</v>
      </c>
    </row>
    <row r="20" customFormat="false" ht="15" hidden="false" customHeight="false" outlineLevel="0" collapsed="false">
      <c r="A20" s="21" t="n">
        <f aca="false">IF(ROWS(A$5:A20)&lt;=MAX(Реестр!$V$2:$V$401),ROWS(A$5:A20),"")</f>
        <v>16</v>
      </c>
      <c r="B20" s="24" t="str">
        <f aca="false">IF($A20="","",INDEX(Реестр!$B$2:$B$401,MATCH($A20,Реестр!$V$2:$V$401,0)))</f>
        <v>АО «Альфа Монтаж»</v>
      </c>
      <c r="C20" s="24" t="str">
        <f aca="false">IF($A20="","",INDEX(Реестр!$C$2:$C$401,MATCH($A20,Реестр!$V$2:$V$401,0)))</f>
        <v>6132721049</v>
      </c>
      <c r="D20" s="24" t="str">
        <f aca="false">IF($A20="","",INDEX(Реестр!$T$2:$T$401,MATCH($A20,Реестр!$V$2:$V$401,0)))</f>
        <v>Email: неверный формат</v>
      </c>
      <c r="E20" s="21" t="n">
        <f aca="false">IF($A20="","",INDEX(Реестр!$R$2:$R$401,MATCH($A20,Реестр!$V$2:$V$401,0)))</f>
        <v>1</v>
      </c>
      <c r="F20" s="24" t="str">
        <f aca="false">IF($A20="","",INDEX(Реестр!$U$2:$U$401,MATCH($A20,Реестр!$V$2:$V$401,0)))</f>
        <v>Здравствуйте! В данных организации «АО «Альфа Монтаж»» обнаружены ошибки: Email: неверный формат. Просим проверить и прислать исправленную информацию.</v>
      </c>
    </row>
    <row r="21" customFormat="false" ht="15" hidden="false" customHeight="false" outlineLevel="0" collapsed="false">
      <c r="A21" s="21" t="n">
        <f aca="false">IF(ROWS(A$5:A21)&lt;=MAX(Реестр!$V$2:$V$401),ROWS(A$5:A21),"")</f>
        <v>17</v>
      </c>
      <c r="B21" s="24" t="str">
        <f aca="false">IF($A21="","",INDEX(Реестр!$B$2:$B$401,MATCH($A21,Реестр!$V$2:$V$401,0)))</f>
        <v>ООО «Меридиан Консалт»</v>
      </c>
      <c r="C21" s="24" t="str">
        <f aca="false">IF($A21="","",INDEX(Реестр!$C$2:$C$401,MATCH($A21,Реестр!$V$2:$V$401,0)))</f>
        <v>77398853460</v>
      </c>
      <c r="D21" s="24" t="str">
        <f aca="false">IF($A21="","",INDEX(Реестр!$T$2:$T$401,MATCH($A21,Реестр!$V$2:$V$401,0)))</f>
        <v>ИНН: должно быть 10 цифр</v>
      </c>
      <c r="E21" s="21" t="n">
        <f aca="false">IF($A21="","",INDEX(Реестр!$R$2:$R$401,MATCH($A21,Реестр!$V$2:$V$401,0)))</f>
        <v>1</v>
      </c>
      <c r="F21" s="24" t="str">
        <f aca="false">IF($A21="","",INDEX(Реестр!$U$2:$U$401,MATCH($A21,Реестр!$V$2:$V$401,0)))</f>
        <v>Здравствуйте! В данных организации «ООО «Меридиан Консалт»» обнаружены ошибки: ИНН: должно быть 10 цифр. Просим проверить и прислать исправленную информацию.</v>
      </c>
    </row>
    <row r="22" customFormat="false" ht="15" hidden="false" customHeight="false" outlineLevel="0" collapsed="false">
      <c r="A22" s="21" t="n">
        <f aca="false">IF(ROWS(A$5:A22)&lt;=MAX(Реестр!$V$2:$V$401),ROWS(A$5:A22),"")</f>
        <v>18</v>
      </c>
      <c r="B22" s="24" t="str">
        <f aca="false">IF($A22="","",INDEX(Реестр!$B$2:$B$401,MATCH($A22,Реестр!$V$2:$V$401,0)))</f>
        <v>ООО «Юпитер Групп»</v>
      </c>
      <c r="C22" s="24" t="str">
        <f aca="false">IF($A22="","",INDEX(Реестр!$C$2:$C$401,MATCH($A22,Реестр!$V$2:$V$401,0)))</f>
        <v>504738980</v>
      </c>
      <c r="D22" s="24" t="str">
        <f aca="false">IF($A22="","",INDEX(Реестр!$T$2:$T$401,MATCH($A22,Реестр!$V$2:$V$401,0)))</f>
        <v>ИНН: должно быть 10 цифр</v>
      </c>
      <c r="E22" s="21" t="n">
        <f aca="false">IF($A22="","",INDEX(Реестр!$R$2:$R$401,MATCH($A22,Реестр!$V$2:$V$401,0)))</f>
        <v>1</v>
      </c>
      <c r="F22" s="24" t="str">
        <f aca="false">IF($A22="","",INDEX(Реестр!$U$2:$U$401,MATCH($A22,Реестр!$V$2:$V$401,0)))</f>
        <v>Здравствуйте! В данных организации «ООО «Юпитер Групп»» обнаружены ошибки: ИНН: должно быть 10 цифр. Просим проверить и прислать исправленную информацию.</v>
      </c>
    </row>
    <row r="23" customFormat="false" ht="15" hidden="false" customHeight="false" outlineLevel="0" collapsed="false">
      <c r="A23" s="21" t="n">
        <f aca="false">IF(ROWS(A$5:A23)&lt;=MAX(Реестр!$V$2:$V$401),ROWS(A$5:A23),"")</f>
        <v>19</v>
      </c>
      <c r="B23" s="24" t="str">
        <f aca="false">IF($A23="","",INDEX(Реестр!$B$2:$B$401,MATCH($A23,Реестр!$V$2:$V$401,0)))</f>
        <v>АО «Юпитер Логистик»</v>
      </c>
      <c r="C23" s="24" t="n">
        <f aca="false">IF($A23="","",INDEX(Реестр!$C$2:$C$401,MATCH($A23,Реестр!$V$2:$V$401,0)))</f>
        <v>0</v>
      </c>
      <c r="D23" s="24" t="str">
        <f aca="false">IF($A23="","",INDEX(Реестр!$T$2:$T$401,MATCH($A23,Реестр!$V$2:$V$401,0)))</f>
        <v>ИНН не указан; КПП: код региона не совпадает с ИНН</v>
      </c>
      <c r="E23" s="21" t="n">
        <f aca="false">IF($A23="","",INDEX(Реестр!$R$2:$R$401,MATCH($A23,Реестр!$V$2:$V$401,0)))</f>
        <v>2</v>
      </c>
      <c r="F23" s="24" t="str">
        <f aca="false">IF($A23="","",INDEX(Реестр!$U$2:$U$401,MATCH($A23,Реестр!$V$2:$V$401,0)))</f>
        <v>Здравствуйте! В данных организации «АО «Юпитер Логистик»» обнаружены ошибки: ИНН не указан; КПП: код региона не совпадает с ИНН. Просим проверить и прислать исправленную информацию.</v>
      </c>
    </row>
    <row r="24" customFormat="false" ht="15" hidden="false" customHeight="false" outlineLevel="0" collapsed="false">
      <c r="A24" s="21" t="n">
        <f aca="false">IF(ROWS(A$5:A24)&lt;=MAX(Реестр!$V$2:$V$401),ROWS(A$5:A24),"")</f>
        <v>20</v>
      </c>
      <c r="B24" s="24" t="str">
        <f aca="false">IF($A24="","",INDEX(Реестр!$B$2:$B$401,MATCH($A24,Реестр!$V$2:$V$401,0)))</f>
        <v>ООО «Навигатор Логистик»</v>
      </c>
      <c r="C24" s="24" t="str">
        <f aca="false">IF($A24="","",INDEX(Реестр!$C$2:$C$401,MATCH($A24,Реестр!$V$2:$V$401,0)))</f>
        <v>5017895380</v>
      </c>
      <c r="D24" s="24" t="str">
        <f aca="false">IF($A24="","",INDEX(Реестр!$T$2:$T$401,MATCH($A24,Реестр!$V$2:$V$401,0)))</f>
        <v>Дубликат ИНН в реестре</v>
      </c>
      <c r="E24" s="21" t="n">
        <f aca="false">IF($A24="","",INDEX(Реестр!$R$2:$R$401,MATCH($A24,Реестр!$V$2:$V$401,0)))</f>
        <v>1</v>
      </c>
      <c r="F24" s="24" t="str">
        <f aca="false">IF($A24="","",INDEX(Реестр!$U$2:$U$401,MATCH($A24,Реестр!$V$2:$V$401,0)))</f>
        <v>Здравствуйте! В данных организации «ООО «Навигатор Логистик»» обнаружены ошибки: Дубликат ИНН в реестре. Просим проверить и прислать исправленную информацию.</v>
      </c>
    </row>
    <row r="25" customFormat="false" ht="15" hidden="false" customHeight="false" outlineLevel="0" collapsed="false">
      <c r="A25" s="21" t="n">
        <f aca="false">IF(ROWS(A$5:A25)&lt;=MAX(Реестр!$V$2:$V$401),ROWS(A$5:A25),"")</f>
        <v>21</v>
      </c>
      <c r="B25" s="24" t="str">
        <f aca="false">IF($A25="","",INDEX(Реестр!$B$2:$B$401,MATCH($A25,Реестр!$V$2:$V$401,0)))</f>
        <v>АО «Гранит Строй»</v>
      </c>
      <c r="C25" s="24" t="str">
        <f aca="false">IF($A25="","",INDEX(Реестр!$C$2:$C$401,MATCH($A25,Реестр!$V$2:$V$401,0)))</f>
        <v>9228610426</v>
      </c>
      <c r="D25" s="24" t="str">
        <f aca="false">IF($A25="","",INDEX(Реестр!$T$2:$T$401,MATCH($A25,Реестр!$V$2:$V$401,0)))</f>
        <v>Email: неверный формат</v>
      </c>
      <c r="E25" s="21" t="n">
        <f aca="false">IF($A25="","",INDEX(Реестр!$R$2:$R$401,MATCH($A25,Реестр!$V$2:$V$401,0)))</f>
        <v>1</v>
      </c>
      <c r="F25" s="24" t="str">
        <f aca="false">IF($A25="","",INDEX(Реестр!$U$2:$U$401,MATCH($A25,Реестр!$V$2:$V$401,0)))</f>
        <v>Здравствуйте! В данных организации «АО «Гранит Строй»» обнаружены ошибки: Email: неверный формат. Просим проверить и прислать исправленную информацию.</v>
      </c>
    </row>
    <row r="26" customFormat="false" ht="15" hidden="false" customHeight="false" outlineLevel="0" collapsed="false">
      <c r="A26" s="21" t="n">
        <f aca="false">IF(ROWS(A$5:A26)&lt;=MAX(Реестр!$V$2:$V$401),ROWS(A$5:A26),"")</f>
        <v>22</v>
      </c>
      <c r="B26" s="24" t="str">
        <f aca="false">IF($A26="","",INDEX(Реестр!$B$2:$B$401,MATCH($A26,Реестр!$V$2:$V$401,0)))</f>
        <v>АО «Навигатор Софт»</v>
      </c>
      <c r="C26" s="24" t="str">
        <f aca="false">IF($A26="","",INDEX(Реестр!$C$2:$C$401,MATCH($A26,Реестр!$V$2:$V$401,0)))</f>
        <v>9225482367</v>
      </c>
      <c r="D26" s="24" t="str">
        <f aca="false">IF($A26="","",INDEX(Реестр!$T$2:$T$401,MATCH($A26,Реестр!$V$2:$V$401,0)))</f>
        <v>Телефон: неверный формат</v>
      </c>
      <c r="E26" s="21" t="n">
        <f aca="false">IF($A26="","",INDEX(Реестр!$R$2:$R$401,MATCH($A26,Реестр!$V$2:$V$401,0)))</f>
        <v>1</v>
      </c>
      <c r="F26" s="24" t="str">
        <f aca="false">IF($A26="","",INDEX(Реестр!$U$2:$U$401,MATCH($A26,Реестр!$V$2:$V$401,0)))</f>
        <v>Здравствуйте! В данных организации «АО «Навигатор Софт»» обнаружены ошибки: Телефон: неверный формат. Просим проверить и прислать исправленную информацию.</v>
      </c>
    </row>
    <row r="27" customFormat="false" ht="15" hidden="false" customHeight="false" outlineLevel="0" collapsed="false">
      <c r="A27" s="21" t="n">
        <f aca="false">IF(ROWS(A$5:A27)&lt;=MAX(Реестр!$V$2:$V$401),ROWS(A$5:A27),"")</f>
        <v>23</v>
      </c>
      <c r="B27" s="24" t="str">
        <f aca="false">IF($A27="","",INDEX(Реестр!$B$2:$B$401,MATCH($A27,Реестр!$V$2:$V$401,0)))</f>
        <v>ООО «Берег Проект»</v>
      </c>
      <c r="C27" s="24" t="str">
        <f aca="false">IF($A27="","",INDEX(Реестр!$C$2:$C$401,MATCH($A27,Реестр!$V$2:$V$401,0)))</f>
        <v>5420815598</v>
      </c>
      <c r="D27" s="24" t="str">
        <f aca="false">IF($A27="","",INDEX(Реестр!$T$2:$T$401,MATCH($A27,Реестр!$V$2:$V$401,0)))</f>
        <v>Дубликат ИНН в реестре</v>
      </c>
      <c r="E27" s="21" t="n">
        <f aca="false">IF($A27="","",INDEX(Реестр!$R$2:$R$401,MATCH($A27,Реестр!$V$2:$V$401,0)))</f>
        <v>1</v>
      </c>
      <c r="F27" s="24" t="str">
        <f aca="false">IF($A27="","",INDEX(Реестр!$U$2:$U$401,MATCH($A27,Реестр!$V$2:$V$401,0)))</f>
        <v>Здравствуйте! В данных организации «ООО «Берег Проект»» обнаружены ошибки: Дубликат ИНН в реестре. Просим проверить и прислать исправленную информацию.</v>
      </c>
    </row>
    <row r="28" customFormat="false" ht="15" hidden="false" customHeight="false" outlineLevel="0" collapsed="false">
      <c r="A28" s="21" t="n">
        <f aca="false">IF(ROWS(A$5:A28)&lt;=MAX(Реестр!$V$2:$V$401),ROWS(A$5:A28),"")</f>
        <v>24</v>
      </c>
      <c r="B28" s="24" t="str">
        <f aca="false">IF($A28="","",INDEX(Реестр!$B$2:$B$401,MATCH($A28,Реестр!$V$2:$V$401,0)))</f>
        <v>ООО «Меридиан Проект»</v>
      </c>
      <c r="C28" s="24" t="str">
        <f aca="false">IF($A28="","",INDEX(Реестр!$C$2:$C$401,MATCH($A28,Реестр!$V$2:$V$401,0)))</f>
        <v>0232067319</v>
      </c>
      <c r="D28" s="24" t="str">
        <f aca="false">IF($A28="","",INDEX(Реестр!$T$2:$T$401,MATCH($A28,Реестр!$V$2:$V$401,0)))</f>
        <v>ОГРН: неверная контрольная цифра</v>
      </c>
      <c r="E28" s="21" t="n">
        <f aca="false">IF($A28="","",INDEX(Реестр!$R$2:$R$401,MATCH($A28,Реестр!$V$2:$V$401,0)))</f>
        <v>1</v>
      </c>
      <c r="F28" s="24" t="str">
        <f aca="false">IF($A28="","",INDEX(Реестр!$U$2:$U$401,MATCH($A28,Реестр!$V$2:$V$401,0)))</f>
        <v>Здравствуйте! В данных организации «ООО «Меридиан Проект»» обнаружены ошибки: ОГРН: неверная контрольная цифра. Просим проверить и прислать исправленную информацию.</v>
      </c>
    </row>
    <row r="29" customFormat="false" ht="15" hidden="false" customHeight="false" outlineLevel="0" collapsed="false">
      <c r="A29" s="21" t="n">
        <f aca="false">IF(ROWS(A$5:A29)&lt;=MAX(Реестр!$V$2:$V$401),ROWS(A$5:A29),"")</f>
        <v>25</v>
      </c>
      <c r="B29" s="24" t="str">
        <f aca="false">IF($A29="","",INDEX(Реестр!$B$2:$B$401,MATCH($A29,Реестр!$V$2:$V$401,0)))</f>
        <v>ООО «Юпитер Транс»</v>
      </c>
      <c r="C29" s="24" t="str">
        <f aca="false">IF($A29="","",INDEX(Реестр!$C$2:$C$401,MATCH($A29,Реестр!$V$2:$V$401,0)))</f>
        <v>6310789426</v>
      </c>
      <c r="D29" s="24" t="str">
        <f aca="false">IF($A29="","",INDEX(Реестр!$T$2:$T$401,MATCH($A29,Реестр!$V$2:$V$401,0)))</f>
        <v>ИНН: неверная контрольная цифра; КПП не указан; Телефон не указан</v>
      </c>
      <c r="E29" s="21" t="n">
        <f aca="false">IF($A29="","",INDEX(Реестр!$R$2:$R$401,MATCH($A29,Реестр!$V$2:$V$401,0)))</f>
        <v>3</v>
      </c>
      <c r="F29" s="24" t="str">
        <f aca="false">IF($A29="","",INDEX(Реестр!$U$2:$U$401,MATCH($A29,Реестр!$V$2:$V$401,0)))</f>
        <v>Здравствуйте! В данных организации «ООО «Юпитер Транс»» обнаружены ошибки: ИНН: неверная контрольная цифра; КПП не указан; Телефон не указан. Просим проверить и прислать исправленную информацию.</v>
      </c>
    </row>
    <row r="30" customFormat="false" ht="15" hidden="false" customHeight="false" outlineLevel="0" collapsed="false">
      <c r="A30" s="21" t="n">
        <f aca="false">IF(ROWS(A$5:A30)&lt;=MAX(Реестр!$V$2:$V$401),ROWS(A$5:A30),"")</f>
        <v>26</v>
      </c>
      <c r="B30" s="24" t="str">
        <f aca="false">IF($A30="","",INDEX(Реестр!$B$2:$B$401,MATCH($A30,Реестр!$V$2:$V$401,0)))</f>
        <v>АО «Берег Монтаж»</v>
      </c>
      <c r="C30" s="24" t="str">
        <f aca="false">IF($A30="","",INDEX(Реестр!$C$2:$C$401,MATCH($A30,Реестр!$V$2:$V$401,0)))</f>
        <v>7732543826</v>
      </c>
      <c r="D30" s="24" t="str">
        <f aca="false">IF($A30="","",INDEX(Реестр!$T$2:$T$401,MATCH($A30,Реестр!$V$2:$V$401,0)))</f>
        <v>КПП не указан</v>
      </c>
      <c r="E30" s="21" t="n">
        <f aca="false">IF($A30="","",INDEX(Реестр!$R$2:$R$401,MATCH($A30,Реестр!$V$2:$V$401,0)))</f>
        <v>1</v>
      </c>
      <c r="F30" s="24" t="str">
        <f aca="false">IF($A30="","",INDEX(Реестр!$U$2:$U$401,MATCH($A30,Реестр!$V$2:$V$401,0)))</f>
        <v>Здравствуйте! В данных организации «АО «Берег Монтаж»» обнаружены ошибки: КПП не указан. Просим проверить и прислать исправленную информацию.</v>
      </c>
    </row>
    <row r="31" customFormat="false" ht="15" hidden="false" customHeight="false" outlineLevel="0" collapsed="false">
      <c r="A31" s="21" t="n">
        <f aca="false">IF(ROWS(A$5:A31)&lt;=MAX(Реестр!$V$2:$V$401),ROWS(A$5:A31),"")</f>
        <v>27</v>
      </c>
      <c r="B31" s="24" t="str">
        <f aca="false">IF($A31="","",INDEX(Реестр!$B$2:$B$401,MATCH($A31,Реестр!$V$2:$V$401,0)))</f>
        <v>АО «Квант Агро»</v>
      </c>
      <c r="C31" s="24" t="str">
        <f aca="false">IF($A31="","",INDEX(Реестр!$C$2:$C$401,MATCH($A31,Реестр!$V$2:$V$401,0)))</f>
        <v>66235263076</v>
      </c>
      <c r="D31" s="24" t="str">
        <f aca="false">IF($A31="","",INDEX(Реестр!$T$2:$T$401,MATCH($A31,Реестр!$V$2:$V$401,0)))</f>
        <v>ИНН: должно быть 10 цифр</v>
      </c>
      <c r="E31" s="21" t="n">
        <f aca="false">IF($A31="","",INDEX(Реестр!$R$2:$R$401,MATCH($A31,Реестр!$V$2:$V$401,0)))</f>
        <v>1</v>
      </c>
      <c r="F31" s="24" t="str">
        <f aca="false">IF($A31="","",INDEX(Реестр!$U$2:$U$401,MATCH($A31,Реестр!$V$2:$V$401,0)))</f>
        <v>Здравствуйте! В данных организации «АО «Квант Агро»» обнаружены ошибки: ИНН: должно быть 10 цифр. Просим проверить и прислать исправленную информацию.</v>
      </c>
    </row>
    <row r="32" customFormat="false" ht="15" hidden="false" customHeight="false" outlineLevel="0" collapsed="false">
      <c r="A32" s="21" t="n">
        <f aca="false">IF(ROWS(A$5:A32)&lt;=MAX(Реестр!$V$2:$V$401),ROWS(A$5:A32),"")</f>
        <v>28</v>
      </c>
      <c r="B32" s="24" t="str">
        <f aca="false">IF($A32="","",INDEX(Реестр!$B$2:$B$401,MATCH($A32,Реестр!$V$2:$V$401,0)))</f>
        <v>ООО «Орбита Агро»</v>
      </c>
      <c r="C32" s="24" t="str">
        <f aca="false">IF($A32="","",INDEX(Реестр!$C$2:$C$401,MATCH($A32,Реестр!$V$2:$V$401,0)))</f>
        <v>7705263932</v>
      </c>
      <c r="D32" s="24" t="str">
        <f aca="false">IF($A32="","",INDEX(Реестр!$T$2:$T$401,MATCH($A32,Реестр!$V$2:$V$401,0)))</f>
        <v>Нет контактного лица.</v>
      </c>
      <c r="E32" s="21" t="n">
        <f aca="false">IF($A32="","",INDEX(Реестр!$R$2:$R$401,MATCH($A32,Реестр!$V$2:$V$401,0)))</f>
        <v>1</v>
      </c>
      <c r="F32" s="24" t="str">
        <f aca="false">IF($A32="","",INDEX(Реестр!$U$2:$U$401,MATCH($A32,Реестр!$V$2:$V$401,0)))</f>
        <v>Здравствуйте! В данных организации «ООО «Орбита Агро»» обнаружены ошибки: Нет контактного лица.. Просим проверить и прислать исправленную информацию.</v>
      </c>
    </row>
    <row r="33" customFormat="false" ht="15" hidden="false" customHeight="false" outlineLevel="0" collapsed="false">
      <c r="A33" s="21" t="n">
        <f aca="false">IF(ROWS(A$5:A33)&lt;=MAX(Реестр!$V$2:$V$401),ROWS(A$5:A33),"")</f>
        <v>29</v>
      </c>
      <c r="B33" s="24" t="str">
        <f aca="false">IF($A33="","",INDEX(Реестр!$B$2:$B$401,MATCH($A33,Реестр!$V$2:$V$401,0)))</f>
        <v>ООО «Прогресс Принт»</v>
      </c>
      <c r="C33" s="24" t="str">
        <f aca="false">IF($A33="","",INDEX(Реестр!$C$2:$C$401,MATCH($A33,Реестр!$V$2:$V$401,0)))</f>
        <v>7807464638</v>
      </c>
      <c r="D33" s="24" t="str">
        <f aca="false">IF($A33="","",INDEX(Реестр!$T$2:$T$401,MATCH($A33,Реестр!$V$2:$V$401,0)))</f>
        <v>Телефон: неверный формат</v>
      </c>
      <c r="E33" s="21" t="n">
        <f aca="false">IF($A33="","",INDEX(Реестр!$R$2:$R$401,MATCH($A33,Реестр!$V$2:$V$401,0)))</f>
        <v>1</v>
      </c>
      <c r="F33" s="24" t="str">
        <f aca="false">IF($A33="","",INDEX(Реестр!$U$2:$U$401,MATCH($A33,Реестр!$V$2:$V$401,0)))</f>
        <v>Здравствуйте! В данных организации «ООО «Прогресс Принт»» обнаружены ошибки: Телефон: неверный формат. Просим проверить и прислать исправленную информацию.</v>
      </c>
    </row>
    <row r="34" customFormat="false" ht="15" hidden="false" customHeight="false" outlineLevel="0" collapsed="false">
      <c r="A34" s="21" t="n">
        <f aca="false">IF(ROWS(A$5:A34)&lt;=MAX(Реестр!$V$2:$V$401),ROWS(A$5:A34),"")</f>
        <v>30</v>
      </c>
      <c r="B34" s="24" t="str">
        <f aca="false">IF($A34="","",INDEX(Реестр!$B$2:$B$401,MATCH($A34,Реестр!$V$2:$V$401,0)))</f>
        <v>АО «Дельта Групп»</v>
      </c>
      <c r="C34" s="24" t="str">
        <f aca="false">IF($A34="","",INDEX(Реестр!$C$2:$C$401,MATCH($A34,Реестр!$V$2:$V$401,0)))</f>
        <v>9244463962</v>
      </c>
      <c r="D34" s="24" t="str">
        <f aca="false">IF($A34="","",INDEX(Реестр!$T$2:$T$401,MATCH($A34,Реестр!$V$2:$V$401,0)))</f>
        <v>Дубликат ИНН в реестре; Нет адреса.</v>
      </c>
      <c r="E34" s="21" t="n">
        <f aca="false">IF($A34="","",INDEX(Реестр!$R$2:$R$401,MATCH($A34,Реестр!$V$2:$V$401,0)))</f>
        <v>2</v>
      </c>
      <c r="F34" s="24" t="str">
        <f aca="false">IF($A34="","",INDEX(Реестр!$U$2:$U$401,MATCH($A34,Реестр!$V$2:$V$401,0)))</f>
        <v>Здравствуйте! В данных организации «АО «Дельта Групп»» обнаружены ошибки: Дубликат ИНН в реестре; Нет адреса.. Просим проверить и прислать исправленную информацию.</v>
      </c>
    </row>
    <row r="35" customFormat="false" ht="15" hidden="false" customHeight="false" outlineLevel="0" collapsed="false">
      <c r="A35" s="21" t="n">
        <f aca="false">IF(ROWS(A$5:A35)&lt;=MAX(Реестр!$V$2:$V$401),ROWS(A$5:A35),"")</f>
        <v>31</v>
      </c>
      <c r="B35" s="24" t="str">
        <f aca="false">IF($A35="","",INDEX(Реестр!$B$2:$B$401,MATCH($A35,Реестр!$V$2:$V$401,0)))</f>
        <v>АО «Импульс Энерго»</v>
      </c>
      <c r="C35" s="24" t="str">
        <f aca="false">IF($A35="","",INDEX(Реестр!$C$2:$C$401,MATCH($A35,Реестр!$V$2:$V$401,0)))</f>
        <v>5017895380</v>
      </c>
      <c r="D35" s="24" t="str">
        <f aca="false">IF($A35="","",INDEX(Реестр!$T$2:$T$401,MATCH($A35,Реестр!$V$2:$V$401,0)))</f>
        <v>Дубликат ИНН в реестре</v>
      </c>
      <c r="E35" s="21" t="n">
        <f aca="false">IF($A35="","",INDEX(Реестр!$R$2:$R$401,MATCH($A35,Реестр!$V$2:$V$401,0)))</f>
        <v>1</v>
      </c>
      <c r="F35" s="24" t="str">
        <f aca="false">IF($A35="","",INDEX(Реестр!$U$2:$U$401,MATCH($A35,Реестр!$V$2:$V$401,0)))</f>
        <v>Здравствуйте! В данных организации «АО «Импульс Энерго»» обнаружены ошибки: Дубликат ИНН в реестре. Просим проверить и прислать исправленную информацию.</v>
      </c>
    </row>
    <row r="36" customFormat="false" ht="15" hidden="false" customHeight="false" outlineLevel="0" collapsed="false">
      <c r="A36" s="21" t="n">
        <f aca="false">IF(ROWS(A$5:A36)&lt;=MAX(Реестр!$V$2:$V$401),ROWS(A$5:A36),"")</f>
        <v>32</v>
      </c>
      <c r="B36" s="24" t="str">
        <f aca="false">IF($A36="","",INDEX(Реестр!$B$2:$B$401,MATCH($A36,Реестр!$V$2:$V$401,0)))</f>
        <v>АО «Навигатор Стандарт»</v>
      </c>
      <c r="C36" s="24" t="str">
        <f aca="false">IF($A36="","",INDEX(Реестр!$C$2:$C$401,MATCH($A36,Реестр!$V$2:$V$401,0)))</f>
        <v>7828916148</v>
      </c>
      <c r="D36" s="24" t="str">
        <f aca="false">IF($A36="","",INDEX(Реестр!$T$2:$T$401,MATCH($A36,Реестр!$V$2:$V$401,0)))</f>
        <v>ОГРН: неверная контрольная цифра</v>
      </c>
      <c r="E36" s="21" t="n">
        <f aca="false">IF($A36="","",INDEX(Реестр!$R$2:$R$401,MATCH($A36,Реестр!$V$2:$V$401,0)))</f>
        <v>1</v>
      </c>
      <c r="F36" s="24" t="str">
        <f aca="false">IF($A36="","",INDEX(Реестр!$U$2:$U$401,MATCH($A36,Реестр!$V$2:$V$401,0)))</f>
        <v>Здравствуйте! В данных организации «АО «Навигатор Стандарт»» обнаружены ошибки: ОГРН: неверная контрольная цифра. Просим проверить и прислать исправленную информацию.</v>
      </c>
    </row>
    <row r="37" customFormat="false" ht="15" hidden="false" customHeight="false" outlineLevel="0" collapsed="false">
      <c r="A37" s="21" t="n">
        <f aca="false">IF(ROWS(A$5:A37)&lt;=MAX(Реестр!$V$2:$V$401),ROWS(A$5:A37),"")</f>
        <v>33</v>
      </c>
      <c r="B37" s="24" t="str">
        <f aca="false">IF($A37="","",INDEX(Реестр!$B$2:$B$401,MATCH($A37,Реестр!$V$2:$V$401,0)))</f>
        <v>ООО «Линия Фуд»</v>
      </c>
      <c r="C37" s="24" t="str">
        <f aca="false">IF($A37="","",INDEX(Реестр!$C$2:$C$401,MATCH($A37,Реестр!$V$2:$V$401,0)))</f>
        <v>1624830910</v>
      </c>
      <c r="D37" s="24" t="str">
        <f aca="false">IF($A37="","",INDEX(Реестр!$T$2:$T$401,MATCH($A37,Реестр!$V$2:$V$401,0)))</f>
        <v>Дубликат ИНН в реестре; Телефон: неверный формат</v>
      </c>
      <c r="E37" s="21" t="n">
        <f aca="false">IF($A37="","",INDEX(Реестр!$R$2:$R$401,MATCH($A37,Реестр!$V$2:$V$401,0)))</f>
        <v>2</v>
      </c>
      <c r="F37" s="24" t="str">
        <f aca="false">IF($A37="","",INDEX(Реестр!$U$2:$U$401,MATCH($A37,Реестр!$V$2:$V$401,0)))</f>
        <v>Здравствуйте! В данных организации «ООО «Линия Фуд»» обнаружены ошибки: Дубликат ИНН в реестре; Телефон: неверный формат. Просим проверить и прислать исправленную информацию.</v>
      </c>
    </row>
    <row r="38" customFormat="false" ht="15" hidden="false" customHeight="false" outlineLevel="0" collapsed="false">
      <c r="A38" s="21" t="n">
        <f aca="false">IF(ROWS(A$5:A38)&lt;=MAX(Реестр!$V$2:$V$401),ROWS(A$5:A38),"")</f>
        <v>34</v>
      </c>
      <c r="B38" s="24" t="str">
        <f aca="false">IF($A38="","",INDEX(Реестр!$B$2:$B$401,MATCH($A38,Реестр!$V$2:$V$401,0)))</f>
        <v>ООО «Берег Торг»</v>
      </c>
      <c r="C38" s="24" t="str">
        <f aca="false">IF($A38="","",INDEX(Реестр!$C$2:$C$401,MATCH($A38,Реестр!$V$2:$V$401,0)))</f>
        <v>7746374487</v>
      </c>
      <c r="D38" s="24" t="str">
        <f aca="false">IF($A38="","",INDEX(Реестр!$T$2:$T$401,MATCH($A38,Реестр!$V$2:$V$401,0)))</f>
        <v>КПП: неверный формат</v>
      </c>
      <c r="E38" s="21" t="n">
        <f aca="false">IF($A38="","",INDEX(Реестр!$R$2:$R$401,MATCH($A38,Реестр!$V$2:$V$401,0)))</f>
        <v>1</v>
      </c>
      <c r="F38" s="24" t="str">
        <f aca="false">IF($A38="","",INDEX(Реестр!$U$2:$U$401,MATCH($A38,Реестр!$V$2:$V$401,0)))</f>
        <v>Здравствуйте! В данных организации «ООО «Берег Торг»» обнаружены ошибки: КПП: неверный формат. Просим проверить и прислать исправленную информацию.</v>
      </c>
    </row>
    <row r="39" customFormat="false" ht="15" hidden="false" customHeight="false" outlineLevel="0" collapsed="false">
      <c r="A39" s="21" t="n">
        <f aca="false">IF(ROWS(A$5:A39)&lt;=MAX(Реестр!$V$2:$V$401),ROWS(A$5:A39),"")</f>
        <v>35</v>
      </c>
      <c r="B39" s="24" t="str">
        <f aca="false">IF($A39="","",INDEX(Реестр!$B$2:$B$401,MATCH($A39,Реестр!$V$2:$V$401,0)))</f>
        <v>ООО «Импульс Монтаж»</v>
      </c>
      <c r="C39" s="24" t="str">
        <f aca="false">IF($A39="","",INDEX(Реестр!$C$2:$C$401,MATCH($A39,Реестр!$V$2:$V$401,0)))</f>
        <v>5210527226</v>
      </c>
      <c r="D39" s="24" t="str">
        <f aca="false">IF($A39="","",INDEX(Реестр!$T$2:$T$401,MATCH($A39,Реестр!$V$2:$V$401,0)))</f>
        <v>Дубликат ИНН в реестре</v>
      </c>
      <c r="E39" s="21" t="n">
        <f aca="false">IF($A39="","",INDEX(Реестр!$R$2:$R$401,MATCH($A39,Реестр!$V$2:$V$401,0)))</f>
        <v>1</v>
      </c>
      <c r="F39" s="24" t="str">
        <f aca="false">IF($A39="","",INDEX(Реестр!$U$2:$U$401,MATCH($A39,Реестр!$V$2:$V$401,0)))</f>
        <v>Здравствуйте! В данных организации «ООО «Импульс Монтаж»» обнаружены ошибки: Дубликат ИНН в реестре. Просим проверить и прислать исправленную информацию.</v>
      </c>
    </row>
    <row r="40" customFormat="false" ht="15" hidden="false" customHeight="false" outlineLevel="0" collapsed="false">
      <c r="A40" s="21" t="n">
        <f aca="false">IF(ROWS(A$5:A40)&lt;=MAX(Реестр!$V$2:$V$401),ROWS(A$5:A40),"")</f>
        <v>36</v>
      </c>
      <c r="B40" s="24" t="str">
        <f aca="false">IF($A40="","",INDEX(Реестр!$B$2:$B$401,MATCH($A40,Реестр!$V$2:$V$401,0)))</f>
        <v>ООО «Вектор Принт»</v>
      </c>
      <c r="C40" s="24" t="str">
        <f aca="false">IF($A40="","",INDEX(Реестр!$C$2:$C$401,MATCH($A40,Реестр!$V$2:$V$401,0)))</f>
        <v>78159087501</v>
      </c>
      <c r="D40" s="24" t="str">
        <f aca="false">IF($A40="","",INDEX(Реестр!$T$2:$T$401,MATCH($A40,Реестр!$V$2:$V$401,0)))</f>
        <v>ИНН: должно быть 10 цифр</v>
      </c>
      <c r="E40" s="21" t="n">
        <f aca="false">IF($A40="","",INDEX(Реестр!$R$2:$R$401,MATCH($A40,Реестр!$V$2:$V$401,0)))</f>
        <v>1</v>
      </c>
      <c r="F40" s="24" t="str">
        <f aca="false">IF($A40="","",INDEX(Реестр!$U$2:$U$401,MATCH($A40,Реестр!$V$2:$V$401,0)))</f>
        <v>Здравствуйте! В данных организации «ООО «Вектор Принт»» обнаружены ошибки: ИНН: должно быть 10 цифр. Просим проверить и прислать исправленную информацию.</v>
      </c>
    </row>
    <row r="41" customFormat="false" ht="15" hidden="false" customHeight="false" outlineLevel="0" collapsed="false">
      <c r="A41" s="21" t="n">
        <f aca="false">IF(ROWS(A$5:A41)&lt;=MAX(Реестр!$V$2:$V$401),ROWS(A$5:A41),"")</f>
        <v>37</v>
      </c>
      <c r="B41" s="24" t="str">
        <f aca="false">IF($A41="","",INDEX(Реестр!$B$2:$B$401,MATCH($A41,Реестр!$V$2:$V$401,0)))</f>
        <v>ООО «Радуга Монтаж»</v>
      </c>
      <c r="C41" s="24" t="str">
        <f aca="false">IF($A41="","",INDEX(Реестр!$C$2:$C$401,MATCH($A41,Реестр!$V$2:$V$401,0)))</f>
        <v>9105742905</v>
      </c>
      <c r="D41" s="24" t="str">
        <f aca="false">IF($A41="","",INDEX(Реестр!$T$2:$T$401,MATCH($A41,Реестр!$V$2:$V$401,0)))</f>
        <v>КПП: код региона не совпадает с ИНН</v>
      </c>
      <c r="E41" s="21" t="n">
        <f aca="false">IF($A41="","",INDEX(Реестр!$R$2:$R$401,MATCH($A41,Реестр!$V$2:$V$401,0)))</f>
        <v>1</v>
      </c>
      <c r="F41" s="24" t="str">
        <f aca="false">IF($A41="","",INDEX(Реестр!$U$2:$U$401,MATCH($A41,Реестр!$V$2:$V$401,0)))</f>
        <v>Здравствуйте! В данных организации «ООО «Радуга Монтаж»» обнаружены ошибки: КПП: код региона не совпадает с ИНН. Просим проверить и прислать исправленную информацию.</v>
      </c>
    </row>
    <row r="42" customFormat="false" ht="15" hidden="false" customHeight="false" outlineLevel="0" collapsed="false">
      <c r="A42" s="21" t="n">
        <f aca="false">IF(ROWS(A$5:A42)&lt;=MAX(Реестр!$V$2:$V$401),ROWS(A$5:A42),"")</f>
        <v>38</v>
      </c>
      <c r="B42" s="24" t="str">
        <f aca="false">IF($A42="","",INDEX(Реестр!$B$2:$B$401,MATCH($A42,Реестр!$V$2:$V$401,0)))</f>
        <v>АО «Дельта Стандарт»</v>
      </c>
      <c r="C42" s="24" t="str">
        <f aca="false">IF($A42="","",INDEX(Реестр!$C$2:$C$401,MATCH($A42,Реестр!$V$2:$V$401,0)))</f>
        <v>6123622612</v>
      </c>
      <c r="D42" s="24" t="str">
        <f aca="false">IF($A42="","",INDEX(Реестр!$T$2:$T$401,MATCH($A42,Реестр!$V$2:$V$401,0)))</f>
        <v>ОГРН: должно быть 13 цифр</v>
      </c>
      <c r="E42" s="21" t="n">
        <f aca="false">IF($A42="","",INDEX(Реестр!$R$2:$R$401,MATCH($A42,Реестр!$V$2:$V$401,0)))</f>
        <v>1</v>
      </c>
      <c r="F42" s="24" t="str">
        <f aca="false">IF($A42="","",INDEX(Реестр!$U$2:$U$401,MATCH($A42,Реестр!$V$2:$V$401,0)))</f>
        <v>Здравствуйте! В данных организации «АО «Дельта Стандарт»» обнаружены ошибки: ОГРН: должно быть 13 цифр. Просим проверить и прислать исправленную информацию.</v>
      </c>
    </row>
    <row r="43" customFormat="false" ht="15" hidden="false" customHeight="false" outlineLevel="0" collapsed="false">
      <c r="A43" s="21" t="n">
        <f aca="false">IF(ROWS(A$5:A43)&lt;=MAX(Реестр!$V$2:$V$401),ROWS(A$5:A43),"")</f>
        <v>39</v>
      </c>
      <c r="B43" s="24" t="str">
        <f aca="false">IF($A43="","",INDEX(Реестр!$B$2:$B$401,MATCH($A43,Реестр!$V$2:$V$401,0)))</f>
        <v>ООО «Феникс Транс»</v>
      </c>
      <c r="C43" s="24" t="str">
        <f aca="false">IF($A43="","",INDEX(Реестр!$C$2:$C$401,MATCH($A43,Реестр!$V$2:$V$401,0)))</f>
        <v>9222755557</v>
      </c>
      <c r="D43" s="24" t="str">
        <f aca="false">IF($A43="","",INDEX(Реестр!$T$2:$T$401,MATCH($A43,Реестр!$V$2:$V$401,0)))</f>
        <v>ИНН: неверная контрольная цифра; Телефон: неверный формат</v>
      </c>
      <c r="E43" s="21" t="n">
        <f aca="false">IF($A43="","",INDEX(Реестр!$R$2:$R$401,MATCH($A43,Реестр!$V$2:$V$401,0)))</f>
        <v>2</v>
      </c>
      <c r="F43" s="24" t="str">
        <f aca="false">IF($A43="","",INDEX(Реестр!$U$2:$U$401,MATCH($A43,Реестр!$V$2:$V$401,0)))</f>
        <v>Здравствуйте! В данных организации «ООО «Феникс Транс»» обнаружены ошибки: ИНН: неверная контрольная цифра; Телефон: неверный формат. Просим проверить и прислать исправленную информацию.</v>
      </c>
    </row>
    <row r="44" customFormat="false" ht="15" hidden="false" customHeight="false" outlineLevel="0" collapsed="false">
      <c r="A44" s="21" t="n">
        <f aca="false">IF(ROWS(A$5:A44)&lt;=MAX(Реестр!$V$2:$V$401),ROWS(A$5:A44),"")</f>
        <v>40</v>
      </c>
      <c r="B44" s="24" t="str">
        <f aca="false">IF($A44="","",INDEX(Реестр!$B$2:$B$401,MATCH($A44,Реестр!$V$2:$V$401,0)))</f>
        <v>АО «Квант Софт»</v>
      </c>
      <c r="C44" s="24" t="str">
        <f aca="false">IF($A44="","",INDEX(Реестр!$C$2:$C$401,MATCH($A44,Реестр!$V$2:$V$401,0)))</f>
        <v>7409476384</v>
      </c>
      <c r="D44" s="24" t="str">
        <f aca="false">IF($A44="","",INDEX(Реестр!$T$2:$T$401,MATCH($A44,Реестр!$V$2:$V$401,0)))</f>
        <v>Email: неверный формат</v>
      </c>
      <c r="E44" s="21" t="n">
        <f aca="false">IF($A44="","",INDEX(Реестр!$R$2:$R$401,MATCH($A44,Реестр!$V$2:$V$401,0)))</f>
        <v>1</v>
      </c>
      <c r="F44" s="24" t="str">
        <f aca="false">IF($A44="","",INDEX(Реестр!$U$2:$U$401,MATCH($A44,Реестр!$V$2:$V$401,0)))</f>
        <v>Здравствуйте! В данных организации «АО «Квант Софт»» обнаружены ошибки: Email: неверный формат. Просим проверить и прислать исправленную информацию.</v>
      </c>
    </row>
    <row r="45" customFormat="false" ht="15" hidden="false" customHeight="false" outlineLevel="0" collapsed="false">
      <c r="A45" s="21" t="n">
        <f aca="false">IF(ROWS(A$5:A45)&lt;=MAX(Реестр!$V$2:$V$401),ROWS(A$5:A45),"")</f>
        <v>41</v>
      </c>
      <c r="B45" s="24" t="str">
        <f aca="false">IF($A45="","",INDEX(Реестр!$B$2:$B$401,MATCH($A45,Реестр!$V$2:$V$401,0)))</f>
        <v>АО «Линия Групп»</v>
      </c>
      <c r="C45" s="24" t="str">
        <f aca="false">IF($A45="","",INDEX(Реестр!$C$2:$C$401,MATCH($A45,Реестр!$V$2:$V$401,0)))</f>
        <v>7701624659</v>
      </c>
      <c r="D45" s="24" t="str">
        <f aca="false">IF($A45="","",INDEX(Реестр!$T$2:$T$401,MATCH($A45,Реестр!$V$2:$V$401,0)))</f>
        <v>Дубликат ИНН в реестре</v>
      </c>
      <c r="E45" s="21" t="n">
        <f aca="false">IF($A45="","",INDEX(Реестр!$R$2:$R$401,MATCH($A45,Реестр!$V$2:$V$401,0)))</f>
        <v>1</v>
      </c>
      <c r="F45" s="24" t="str">
        <f aca="false">IF($A45="","",INDEX(Реестр!$U$2:$U$401,MATCH($A45,Реестр!$V$2:$V$401,0)))</f>
        <v>Здравствуйте! В данных организации «АО «Линия Групп»» обнаружены ошибки: Дубликат ИНН в реестре. Просим проверить и прислать исправленную информацию.</v>
      </c>
    </row>
    <row r="46" customFormat="false" ht="15" hidden="false" customHeight="false" outlineLevel="0" collapsed="false">
      <c r="A46" s="21" t="n">
        <f aca="false">IF(ROWS(A$5:A46)&lt;=MAX(Реестр!$V$2:$V$401),ROWS(A$5:A46),"")</f>
        <v>42</v>
      </c>
      <c r="B46" s="24" t="str">
        <f aca="false">IF($A46="","",INDEX(Реестр!$B$2:$B$401,MATCH($A46,Реестр!$V$2:$V$401,0)))</f>
        <v>ООО «Меридиан Торг»</v>
      </c>
      <c r="C46" s="24" t="str">
        <f aca="false">IF($A46="","",INDEX(Реестр!$C$2:$C$401,MATCH($A46,Реестр!$V$2:$V$401,0)))</f>
        <v>1630059492</v>
      </c>
      <c r="D46" s="24" t="str">
        <f aca="false">IF($A46="","",INDEX(Реестр!$T$2:$T$401,MATCH($A46,Реестр!$V$2:$V$401,0)))</f>
        <v>КПП: код региона не совпадает с ИНН; Дубликат ИНН в реестре</v>
      </c>
      <c r="E46" s="21" t="n">
        <f aca="false">IF($A46="","",INDEX(Реестр!$R$2:$R$401,MATCH($A46,Реестр!$V$2:$V$401,0)))</f>
        <v>2</v>
      </c>
      <c r="F46" s="24" t="str">
        <f aca="false">IF($A46="","",INDEX(Реестр!$U$2:$U$401,MATCH($A46,Реестр!$V$2:$V$401,0)))</f>
        <v>Здравствуйте! В данных организации «ООО «Меридиан Торг»» обнаружены ошибки: КПП: код региона не совпадает с ИНН; Дубликат ИНН в реестре. Просим проверить и прислать исправленную информацию.</v>
      </c>
    </row>
    <row r="47" customFormat="false" ht="15" hidden="false" customHeight="false" outlineLevel="0" collapsed="false">
      <c r="A47" s="21" t="n">
        <f aca="false">IF(ROWS(A$5:A47)&lt;=MAX(Реестр!$V$2:$V$401),ROWS(A$5:A47),"")</f>
        <v>43</v>
      </c>
      <c r="B47" s="24" t="str">
        <f aca="false">IF($A47="","",INDEX(Реестр!$B$2:$B$401,MATCH($A47,Реестр!$V$2:$V$401,0)))</f>
        <v>ООО «Эталон Монтаж»</v>
      </c>
      <c r="C47" s="24" t="str">
        <f aca="false">IF($A47="","",INDEX(Реестр!$C$2:$C$401,MATCH($A47,Реестр!$V$2:$V$401,0)))</f>
        <v>2426586050</v>
      </c>
      <c r="D47" s="24" t="str">
        <f aca="false">IF($A47="","",INDEX(Реестр!$T$2:$T$401,MATCH($A47,Реестр!$V$2:$V$401,0)))</f>
        <v>Телефон: неверный формат</v>
      </c>
      <c r="E47" s="21" t="n">
        <f aca="false">IF($A47="","",INDEX(Реестр!$R$2:$R$401,MATCH($A47,Реестр!$V$2:$V$401,0)))</f>
        <v>1</v>
      </c>
      <c r="F47" s="24" t="str">
        <f aca="false">IF($A47="","",INDEX(Реестр!$U$2:$U$401,MATCH($A47,Реестр!$V$2:$V$401,0)))</f>
        <v>Здравствуйте! В данных организации «ООО «Эталон Монтаж»» обнаружены ошибки: Телефон: неверный формат. Просим проверить и прислать исправленную информацию.</v>
      </c>
    </row>
    <row r="48" customFormat="false" ht="15" hidden="false" customHeight="false" outlineLevel="0" collapsed="false">
      <c r="A48" s="21" t="n">
        <f aca="false">IF(ROWS(A$5:A48)&lt;=MAX(Реестр!$V$2:$V$401),ROWS(A$5:A48),"")</f>
        <v>44</v>
      </c>
      <c r="B48" s="24" t="str">
        <f aca="false">IF($A48="","",INDEX(Реестр!$B$2:$B$401,MATCH($A48,Реестр!$V$2:$V$401,0)))</f>
        <v>АО «Импульс Строй»</v>
      </c>
      <c r="C48" s="24" t="str">
        <f aca="false">IF($A48="","",INDEX(Реестр!$C$2:$C$401,MATCH($A48,Реестр!$V$2:$V$401,0)))</f>
        <v>2416575080</v>
      </c>
      <c r="D48" s="24" t="str">
        <f aca="false">IF($A48="","",INDEX(Реестр!$T$2:$T$401,MATCH($A48,Реестр!$V$2:$V$401,0)))</f>
        <v>Email не указан</v>
      </c>
      <c r="E48" s="21" t="n">
        <f aca="false">IF($A48="","",INDEX(Реестр!$R$2:$R$401,MATCH($A48,Реестр!$V$2:$V$401,0)))</f>
        <v>1</v>
      </c>
      <c r="F48" s="24" t="str">
        <f aca="false">IF($A48="","",INDEX(Реестр!$U$2:$U$401,MATCH($A48,Реестр!$V$2:$V$401,0)))</f>
        <v>Здравствуйте! В данных организации «АО «Импульс Строй»» обнаружены ошибки: Email не указан. Просим проверить и прислать исправленную информацию.</v>
      </c>
    </row>
    <row r="49" customFormat="false" ht="15" hidden="false" customHeight="false" outlineLevel="0" collapsed="false">
      <c r="A49" s="21" t="n">
        <f aca="false">IF(ROWS(A$5:A49)&lt;=MAX(Реестр!$V$2:$V$401),ROWS(A$5:A49),"")</f>
        <v>45</v>
      </c>
      <c r="B49" s="24" t="str">
        <f aca="false">IF($A49="","",INDEX(Реестр!$B$2:$B$401,MATCH($A49,Реестр!$V$2:$V$401,0)))</f>
        <v>ООО «Заря Трейд»</v>
      </c>
      <c r="C49" s="24" t="str">
        <f aca="false">IF($A49="","",INDEX(Реестр!$C$2:$C$401,MATCH($A49,Реестр!$V$2:$V$401,0)))</f>
        <v>7725243324</v>
      </c>
      <c r="D49" s="24" t="str">
        <f aca="false">IF($A49="","",INDEX(Реестр!$T$2:$T$401,MATCH($A49,Реестр!$V$2:$V$401,0)))</f>
        <v>ОГРН не указан</v>
      </c>
      <c r="E49" s="21" t="n">
        <f aca="false">IF($A49="","",INDEX(Реестр!$R$2:$R$401,MATCH($A49,Реестр!$V$2:$V$401,0)))</f>
        <v>1</v>
      </c>
      <c r="F49" s="24" t="str">
        <f aca="false">IF($A49="","",INDEX(Реестр!$U$2:$U$401,MATCH($A49,Реестр!$V$2:$V$401,0)))</f>
        <v>Здравствуйте! В данных организации «ООО «Заря Трейд»» обнаружены ошибки: ОГРН не указан. Просим проверить и прислать исправленную информацию.</v>
      </c>
    </row>
    <row r="50" customFormat="false" ht="15" hidden="false" customHeight="false" outlineLevel="0" collapsed="false">
      <c r="A50" s="21" t="n">
        <f aca="false">IF(ROWS(A$5:A50)&lt;=MAX(Реестр!$V$2:$V$401),ROWS(A$5:A50),"")</f>
        <v>46</v>
      </c>
      <c r="B50" s="24" t="str">
        <f aca="false">IF($A50="","",INDEX(Реестр!$B$2:$B$401,MATCH($A50,Реестр!$V$2:$V$401,0)))</f>
        <v>ООО «Юпитер Фуд»</v>
      </c>
      <c r="C50" s="24" t="str">
        <f aca="false">IF($A50="","",INDEX(Реестр!$C$2:$C$401,MATCH($A50,Реестр!$V$2:$V$401,0)))</f>
        <v>9207520429</v>
      </c>
      <c r="D50" s="24" t="str">
        <f aca="false">IF($A50="","",INDEX(Реестр!$T$2:$T$401,MATCH($A50,Реестр!$V$2:$V$401,0)))</f>
        <v>КПП не указан</v>
      </c>
      <c r="E50" s="21" t="n">
        <f aca="false">IF($A50="","",INDEX(Реестр!$R$2:$R$401,MATCH($A50,Реестр!$V$2:$V$401,0)))</f>
        <v>1</v>
      </c>
      <c r="F50" s="24" t="str">
        <f aca="false">IF($A50="","",INDEX(Реестр!$U$2:$U$401,MATCH($A50,Реестр!$V$2:$V$401,0)))</f>
        <v>Здравствуйте! В данных организации «ООО «Юпитер Фуд»» обнаружены ошибки: КПП не указан. Просим проверить и прислать исправленную информацию.</v>
      </c>
    </row>
    <row r="51" customFormat="false" ht="15" hidden="false" customHeight="false" outlineLevel="0" collapsed="false">
      <c r="A51" s="21" t="n">
        <f aca="false">IF(ROWS(A$5:A51)&lt;=MAX(Реестр!$V$2:$V$401),ROWS(A$5:A51),"")</f>
        <v>47</v>
      </c>
      <c r="B51" s="24" t="str">
        <f aca="false">IF($A51="","",INDEX(Реестр!$B$2:$B$401,MATCH($A51,Реестр!$V$2:$V$401,0)))</f>
        <v>ООО «Вектор Монтаж»</v>
      </c>
      <c r="C51" s="24" t="str">
        <f aca="false">IF($A51="","",INDEX(Реестр!$C$2:$C$401,MATCH($A51,Реестр!$V$2:$V$401,0)))</f>
        <v>5439627291</v>
      </c>
      <c r="D51" s="24" t="str">
        <f aca="false">IF($A51="","",INDEX(Реестр!$T$2:$T$401,MATCH($A51,Реестр!$V$2:$V$401,0)))</f>
        <v>Дубликат ИНН в реестре</v>
      </c>
      <c r="E51" s="21" t="n">
        <f aca="false">IF($A51="","",INDEX(Реестр!$R$2:$R$401,MATCH($A51,Реестр!$V$2:$V$401,0)))</f>
        <v>1</v>
      </c>
      <c r="F51" s="24" t="str">
        <f aca="false">IF($A51="","",INDEX(Реестр!$U$2:$U$401,MATCH($A51,Реестр!$V$2:$V$401,0)))</f>
        <v>Здравствуйте! В данных организации «ООО «Вектор Монтаж»» обнаружены ошибки: Дубликат ИНН в реестре. Просим проверить и прислать исправленную информацию.</v>
      </c>
    </row>
    <row r="52" customFormat="false" ht="15" hidden="false" customHeight="false" outlineLevel="0" collapsed="false">
      <c r="A52" s="21" t="n">
        <f aca="false">IF(ROWS(A$5:A52)&lt;=MAX(Реестр!$V$2:$V$401),ROWS(A$5:A52),"")</f>
        <v>48</v>
      </c>
      <c r="B52" s="24" t="str">
        <f aca="false">IF($A52="","",INDEX(Реестр!$B$2:$B$401,MATCH($A52,Реестр!$V$2:$V$401,0)))</f>
        <v>ООО «Орбита Трейд»</v>
      </c>
      <c r="C52" s="24" t="str">
        <f aca="false">IF($A52="","",INDEX(Реестр!$C$2:$C$401,MATCH($A52,Реестр!$V$2:$V$401,0)))</f>
        <v>5006580626</v>
      </c>
      <c r="D52" s="24" t="str">
        <f aca="false">IF($A52="","",INDEX(Реестр!$T$2:$T$401,MATCH($A52,Реестр!$V$2:$V$401,0)))</f>
        <v>ИНН: неверная контрольная цифра; ОГРН: должно быть 13 цифр</v>
      </c>
      <c r="E52" s="21" t="n">
        <f aca="false">IF($A52="","",INDEX(Реестр!$R$2:$R$401,MATCH($A52,Реестр!$V$2:$V$401,0)))</f>
        <v>2</v>
      </c>
      <c r="F52" s="24" t="str">
        <f aca="false">IF($A52="","",INDEX(Реестр!$U$2:$U$401,MATCH($A52,Реестр!$V$2:$V$401,0)))</f>
        <v>Здравствуйте! В данных организации «ООО «Орбита Трейд»» обнаружены ошибки: ИНН: неверная контрольная цифра; ОГРН: должно быть 13 цифр. Просим проверить и прислать исправленную информацию.</v>
      </c>
    </row>
    <row r="53" customFormat="false" ht="15" hidden="false" customHeight="false" outlineLevel="0" collapsed="false">
      <c r="A53" s="21" t="n">
        <f aca="false">IF(ROWS(A$5:A53)&lt;=MAX(Реестр!$V$2:$V$401),ROWS(A$5:A53),"")</f>
        <v>49</v>
      </c>
      <c r="B53" s="24" t="str">
        <f aca="false">IF($A53="","",INDEX(Реестр!$B$2:$B$401,MATCH($A53,Реестр!$V$2:$V$401,0)))</f>
        <v>ООО «Атлант Энерго»</v>
      </c>
      <c r="C53" s="24" t="str">
        <f aca="false">IF($A53="","",INDEX(Реестр!$C$2:$C$401,MATCH($A53,Реестр!$V$2:$V$401,0)))</f>
        <v>5420815598</v>
      </c>
      <c r="D53" s="24" t="str">
        <f aca="false">IF($A53="","",INDEX(Реестр!$T$2:$T$401,MATCH($A53,Реестр!$V$2:$V$401,0)))</f>
        <v>Дубликат ИНН в реестре</v>
      </c>
      <c r="E53" s="21" t="n">
        <f aca="false">IF($A53="","",INDEX(Реестр!$R$2:$R$401,MATCH($A53,Реестр!$V$2:$V$401,0)))</f>
        <v>1</v>
      </c>
      <c r="F53" s="24" t="str">
        <f aca="false">IF($A53="","",INDEX(Реестр!$U$2:$U$401,MATCH($A53,Реестр!$V$2:$V$401,0)))</f>
        <v>Здравствуйте! В данных организации «ООО «Атлант Энерго»» обнаружены ошибки: Дубликат ИНН в реестре. Просим проверить и прислать исправленную информацию.</v>
      </c>
    </row>
    <row r="54" customFormat="false" ht="15" hidden="false" customHeight="false" outlineLevel="0" collapsed="false">
      <c r="A54" s="21" t="n">
        <f aca="false">IF(ROWS(A$5:A54)&lt;=MAX(Реестр!$V$2:$V$401),ROWS(A$5:A54),"")</f>
        <v>50</v>
      </c>
      <c r="B54" s="24" t="str">
        <f aca="false">IF($A54="","",INDEX(Реестр!$B$2:$B$401,MATCH($A54,Реестр!$V$2:$V$401,0)))</f>
        <v>ООО «Дельта Консалт»</v>
      </c>
      <c r="C54" s="24" t="str">
        <f aca="false">IF($A54="","",INDEX(Реестр!$C$2:$C$401,MATCH($A54,Реестр!$V$2:$V$401,0)))</f>
        <v>0240084117</v>
      </c>
      <c r="D54" s="24" t="str">
        <f aca="false">IF($A54="","",INDEX(Реестр!$T$2:$T$401,MATCH($A54,Реестр!$V$2:$V$401,0)))</f>
        <v>Телефон: неверный формат</v>
      </c>
      <c r="E54" s="21" t="n">
        <f aca="false">IF($A54="","",INDEX(Реестр!$R$2:$R$401,MATCH($A54,Реестр!$V$2:$V$401,0)))</f>
        <v>1</v>
      </c>
      <c r="F54" s="24" t="str">
        <f aca="false">IF($A54="","",INDEX(Реестр!$U$2:$U$401,MATCH($A54,Реестр!$V$2:$V$401,0)))</f>
        <v>Здравствуйте! В данных организации «ООО «Дельта Консалт»» обнаружены ошибки: Телефон: неверный формат. Просим проверить и прислать исправленную информацию.</v>
      </c>
    </row>
    <row r="55" customFormat="false" ht="15" hidden="false" customHeight="false" outlineLevel="0" collapsed="false">
      <c r="A55" s="21" t="n">
        <f aca="false">IF(ROWS(A$5:A55)&lt;=MAX(Реестр!$V$2:$V$401),ROWS(A$5:A55),"")</f>
        <v>51</v>
      </c>
      <c r="B55" s="24" t="str">
        <f aca="false">IF($A55="","",INDEX(Реестр!$B$2:$B$401,MATCH($A55,Реестр!$V$2:$V$401,0)))</f>
        <v>ООО «Навигатор Технологии»</v>
      </c>
      <c r="C55" s="24" t="str">
        <f aca="false">IF($A55="","",INDEX(Реестр!$C$2:$C$401,MATCH($A55,Реестр!$V$2:$V$401,0)))</f>
        <v>9103983060</v>
      </c>
      <c r="D55" s="24" t="str">
        <f aca="false">IF($A55="","",INDEX(Реестр!$T$2:$T$401,MATCH($A55,Реестр!$V$2:$V$401,0)))</f>
        <v>Email не указан</v>
      </c>
      <c r="E55" s="21" t="n">
        <f aca="false">IF($A55="","",INDEX(Реестр!$R$2:$R$401,MATCH($A55,Реестр!$V$2:$V$401,0)))</f>
        <v>1</v>
      </c>
      <c r="F55" s="24" t="str">
        <f aca="false">IF($A55="","",INDEX(Реестр!$U$2:$U$401,MATCH($A55,Реестр!$V$2:$V$401,0)))</f>
        <v>Здравствуйте! В данных организации «ООО «Навигатор Технологии»» обнаружены ошибки: Email не указан. Просим проверить и прислать исправленную информацию.</v>
      </c>
    </row>
    <row r="56" customFormat="false" ht="15" hidden="false" customHeight="false" outlineLevel="0" collapsed="false">
      <c r="A56" s="21" t="n">
        <f aca="false">IF(ROWS(A$5:A56)&lt;=MAX(Реестр!$V$2:$V$401),ROWS(A$5:A56),"")</f>
        <v>52</v>
      </c>
      <c r="B56" s="24" t="str">
        <f aca="false">IF($A56="","",INDEX(Реестр!$B$2:$B$401,MATCH($A56,Реестр!$V$2:$V$401,0)))</f>
        <v>ООО «Дельта Монтаж»</v>
      </c>
      <c r="C56" s="24" t="str">
        <f aca="false">IF($A56="","",INDEX(Реестр!$C$2:$C$401,MATCH($A56,Реестр!$V$2:$V$401,0)))</f>
        <v>9249281331</v>
      </c>
      <c r="D56" s="24" t="str">
        <f aca="false">IF($A56="","",INDEX(Реестр!$T$2:$T$401,MATCH($A56,Реестр!$V$2:$V$401,0)))</f>
        <v>КПП: должно быть 9 знаков</v>
      </c>
      <c r="E56" s="21" t="n">
        <f aca="false">IF($A56="","",INDEX(Реестр!$R$2:$R$401,MATCH($A56,Реестр!$V$2:$V$401,0)))</f>
        <v>1</v>
      </c>
      <c r="F56" s="24" t="str">
        <f aca="false">IF($A56="","",INDEX(Реестр!$U$2:$U$401,MATCH($A56,Реестр!$V$2:$V$401,0)))</f>
        <v>Здравствуйте! В данных организации «ООО «Дельта Монтаж»» обнаружены ошибки: КПП: должно быть 9 знаков. Просим проверить и прислать исправленную информацию.</v>
      </c>
    </row>
    <row r="57" customFormat="false" ht="15" hidden="false" customHeight="false" outlineLevel="0" collapsed="false">
      <c r="A57" s="21" t="n">
        <f aca="false">IF(ROWS(A$5:A57)&lt;=MAX(Реестр!$V$2:$V$401),ROWS(A$5:A57),"")</f>
        <v>53</v>
      </c>
      <c r="B57" s="24" t="str">
        <f aca="false">IF($A57="","",INDEX(Реестр!$B$2:$B$401,MATCH($A57,Реестр!$V$2:$V$401,0)))</f>
        <v>ООО «Тандем Строй»</v>
      </c>
      <c r="C57" s="24" t="str">
        <f aca="false">IF($A57="","",INDEX(Реестр!$C$2:$C$401,MATCH($A57,Реестр!$V$2:$V$401,0)))</f>
        <v>9118836565</v>
      </c>
      <c r="D57" s="24" t="str">
        <f aca="false">IF($A57="","",INDEX(Реестр!$T$2:$T$401,MATCH($A57,Реестр!$V$2:$V$401,0)))</f>
        <v>Email: неверный формат</v>
      </c>
      <c r="E57" s="21" t="n">
        <f aca="false">IF($A57="","",INDEX(Реестр!$R$2:$R$401,MATCH($A57,Реестр!$V$2:$V$401,0)))</f>
        <v>1</v>
      </c>
      <c r="F57" s="24" t="str">
        <f aca="false">IF($A57="","",INDEX(Реестр!$U$2:$U$401,MATCH($A57,Реестр!$V$2:$V$401,0)))</f>
        <v>Здравствуйте! В данных организации «ООО «Тандем Строй»» обнаружены ошибки: Email: неверный формат. Просим проверить и прислать исправленную информацию.</v>
      </c>
    </row>
    <row r="58" customFormat="false" ht="15" hidden="false" customHeight="false" outlineLevel="0" collapsed="false">
      <c r="A58" s="21" t="n">
        <f aca="false">IF(ROWS(A$5:A58)&lt;=MAX(Реестр!$V$2:$V$401),ROWS(A$5:A58),"")</f>
        <v>54</v>
      </c>
      <c r="B58" s="24" t="str">
        <f aca="false">IF($A58="","",INDEX(Реестр!$B$2:$B$401,MATCH($A58,Реестр!$V$2:$V$401,0)))</f>
        <v>ООО «Вектор Мед»</v>
      </c>
      <c r="C58" s="24" t="str">
        <f aca="false">IF($A58="","",INDEX(Реестр!$C$2:$C$401,MATCH($A58,Реестр!$V$2:$V$401,0)))</f>
        <v>7810511616</v>
      </c>
      <c r="D58" s="24" t="str">
        <f aca="false">IF($A58="","",INDEX(Реестр!$T$2:$T$401,MATCH($A58,Реестр!$V$2:$V$401,0)))</f>
        <v>Нет адреса.</v>
      </c>
      <c r="E58" s="21" t="n">
        <f aca="false">IF($A58="","",INDEX(Реестр!$R$2:$R$401,MATCH($A58,Реестр!$V$2:$V$401,0)))</f>
        <v>1</v>
      </c>
      <c r="F58" s="24" t="str">
        <f aca="false">IF($A58="","",INDEX(Реестр!$U$2:$U$401,MATCH($A58,Реестр!$V$2:$V$401,0)))</f>
        <v>Здравствуйте! В данных организации «ООО «Вектор Мед»» обнаружены ошибки: Нет адреса.. Просим проверить и прислать исправленную информацию.</v>
      </c>
    </row>
    <row r="59" customFormat="false" ht="15" hidden="false" customHeight="false" outlineLevel="0" collapsed="false">
      <c r="A59" s="21" t="n">
        <f aca="false">IF(ROWS(A$5:A59)&lt;=MAX(Реестр!$V$2:$V$401),ROWS(A$5:A59),"")</f>
        <v>55</v>
      </c>
      <c r="B59" s="24" t="str">
        <f aca="false">IF($A59="","",INDEX(Реестр!$B$2:$B$401,MATCH($A59,Реестр!$V$2:$V$401,0)))</f>
        <v>ООО «Берег Консалт»</v>
      </c>
      <c r="C59" s="24" t="str">
        <f aca="false">IF($A59="","",INDEX(Реестр!$C$2:$C$401,MATCH($A59,Реестр!$V$2:$V$401,0)))</f>
        <v>02125241332</v>
      </c>
      <c r="D59" s="24" t="str">
        <f aca="false">IF($A59="","",INDEX(Реестр!$T$2:$T$401,MATCH($A59,Реестр!$V$2:$V$401,0)))</f>
        <v>ИНН: должно быть 10 цифр</v>
      </c>
      <c r="E59" s="21" t="n">
        <f aca="false">IF($A59="","",INDEX(Реестр!$R$2:$R$401,MATCH($A59,Реестр!$V$2:$V$401,0)))</f>
        <v>1</v>
      </c>
      <c r="F59" s="24" t="str">
        <f aca="false">IF($A59="","",INDEX(Реестр!$U$2:$U$401,MATCH($A59,Реестр!$V$2:$V$401,0)))</f>
        <v>Здравствуйте! В данных организации «ООО «Берег Консалт»» обнаружены ошибки: ИНН: должно быть 10 цифр. Просим проверить и прислать исправленную информацию.</v>
      </c>
    </row>
    <row r="60" customFormat="false" ht="15" hidden="false" customHeight="false" outlineLevel="0" collapsed="false">
      <c r="A60" s="21" t="n">
        <f aca="false">IF(ROWS(A$5:A60)&lt;=MAX(Реестр!$V$2:$V$401),ROWS(A$5:A60),"")</f>
        <v>56</v>
      </c>
      <c r="B60" s="24" t="str">
        <f aca="false">IF($A60="","",INDEX(Реестр!$B$2:$B$401,MATCH($A60,Реестр!$V$2:$V$401,0)))</f>
        <v>ООО «Квант Сервис»</v>
      </c>
      <c r="C60" s="24" t="str">
        <f aca="false">IF($A60="","",INDEX(Реестр!$C$2:$C$401,MATCH($A60,Реестр!$V$2:$V$401,0)))</f>
        <v>7701433580</v>
      </c>
      <c r="D60" s="24" t="str">
        <f aca="false">IF($A60="","",INDEX(Реестр!$T$2:$T$401,MATCH($A60,Реестр!$V$2:$V$401,0)))</f>
        <v>Дубликат ИНН в реестре</v>
      </c>
      <c r="E60" s="21" t="n">
        <f aca="false">IF($A60="","",INDEX(Реестр!$R$2:$R$401,MATCH($A60,Реестр!$V$2:$V$401,0)))</f>
        <v>1</v>
      </c>
      <c r="F60" s="24" t="str">
        <f aca="false">IF($A60="","",INDEX(Реестр!$U$2:$U$401,MATCH($A60,Реестр!$V$2:$V$401,0)))</f>
        <v>Здравствуйте! В данных организации «ООО «Квант Сервис»» обнаружены ошибки: Дубликат ИНН в реестре. Просим проверить и прислать исправленную информацию.</v>
      </c>
    </row>
    <row r="61" customFormat="false" ht="15" hidden="false" customHeight="false" outlineLevel="0" collapsed="false">
      <c r="A61" s="21" t="n">
        <f aca="false">IF(ROWS(A$5:A61)&lt;=MAX(Реестр!$V$2:$V$401),ROWS(A$5:A61),"")</f>
        <v>57</v>
      </c>
      <c r="B61" s="24" t="str">
        <f aca="false">IF($A61="","",INDEX(Реестр!$B$2:$B$401,MATCH($A61,Реестр!$V$2:$V$401,0)))</f>
        <v>АО «Юпитер Технологии»</v>
      </c>
      <c r="C61" s="24" t="str">
        <f aca="false">IF($A61="","",INDEX(Реестр!$C$2:$C$401,MATCH($A61,Реестр!$V$2:$V$401,0)))</f>
        <v>6118О49084</v>
      </c>
      <c r="D61" s="24" t="str">
        <f aca="false">IF($A61="","",INDEX(Реестр!$T$2:$T$401,MATCH($A61,Реестр!$V$2:$V$401,0)))</f>
        <v>ИНН: есть нецифровые символы</v>
      </c>
      <c r="E61" s="21" t="n">
        <f aca="false">IF($A61="","",INDEX(Реестр!$R$2:$R$401,MATCH($A61,Реестр!$V$2:$V$401,0)))</f>
        <v>1</v>
      </c>
      <c r="F61" s="24" t="str">
        <f aca="false">IF($A61="","",INDEX(Реестр!$U$2:$U$401,MATCH($A61,Реестр!$V$2:$V$401,0)))</f>
        <v>Здравствуйте! В данных организации «АО «Юпитер Технологии»» обнаружены ошибки: ИНН: есть нецифровые символы. Просим проверить и прислать исправленную информацию.</v>
      </c>
    </row>
    <row r="62" customFormat="false" ht="15" hidden="false" customHeight="false" outlineLevel="0" collapsed="false">
      <c r="A62" s="21" t="n">
        <f aca="false">IF(ROWS(A$5:A62)&lt;=MAX(Реестр!$V$2:$V$401),ROWS(A$5:A62),"")</f>
        <v>58</v>
      </c>
      <c r="B62" s="24" t="str">
        <f aca="false">IF($A62="","",INDEX(Реестр!$B$2:$B$401,MATCH($A62,Реестр!$V$2:$V$401,0)))</f>
        <v>АО «Радуга Пласт»</v>
      </c>
      <c r="C62" s="24" t="str">
        <f aca="false">IF($A62="","",INDEX(Реестр!$C$2:$C$401,MATCH($A62,Реестр!$V$2:$V$401,0)))</f>
        <v>6142507848</v>
      </c>
      <c r="D62" s="24" t="str">
        <f aca="false">IF($A62="","",INDEX(Реестр!$T$2:$T$401,MATCH($A62,Реестр!$V$2:$V$401,0)))</f>
        <v>КПП: должно быть 9 знаков; Нет контактного лица.</v>
      </c>
      <c r="E62" s="21" t="n">
        <f aca="false">IF($A62="","",INDEX(Реестр!$R$2:$R$401,MATCH($A62,Реестр!$V$2:$V$401,0)))</f>
        <v>2</v>
      </c>
      <c r="F62" s="24" t="str">
        <f aca="false">IF($A62="","",INDEX(Реестр!$U$2:$U$401,MATCH($A62,Реестр!$V$2:$V$401,0)))</f>
        <v>Здравствуйте! В данных организации «АО «Радуга Пласт»» обнаружены ошибки: КПП: должно быть 9 знаков; Нет контактного лица.. Просим проверить и прислать исправленную информацию.</v>
      </c>
    </row>
    <row r="63" customFormat="false" ht="15" hidden="false" customHeight="false" outlineLevel="0" collapsed="false">
      <c r="A63" s="21" t="n">
        <f aca="false">IF(ROWS(A$5:A63)&lt;=MAX(Реестр!$V$2:$V$401),ROWS(A$5:A63),"")</f>
        <v>59</v>
      </c>
      <c r="B63" s="24" t="str">
        <f aca="false">IF($A63="","",INDEX(Реестр!$B$2:$B$401,MATCH($A63,Реестр!$V$2:$V$401,0)))</f>
        <v>АО «Эталон Логистик»</v>
      </c>
      <c r="C63" s="24" t="str">
        <f aca="false">IF($A63="","",INDEX(Реестр!$C$2:$C$401,MATCH($A63,Реестр!$V$2:$V$401,0)))</f>
        <v>7711919002</v>
      </c>
      <c r="D63" s="24" t="str">
        <f aca="false">IF($A63="","",INDEX(Реестр!$T$2:$T$401,MATCH($A63,Реестр!$V$2:$V$401,0)))</f>
        <v>КПП: код региона не совпадает с ИНН</v>
      </c>
      <c r="E63" s="21" t="n">
        <f aca="false">IF($A63="","",INDEX(Реестр!$R$2:$R$401,MATCH($A63,Реестр!$V$2:$V$401,0)))</f>
        <v>1</v>
      </c>
      <c r="F63" s="24" t="str">
        <f aca="false">IF($A63="","",INDEX(Реестр!$U$2:$U$401,MATCH($A63,Реестр!$V$2:$V$401,0)))</f>
        <v>Здравствуйте! В данных организации «АО «Эталон Логистик»» обнаружены ошибки: КПП: код региона не совпадает с ИНН. Просим проверить и прислать исправленную информацию.</v>
      </c>
    </row>
    <row r="64" customFormat="false" ht="15" hidden="false" customHeight="false" outlineLevel="0" collapsed="false">
      <c r="A64" s="21" t="n">
        <f aca="false">IF(ROWS(A$5:A64)&lt;=MAX(Реестр!$V$2:$V$401),ROWS(A$5:A64),"")</f>
        <v>60</v>
      </c>
      <c r="B64" s="24" t="str">
        <f aca="false">IF($A64="","",INDEX(Реестр!$B$2:$B$401,MATCH($A64,Реестр!$V$2:$V$401,0)))</f>
        <v>ООО «Альфа Проект»</v>
      </c>
      <c r="C64" s="24" t="str">
        <f aca="false">IF($A64="","",INDEX(Реестр!$C$2:$C$401,MATCH($A64,Реестр!$V$2:$V$401,0)))</f>
        <v>6347701966</v>
      </c>
      <c r="D64" s="24" t="str">
        <f aca="false">IF($A64="","",INDEX(Реестр!$T$2:$T$401,MATCH($A64,Реестр!$V$2:$V$401,0)))</f>
        <v>ОГРН не указан</v>
      </c>
      <c r="E64" s="21" t="n">
        <f aca="false">IF($A64="","",INDEX(Реестр!$R$2:$R$401,MATCH($A64,Реестр!$V$2:$V$401,0)))</f>
        <v>1</v>
      </c>
      <c r="F64" s="24" t="str">
        <f aca="false">IF($A64="","",INDEX(Реестр!$U$2:$U$401,MATCH($A64,Реестр!$V$2:$V$401,0)))</f>
        <v>Здравствуйте! В данных организации «ООО «Альфа Проект»» обнаружены ошибки: ОГРН не указан. Просим проверить и прислать исправленную информацию.</v>
      </c>
    </row>
    <row r="65" customFormat="false" ht="15" hidden="false" customHeight="false" outlineLevel="0" collapsed="false">
      <c r="A65" s="21" t="n">
        <f aca="false">IF(ROWS(A$5:A65)&lt;=MAX(Реестр!$V$2:$V$401),ROWS(A$5:A65),"")</f>
        <v>61</v>
      </c>
      <c r="B65" s="24" t="str">
        <f aca="false">IF($A65="","",INDEX(Реестр!$B$2:$B$401,MATCH($A65,Реестр!$V$2:$V$401,0)))</f>
        <v>ООО «Феникс Трейд»</v>
      </c>
      <c r="C65" s="24" t="str">
        <f aca="false">IF($A65="","",INDEX(Реестр!$C$2:$C$401,MATCH($A65,Реестр!$V$2:$V$401,0)))</f>
        <v>771129760</v>
      </c>
      <c r="D65" s="24" t="str">
        <f aca="false">IF($A65="","",INDEX(Реестр!$T$2:$T$401,MATCH($A65,Реестр!$V$2:$V$401,0)))</f>
        <v>ИНН: должно быть 10 цифр</v>
      </c>
      <c r="E65" s="21" t="n">
        <f aca="false">IF($A65="","",INDEX(Реестр!$R$2:$R$401,MATCH($A65,Реестр!$V$2:$V$401,0)))</f>
        <v>1</v>
      </c>
      <c r="F65" s="24" t="str">
        <f aca="false">IF($A65="","",INDEX(Реестр!$U$2:$U$401,MATCH($A65,Реестр!$V$2:$V$401,0)))</f>
        <v>Здравствуйте! В данных организации «ООО «Феникс Трейд»» обнаружены ошибки: ИНН: должно быть 10 цифр. Просим проверить и прислать исправленную информацию.</v>
      </c>
    </row>
    <row r="66" customFormat="false" ht="15" hidden="false" customHeight="false" outlineLevel="0" collapsed="false">
      <c r="A66" s="21" t="n">
        <f aca="false">IF(ROWS(A$5:A66)&lt;=MAX(Реестр!$V$2:$V$401),ROWS(A$5:A66),"")</f>
        <v>62</v>
      </c>
      <c r="B66" s="24" t="str">
        <f aca="false">IF($A66="","",INDEX(Реестр!$B$2:$B$401,MATCH($A66,Реестр!$V$2:$V$401,0)))</f>
        <v>ООО «Юпитер Пласт»</v>
      </c>
      <c r="C66" s="24" t="str">
        <f aca="false">IF($A66="","",INDEX(Реестр!$C$2:$C$401,MATCH($A66,Реестр!$V$2:$V$401,0)))</f>
        <v>7820130183</v>
      </c>
      <c r="D66" s="24" t="str">
        <f aca="false">IF($A66="","",INDEX(Реестр!$T$2:$T$401,MATCH($A66,Реестр!$V$2:$V$401,0)))</f>
        <v>Телефон: неверный формат</v>
      </c>
      <c r="E66" s="21" t="n">
        <f aca="false">IF($A66="","",INDEX(Реестр!$R$2:$R$401,MATCH($A66,Реестр!$V$2:$V$401,0)))</f>
        <v>1</v>
      </c>
      <c r="F66" s="24" t="str">
        <f aca="false">IF($A66="","",INDEX(Реестр!$U$2:$U$401,MATCH($A66,Реестр!$V$2:$V$401,0)))</f>
        <v>Здравствуйте! В данных организации «ООО «Юпитер Пласт»» обнаружены ошибки: Телефон: неверный формат. Просим проверить и прислать исправленную информацию.</v>
      </c>
    </row>
    <row r="67" customFormat="false" ht="15" hidden="false" customHeight="false" outlineLevel="0" collapsed="false">
      <c r="A67" s="21" t="n">
        <f aca="false">IF(ROWS(A$5:A67)&lt;=MAX(Реестр!$V$2:$V$401),ROWS(A$5:A67),"")</f>
        <v>63</v>
      </c>
      <c r="B67" s="24" t="str">
        <f aca="false">IF($A67="","",INDEX(Реестр!$B$2:$B$401,MATCH($A67,Реестр!$V$2:$V$401,0)))</f>
        <v>АО «Прогресс Снаб»</v>
      </c>
      <c r="C67" s="24" t="str">
        <f aca="false">IF($A67="","",INDEX(Реестр!$C$2:$C$401,MATCH($A67,Реестр!$V$2:$V$401,0)))</f>
        <v>9203348336</v>
      </c>
      <c r="D67" s="24" t="str">
        <f aca="false">IF($A67="","",INDEX(Реестр!$T$2:$T$401,MATCH($A67,Реестр!$V$2:$V$401,0)))</f>
        <v>Телефон: неверный формат</v>
      </c>
      <c r="E67" s="21" t="n">
        <f aca="false">IF($A67="","",INDEX(Реестр!$R$2:$R$401,MATCH($A67,Реестр!$V$2:$V$401,0)))</f>
        <v>1</v>
      </c>
      <c r="F67" s="24" t="str">
        <f aca="false">IF($A67="","",INDEX(Реестр!$U$2:$U$401,MATCH($A67,Реестр!$V$2:$V$401,0)))</f>
        <v>Здравствуйте! В данных организации «АО «Прогресс Снаб»» обнаружены ошибки: Телефон: неверный формат. Просим проверить и прислать исправленную информацию.</v>
      </c>
    </row>
    <row r="68" customFormat="false" ht="15" hidden="false" customHeight="false" outlineLevel="0" collapsed="false">
      <c r="A68" s="21" t="n">
        <f aca="false">IF(ROWS(A$5:A68)&lt;=MAX(Реестр!$V$2:$V$401),ROWS(A$5:A68),"")</f>
        <v>64</v>
      </c>
      <c r="B68" s="24" t="str">
        <f aca="false">IF($A68="","",INDEX(Реестр!$B$2:$B$401,MATCH($A68,Реестр!$V$2:$V$401,0)))</f>
        <v>ООО «Линия Агро»</v>
      </c>
      <c r="C68" s="24" t="str">
        <f aca="false">IF($A68="","",INDEX(Реестр!$C$2:$C$401,MATCH($A68,Реестр!$V$2:$V$401,0)))</f>
        <v>9212758233</v>
      </c>
      <c r="D68" s="24" t="str">
        <f aca="false">IF($A68="","",INDEX(Реестр!$T$2:$T$401,MATCH($A68,Реестр!$V$2:$V$401,0)))</f>
        <v>ОГРН: неверная контрольная цифра</v>
      </c>
      <c r="E68" s="21" t="n">
        <f aca="false">IF($A68="","",INDEX(Реестр!$R$2:$R$401,MATCH($A68,Реестр!$V$2:$V$401,0)))</f>
        <v>1</v>
      </c>
      <c r="F68" s="24" t="str">
        <f aca="false">IF($A68="","",INDEX(Реестр!$U$2:$U$401,MATCH($A68,Реестр!$V$2:$V$401,0)))</f>
        <v>Здравствуйте! В данных организации «ООО «Линия Агро»» обнаружены ошибки: ОГРН: неверная контрольная цифра. Просим проверить и прислать исправленную информацию.</v>
      </c>
    </row>
    <row r="69" customFormat="false" ht="15" hidden="false" customHeight="false" outlineLevel="0" collapsed="false">
      <c r="A69" s="21" t="n">
        <f aca="false">IF(ROWS(A$5:A69)&lt;=MAX(Реестр!$V$2:$V$401),ROWS(A$5:A69),"")</f>
        <v>65</v>
      </c>
      <c r="B69" s="24" t="str">
        <f aca="false">IF($A69="","",INDEX(Реестр!$B$2:$B$401,MATCH($A69,Реестр!$V$2:$V$401,0)))</f>
        <v>ООО «Квант Транс»</v>
      </c>
      <c r="C69" s="24" t="str">
        <f aca="false">IF($A69="","",INDEX(Реестр!$C$2:$C$401,MATCH($A69,Реестр!$V$2:$V$401,0)))</f>
        <v>2308119669</v>
      </c>
      <c r="D69" s="24" t="str">
        <f aca="false">IF($A69="","",INDEX(Реестр!$T$2:$T$401,MATCH($A69,Реестр!$V$2:$V$401,0)))</f>
        <v>ОГРН: должно быть 13 цифр; КПП: должно быть 9 знаков</v>
      </c>
      <c r="E69" s="21" t="n">
        <f aca="false">IF($A69="","",INDEX(Реестр!$R$2:$R$401,MATCH($A69,Реестр!$V$2:$V$401,0)))</f>
        <v>2</v>
      </c>
      <c r="F69" s="24" t="str">
        <f aca="false">IF($A69="","",INDEX(Реестр!$U$2:$U$401,MATCH($A69,Реестр!$V$2:$V$401,0)))</f>
        <v>Здравствуйте! В данных организации «ООО «Квант Транс»» обнаружены ошибки: ОГРН: должно быть 13 цифр; КПП: должно быть 9 знаков. Просим проверить и прислать исправленную информацию.</v>
      </c>
    </row>
    <row r="70" customFormat="false" ht="15" hidden="false" customHeight="false" outlineLevel="0" collapsed="false">
      <c r="A70" s="21" t="n">
        <f aca="false">IF(ROWS(A$5:A70)&lt;=MAX(Реестр!$V$2:$V$401),ROWS(A$5:A70),"")</f>
        <v>66</v>
      </c>
      <c r="B70" s="24" t="str">
        <f aca="false">IF($A70="","",INDEX(Реестр!$B$2:$B$401,MATCH($A70,Реестр!$V$2:$V$401,0)))</f>
        <v>ООО «Дельта Принт»</v>
      </c>
      <c r="C70" s="24" t="str">
        <f aca="false">IF($A70="","",INDEX(Реестр!$C$2:$C$401,MATCH($A70,Реестр!$V$2:$V$401,0)))</f>
        <v>9230655791</v>
      </c>
      <c r="D70" s="24" t="str">
        <f aca="false">IF($A70="","",INDEX(Реестр!$T$2:$T$401,MATCH($A70,Реестр!$V$2:$V$401,0)))</f>
        <v>КПП не указан</v>
      </c>
      <c r="E70" s="21" t="n">
        <f aca="false">IF($A70="","",INDEX(Реестр!$R$2:$R$401,MATCH($A70,Реестр!$V$2:$V$401,0)))</f>
        <v>1</v>
      </c>
      <c r="F70" s="24" t="str">
        <f aca="false">IF($A70="","",INDEX(Реестр!$U$2:$U$401,MATCH($A70,Реестр!$V$2:$V$401,0)))</f>
        <v>Здравствуйте! В данных организации «ООО «Дельта Принт»» обнаружены ошибки: КПП не указан. Просим проверить и прислать исправленную информацию.</v>
      </c>
    </row>
    <row r="71" customFormat="false" ht="15" hidden="false" customHeight="false" outlineLevel="0" collapsed="false">
      <c r="A71" s="21" t="n">
        <f aca="false">IF(ROWS(A$5:A71)&lt;=MAX(Реестр!$V$2:$V$401),ROWS(A$5:A71),"")</f>
        <v>67</v>
      </c>
      <c r="B71" s="24" t="str">
        <f aca="false">IF($A71="","",INDEX(Реестр!$B$2:$B$401,MATCH($A71,Реестр!$V$2:$V$401,0)))</f>
        <v>ООО «Заря Сервис»</v>
      </c>
      <c r="C71" s="24" t="str">
        <f aca="false">IF($A71="","",INDEX(Реестр!$C$2:$C$401,MATCH($A71,Реестр!$V$2:$V$401,0)))</f>
        <v>2317437107</v>
      </c>
      <c r="D71" s="24" t="str">
        <f aca="false">IF($A71="","",INDEX(Реестр!$T$2:$T$401,MATCH($A71,Реестр!$V$2:$V$401,0)))</f>
        <v>Дубликат ИНН в реестре</v>
      </c>
      <c r="E71" s="21" t="n">
        <f aca="false">IF($A71="","",INDEX(Реестр!$R$2:$R$401,MATCH($A71,Реестр!$V$2:$V$401,0)))</f>
        <v>1</v>
      </c>
      <c r="F71" s="24" t="str">
        <f aca="false">IF($A71="","",INDEX(Реестр!$U$2:$U$401,MATCH($A71,Реестр!$V$2:$V$401,0)))</f>
        <v>Здравствуйте! В данных организации «ООО «Заря Сервис»» обнаружены ошибки: Дубликат ИНН в реестре. Просим проверить и прислать исправленную информацию.</v>
      </c>
    </row>
    <row r="72" customFormat="false" ht="15" hidden="false" customHeight="false" outlineLevel="0" collapsed="false">
      <c r="A72" s="21" t="n">
        <f aca="false">IF(ROWS(A$5:A72)&lt;=MAX(Реестр!$V$2:$V$401),ROWS(A$5:A72),"")</f>
        <v>68</v>
      </c>
      <c r="B72" s="24" t="str">
        <f aca="false">IF($A72="","",INDEX(Реестр!$B$2:$B$401,MATCH($A72,Реестр!$V$2:$V$401,0)))</f>
        <v>ООО «Заря Проект»</v>
      </c>
      <c r="C72" s="24" t="n">
        <f aca="false">IF($A72="","",INDEX(Реестр!$C$2:$C$401,MATCH($A72,Реестр!$V$2:$V$401,0)))</f>
        <v>0</v>
      </c>
      <c r="D72" s="24" t="str">
        <f aca="false">IF($A72="","",INDEX(Реестр!$T$2:$T$401,MATCH($A72,Реестр!$V$2:$V$401,0)))</f>
        <v>ИНН не указан; КПП: код региона не совпадает с ИНН</v>
      </c>
      <c r="E72" s="21" t="n">
        <f aca="false">IF($A72="","",INDEX(Реестр!$R$2:$R$401,MATCH($A72,Реестр!$V$2:$V$401,0)))</f>
        <v>2</v>
      </c>
      <c r="F72" s="24" t="str">
        <f aca="false">IF($A72="","",INDEX(Реестр!$U$2:$U$401,MATCH($A72,Реестр!$V$2:$V$401,0)))</f>
        <v>Здравствуйте! В данных организации «ООО «Заря Проект»» обнаружены ошибки: ИНН не указан; КПП: код региона не совпадает с ИНН. Просим проверить и прислать исправленную информацию.</v>
      </c>
    </row>
    <row r="73" customFormat="false" ht="15" hidden="false" customHeight="false" outlineLevel="0" collapsed="false">
      <c r="A73" s="21" t="n">
        <f aca="false">IF(ROWS(A$5:A73)&lt;=MAX(Реестр!$V$2:$V$401),ROWS(A$5:A73),"")</f>
        <v>69</v>
      </c>
      <c r="B73" s="24" t="str">
        <f aca="false">IF($A73="","",INDEX(Реестр!$B$2:$B$401,MATCH($A73,Реестр!$V$2:$V$401,0)))</f>
        <v>ООО «Вектор Транс»</v>
      </c>
      <c r="C73" s="24" t="str">
        <f aca="false">IF($A73="","",INDEX(Реестр!$C$2:$C$401,MATCH($A73,Реестр!$V$2:$V$401,0)))</f>
        <v>9244463962</v>
      </c>
      <c r="D73" s="24" t="str">
        <f aca="false">IF($A73="","",INDEX(Реестр!$T$2:$T$401,MATCH($A73,Реестр!$V$2:$V$401,0)))</f>
        <v>Дубликат ИНН в реестре</v>
      </c>
      <c r="E73" s="21" t="n">
        <f aca="false">IF($A73="","",INDEX(Реестр!$R$2:$R$401,MATCH($A73,Реестр!$V$2:$V$401,0)))</f>
        <v>1</v>
      </c>
      <c r="F73" s="24" t="str">
        <f aca="false">IF($A73="","",INDEX(Реестр!$U$2:$U$401,MATCH($A73,Реестр!$V$2:$V$401,0)))</f>
        <v>Здравствуйте! В данных организации «ООО «Вектор Транс»» обнаружены ошибки: Дубликат ИНН в реестре. Просим проверить и прислать исправленную информацию.</v>
      </c>
    </row>
    <row r="74" customFormat="false" ht="15" hidden="false" customHeight="false" outlineLevel="0" collapsed="false">
      <c r="A74" s="21" t="n">
        <f aca="false">IF(ROWS(A$5:A74)&lt;=MAX(Реестр!$V$2:$V$401),ROWS(A$5:A74),"")</f>
        <v>70</v>
      </c>
      <c r="B74" s="24" t="str">
        <f aca="false">IF($A74="","",INDEX(Реестр!$B$2:$B$401,MATCH($A74,Реестр!$V$2:$V$401,0)))</f>
        <v>АО «Тандем Пласт»</v>
      </c>
      <c r="C74" s="24" t="str">
        <f aca="false">IF($A74="","",INDEX(Реестр!$C$2:$C$401,MATCH($A74,Реестр!$V$2:$V$401,0)))</f>
        <v>6612961636</v>
      </c>
      <c r="D74" s="24" t="str">
        <f aca="false">IF($A74="","",INDEX(Реестр!$T$2:$T$401,MATCH($A74,Реестр!$V$2:$V$401,0)))</f>
        <v>Дубликат ИНН в реестре</v>
      </c>
      <c r="E74" s="21" t="n">
        <f aca="false">IF($A74="","",INDEX(Реестр!$R$2:$R$401,MATCH($A74,Реестр!$V$2:$V$401,0)))</f>
        <v>1</v>
      </c>
      <c r="F74" s="24" t="str">
        <f aca="false">IF($A74="","",INDEX(Реестр!$U$2:$U$401,MATCH($A74,Реестр!$V$2:$V$401,0)))</f>
        <v>Здравствуйте! В данных организации «АО «Тандем Пласт»» обнаружены ошибки: Дубликат ИНН в реестре. Просим проверить и прислать исправленную информацию.</v>
      </c>
    </row>
    <row r="75" customFormat="false" ht="15" hidden="false" customHeight="false" outlineLevel="0" collapsed="false">
      <c r="A75" s="21" t="n">
        <f aca="false">IF(ROWS(A$5:A75)&lt;=MAX(Реестр!$V$2:$V$401),ROWS(A$5:A75),"")</f>
        <v>71</v>
      </c>
      <c r="B75" s="24" t="str">
        <f aca="false">IF($A75="","",INDEX(Реестр!$B$2:$B$401,MATCH($A75,Реестр!$V$2:$V$401,0)))</f>
        <v>АО «Орбита Монтаж»</v>
      </c>
      <c r="C75" s="24" t="str">
        <f aca="false">IF($A75="","",INDEX(Реестр!$C$2:$C$401,MATCH($A75,Реестр!$V$2:$V$401,0)))</f>
        <v>7702617936</v>
      </c>
      <c r="D75" s="24" t="str">
        <f aca="false">IF($A75="","",INDEX(Реестр!$T$2:$T$401,MATCH($A75,Реестр!$V$2:$V$401,0)))</f>
        <v>КПП: должно быть 9 знаков</v>
      </c>
      <c r="E75" s="21" t="n">
        <f aca="false">IF($A75="","",INDEX(Реестр!$R$2:$R$401,MATCH($A75,Реестр!$V$2:$V$401,0)))</f>
        <v>1</v>
      </c>
      <c r="F75" s="24" t="str">
        <f aca="false">IF($A75="","",INDEX(Реестр!$U$2:$U$401,MATCH($A75,Реестр!$V$2:$V$401,0)))</f>
        <v>Здравствуйте! В данных организации «АО «Орбита Монтаж»» обнаружены ошибки: КПП: должно быть 9 знаков. Просим проверить и прислать исправленную информацию.</v>
      </c>
    </row>
    <row r="76" customFormat="false" ht="15" hidden="false" customHeight="false" outlineLevel="0" collapsed="false">
      <c r="A76" s="21" t="n">
        <f aca="false">IF(ROWS(A$5:A76)&lt;=MAX(Реестр!$V$2:$V$401),ROWS(A$5:A76),"")</f>
        <v>72</v>
      </c>
      <c r="B76" s="24" t="str">
        <f aca="false">IF($A76="","",INDEX(Реестр!$B$2:$B$401,MATCH($A76,Реестр!$V$2:$V$401,0)))</f>
        <v>ООО «Импульс Технологии»</v>
      </c>
      <c r="C76" s="24" t="str">
        <f aca="false">IF($A76="","",INDEX(Реестр!$C$2:$C$401,MATCH($A76,Реестр!$V$2:$V$401,0)))</f>
        <v>7431186514</v>
      </c>
      <c r="D76" s="24" t="str">
        <f aca="false">IF($A76="","",INDEX(Реестр!$T$2:$T$401,MATCH($A76,Реестр!$V$2:$V$401,0)))</f>
        <v>Телефон не указан</v>
      </c>
      <c r="E76" s="21" t="n">
        <f aca="false">IF($A76="","",INDEX(Реестр!$R$2:$R$401,MATCH($A76,Реестр!$V$2:$V$401,0)))</f>
        <v>1</v>
      </c>
      <c r="F76" s="24" t="str">
        <f aca="false">IF($A76="","",INDEX(Реестр!$U$2:$U$401,MATCH($A76,Реестр!$V$2:$V$401,0)))</f>
        <v>Здравствуйте! В данных организации «ООО «Импульс Технологии»» обнаружены ошибки: Телефон не указан. Просим проверить и прислать исправленную информацию.</v>
      </c>
    </row>
    <row r="77" customFormat="false" ht="15" hidden="false" customHeight="false" outlineLevel="0" collapsed="false">
      <c r="A77" s="21" t="n">
        <f aca="false">IF(ROWS(A$5:A77)&lt;=MAX(Реестр!$V$2:$V$401),ROWS(A$5:A77),"")</f>
        <v>73</v>
      </c>
      <c r="B77" s="24" t="str">
        <f aca="false">IF($A77="","",INDEX(Реестр!$B$2:$B$401,MATCH($A77,Реестр!$V$2:$V$401,0)))</f>
        <v>АО «Орбита Строй»</v>
      </c>
      <c r="C77" s="24" t="str">
        <f aca="false">IF($A77="","",INDEX(Реестр!$C$2:$C$401,MATCH($A77,Реестр!$V$2:$V$401,0)))</f>
        <v>2337015520</v>
      </c>
      <c r="D77" s="24" t="str">
        <f aca="false">IF($A77="","",INDEX(Реестр!$T$2:$T$401,MATCH($A77,Реестр!$V$2:$V$401,0)))</f>
        <v>КПП: код региона не совпадает с ИНН</v>
      </c>
      <c r="E77" s="21" t="n">
        <f aca="false">IF($A77="","",INDEX(Реестр!$R$2:$R$401,MATCH($A77,Реестр!$V$2:$V$401,0)))</f>
        <v>1</v>
      </c>
      <c r="F77" s="24" t="str">
        <f aca="false">IF($A77="","",INDEX(Реестр!$U$2:$U$401,MATCH($A77,Реестр!$V$2:$V$401,0)))</f>
        <v>Здравствуйте! В данных организации «АО «Орбита Строй»» обнаружены ошибки: КПП: код региона не совпадает с ИНН. Просим проверить и прислать исправленную информацию.</v>
      </c>
    </row>
    <row r="78" customFormat="false" ht="15" hidden="false" customHeight="false" outlineLevel="0" collapsed="false">
      <c r="A78" s="21" t="n">
        <f aca="false">IF(ROWS(A$5:A78)&lt;=MAX(Реестр!$V$2:$V$401),ROWS(A$5:A78),"")</f>
        <v>74</v>
      </c>
      <c r="B78" s="24" t="str">
        <f aca="false">IF($A78="","",INDEX(Реестр!$B$2:$B$401,MATCH($A78,Реестр!$V$2:$V$401,0)))</f>
        <v>ООО «Прогресс Торг»</v>
      </c>
      <c r="C78" s="24" t="str">
        <f aca="false">IF($A78="","",INDEX(Реестр!$C$2:$C$401,MATCH($A78,Реестр!$V$2:$V$401,0)))</f>
        <v>7841096286</v>
      </c>
      <c r="D78" s="24" t="str">
        <f aca="false">IF($A78="","",INDEX(Реестр!$T$2:$T$401,MATCH($A78,Реестр!$V$2:$V$401,0)))</f>
        <v>КПП: неверный формат</v>
      </c>
      <c r="E78" s="21" t="n">
        <f aca="false">IF($A78="","",INDEX(Реестр!$R$2:$R$401,MATCH($A78,Реестр!$V$2:$V$401,0)))</f>
        <v>1</v>
      </c>
      <c r="F78" s="24" t="str">
        <f aca="false">IF($A78="","",INDEX(Реестр!$U$2:$U$401,MATCH($A78,Реестр!$V$2:$V$401,0)))</f>
        <v>Здравствуйте! В данных организации «ООО «Прогресс Торг»» обнаружены ошибки: КПП: неверный формат. Просим проверить и прислать исправленную информацию.</v>
      </c>
    </row>
    <row r="79" customFormat="false" ht="15" hidden="false" customHeight="false" outlineLevel="0" collapsed="false">
      <c r="A79" s="21" t="n">
        <f aca="false">IF(ROWS(A$5:A79)&lt;=MAX(Реестр!$V$2:$V$401),ROWS(A$5:A79),"")</f>
        <v>75</v>
      </c>
      <c r="B79" s="24" t="str">
        <f aca="false">IF($A79="","",INDEX(Реестр!$B$2:$B$401,MATCH($A79,Реестр!$V$2:$V$401,0)))</f>
        <v>ООО «Радуга Транс»</v>
      </c>
      <c r="C79" s="24" t="str">
        <f aca="false">IF($A79="","",INDEX(Реестр!$C$2:$C$401,MATCH($A79,Реестр!$V$2:$V$401,0)))</f>
        <v>6149764098</v>
      </c>
      <c r="D79" s="24" t="str">
        <f aca="false">IF($A79="","",INDEX(Реестр!$T$2:$T$401,MATCH($A79,Реестр!$V$2:$V$401,0)))</f>
        <v>ИНН: неверная контрольная цифра</v>
      </c>
      <c r="E79" s="21" t="n">
        <f aca="false">IF($A79="","",INDEX(Реестр!$R$2:$R$401,MATCH($A79,Реестр!$V$2:$V$401,0)))</f>
        <v>1</v>
      </c>
      <c r="F79" s="24" t="str">
        <f aca="false">IF($A79="","",INDEX(Реестр!$U$2:$U$401,MATCH($A79,Реестр!$V$2:$V$401,0)))</f>
        <v>Здравствуйте! В данных организации «ООО «Радуга Транс»» обнаружены ошибки: ИНН: неверная контрольная цифра. Просим проверить и прислать исправленную информацию.</v>
      </c>
    </row>
    <row r="80" customFormat="false" ht="15" hidden="false" customHeight="false" outlineLevel="0" collapsed="false">
      <c r="A80" s="21" t="n">
        <f aca="false">IF(ROWS(A$5:A80)&lt;=MAX(Реестр!$V$2:$V$401),ROWS(A$5:A80),"")</f>
        <v>76</v>
      </c>
      <c r="B80" s="24" t="str">
        <f aca="false">IF($A80="","",INDEX(Реестр!$B$2:$B$401,MATCH($A80,Реестр!$V$2:$V$401,0)))</f>
        <v>ООО «Импульс Снаб»</v>
      </c>
      <c r="C80" s="24" t="str">
        <f aca="false">IF($A80="","",INDEX(Реестр!$C$2:$C$401,MATCH($A80,Реестр!$V$2:$V$401,0)))</f>
        <v>2434616935</v>
      </c>
      <c r="D80" s="24" t="str">
        <f aca="false">IF($A80="","",INDEX(Реестр!$T$2:$T$401,MATCH($A80,Реестр!$V$2:$V$401,0)))</f>
        <v>Email не указан</v>
      </c>
      <c r="E80" s="21" t="n">
        <f aca="false">IF($A80="","",INDEX(Реестр!$R$2:$R$401,MATCH($A80,Реестр!$V$2:$V$401,0)))</f>
        <v>1</v>
      </c>
      <c r="F80" s="24" t="str">
        <f aca="false">IF($A80="","",INDEX(Реестр!$U$2:$U$401,MATCH($A80,Реестр!$V$2:$V$401,0)))</f>
        <v>Здравствуйте! В данных организации «ООО «Импульс Снаб»» обнаружены ошибки: Email не указан. Просим проверить и прислать исправленную информацию.</v>
      </c>
    </row>
    <row r="81" customFormat="false" ht="15" hidden="false" customHeight="false" outlineLevel="0" collapsed="false">
      <c r="A81" s="21" t="n">
        <f aca="false">IF(ROWS(A$5:A81)&lt;=MAX(Реестр!$V$2:$V$401),ROWS(A$5:A81),"")</f>
        <v>77</v>
      </c>
      <c r="B81" s="24" t="str">
        <f aca="false">IF($A81="","",INDEX(Реестр!$B$2:$B$401,MATCH($A81,Реестр!$V$2:$V$401,0)))</f>
        <v>ООО «Тандем Фуд»</v>
      </c>
      <c r="C81" s="24" t="str">
        <f aca="false">IF($A81="","",INDEX(Реестр!$C$2:$C$401,MATCH($A81,Реестр!$V$2:$V$401,0)))</f>
        <v>9113786920</v>
      </c>
      <c r="D81" s="24" t="str">
        <f aca="false">IF($A81="","",INDEX(Реестр!$T$2:$T$401,MATCH($A81,Реестр!$V$2:$V$401,0)))</f>
        <v>ОГРН: должно быть 13 цифр</v>
      </c>
      <c r="E81" s="21" t="n">
        <f aca="false">IF($A81="","",INDEX(Реестр!$R$2:$R$401,MATCH($A81,Реестр!$V$2:$V$401,0)))</f>
        <v>1</v>
      </c>
      <c r="F81" s="24" t="str">
        <f aca="false">IF($A81="","",INDEX(Реестр!$U$2:$U$401,MATCH($A81,Реестр!$V$2:$V$401,0)))</f>
        <v>Здравствуйте! В данных организации «ООО «Тандем Фуд»» обнаружены ошибки: ОГРН: должно быть 13 цифр. Просим проверить и прислать исправленную информацию.</v>
      </c>
    </row>
    <row r="82" customFormat="false" ht="15" hidden="false" customHeight="false" outlineLevel="0" collapsed="false">
      <c r="A82" s="21" t="n">
        <f aca="false">IF(ROWS(A$5:A82)&lt;=MAX(Реестр!$V$2:$V$401),ROWS(A$5:A82),"")</f>
        <v>78</v>
      </c>
      <c r="B82" s="24" t="n">
        <f aca="false">IF($A82="","",INDEX(Реестр!$B$2:$B$401,MATCH($A82,Реестр!$V$2:$V$401,0)))</f>
        <v>0</v>
      </c>
      <c r="C82" s="24" t="str">
        <f aca="false">IF($A82="","",INDEX(Реестр!$C$2:$C$401,MATCH($A82,Реестр!$V$2:$V$401,0)))</f>
        <v>1605416415</v>
      </c>
      <c r="D82" s="24" t="str">
        <f aca="false">IF($A82="","",INDEX(Реестр!$T$2:$T$401,MATCH($A82,Реестр!$V$2:$V$401,0)))</f>
        <v>Нет наименования.</v>
      </c>
      <c r="E82" s="21" t="n">
        <f aca="false">IF($A82="","",INDEX(Реестр!$R$2:$R$401,MATCH($A82,Реестр!$V$2:$V$401,0)))</f>
        <v>1</v>
      </c>
      <c r="F82" s="24" t="str">
        <f aca="false">IF($A82="","",INDEX(Реестр!$U$2:$U$401,MATCH($A82,Реестр!$V$2:$V$401,0)))</f>
        <v>Здравствуйте! В данных организации «» обнаружены ошибки: Нет наименования.. Просим проверить и прислать исправленную информацию.</v>
      </c>
    </row>
    <row r="83" customFormat="false" ht="15" hidden="false" customHeight="false" outlineLevel="0" collapsed="false">
      <c r="A83" s="21" t="n">
        <f aca="false">IF(ROWS(A$5:A83)&lt;=MAX(Реестр!$V$2:$V$401),ROWS(A$5:A83),"")</f>
        <v>79</v>
      </c>
      <c r="B83" s="24" t="str">
        <f aca="false">IF($A83="","",INDEX(Реестр!$B$2:$B$401,MATCH($A83,Реестр!$V$2:$V$401,0)))</f>
        <v>ООО «Вектор Софт»</v>
      </c>
      <c r="C83" s="24" t="str">
        <f aca="false">IF($A83="","",INDEX(Реестр!$C$2:$C$401,MATCH($A83,Реестр!$V$2:$V$401,0)))</f>
        <v>9107848209</v>
      </c>
      <c r="D83" s="24" t="str">
        <f aca="false">IF($A83="","",INDEX(Реестр!$T$2:$T$401,MATCH($A83,Реестр!$V$2:$V$401,0)))</f>
        <v>Дубликат ИНН в реестре</v>
      </c>
      <c r="E83" s="21" t="n">
        <f aca="false">IF($A83="","",INDEX(Реестр!$R$2:$R$401,MATCH($A83,Реестр!$V$2:$V$401,0)))</f>
        <v>1</v>
      </c>
      <c r="F83" s="24" t="str">
        <f aca="false">IF($A83="","",INDEX(Реестр!$U$2:$U$401,MATCH($A83,Реестр!$V$2:$V$401,0)))</f>
        <v>Здравствуйте! В данных организации «ООО «Вектор Софт»» обнаружены ошибки: Дубликат ИНН в реестре. Просим проверить и прислать исправленную информацию.</v>
      </c>
    </row>
    <row r="84" customFormat="false" ht="15" hidden="false" customHeight="false" outlineLevel="0" collapsed="false">
      <c r="A84" s="21" t="n">
        <f aca="false">IF(ROWS(A$5:A84)&lt;=MAX(Реестр!$V$2:$V$401),ROWS(A$5:A84),"")</f>
        <v>80</v>
      </c>
      <c r="B84" s="24" t="str">
        <f aca="false">IF($A84="","",INDEX(Реестр!$B$2:$B$401,MATCH($A84,Реестр!$V$2:$V$401,0)))</f>
        <v>ООО «Гранит Мед»</v>
      </c>
      <c r="C84" s="24" t="n">
        <f aca="false">IF($A84="","",INDEX(Реестр!$C$2:$C$401,MATCH($A84,Реестр!$V$2:$V$401,0)))</f>
        <v>0</v>
      </c>
      <c r="D84" s="24" t="str">
        <f aca="false">IF($A84="","",INDEX(Реестр!$T$2:$T$401,MATCH($A84,Реестр!$V$2:$V$401,0)))</f>
        <v>ИНН не указан; КПП: код региона не совпадает с ИНН</v>
      </c>
      <c r="E84" s="21" t="n">
        <f aca="false">IF($A84="","",INDEX(Реестр!$R$2:$R$401,MATCH($A84,Реестр!$V$2:$V$401,0)))</f>
        <v>2</v>
      </c>
      <c r="F84" s="24" t="str">
        <f aca="false">IF($A84="","",INDEX(Реестр!$U$2:$U$401,MATCH($A84,Реестр!$V$2:$V$401,0)))</f>
        <v>Здравствуйте! В данных организации «ООО «Гранит Мед»» обнаружены ошибки: ИНН не указан; КПП: код региона не совпадает с ИНН. Просим проверить и прислать исправленную информацию.</v>
      </c>
    </row>
    <row r="85" customFormat="false" ht="15" hidden="false" customHeight="false" outlineLevel="0" collapsed="false">
      <c r="A85" s="21" t="n">
        <f aca="false">IF(ROWS(A$5:A85)&lt;=MAX(Реестр!$V$2:$V$401),ROWS(A$5:A85),"")</f>
        <v>81</v>
      </c>
      <c r="B85" s="24" t="str">
        <f aca="false">IF($A85="","",INDEX(Реестр!$B$2:$B$401,MATCH($A85,Реестр!$V$2:$V$401,0)))</f>
        <v>ООО «Меридиан Энерго»</v>
      </c>
      <c r="C85" s="24" t="str">
        <f aca="false">IF($A85="","",INDEX(Реестр!$C$2:$C$401,MATCH($A85,Реестр!$V$2:$V$401,0)))</f>
        <v>5439627291</v>
      </c>
      <c r="D85" s="24" t="str">
        <f aca="false">IF($A85="","",INDEX(Реестр!$T$2:$T$401,MATCH($A85,Реестр!$V$2:$V$401,0)))</f>
        <v>Дубликат ИНН в реестре</v>
      </c>
      <c r="E85" s="21" t="n">
        <f aca="false">IF($A85="","",INDEX(Реестр!$R$2:$R$401,MATCH($A85,Реестр!$V$2:$V$401,0)))</f>
        <v>1</v>
      </c>
      <c r="F85" s="24" t="str">
        <f aca="false">IF($A85="","",INDEX(Реестр!$U$2:$U$401,MATCH($A85,Реестр!$V$2:$V$401,0)))</f>
        <v>Здравствуйте! В данных организации «ООО «Меридиан Энерго»» обнаружены ошибки: Дубликат ИНН в реестре. Просим проверить и прислать исправленную информацию.</v>
      </c>
    </row>
    <row r="86" customFormat="false" ht="15" hidden="false" customHeight="false" outlineLevel="0" collapsed="false">
      <c r="A86" s="21" t="n">
        <f aca="false">IF(ROWS(A$5:A86)&lt;=MAX(Реестр!$V$2:$V$401),ROWS(A$5:A86),"")</f>
        <v>82</v>
      </c>
      <c r="B86" s="24" t="str">
        <f aca="false">IF($A86="","",INDEX(Реестр!$B$2:$B$401,MATCH($A86,Реестр!$V$2:$V$401,0)))</f>
        <v>ООО «Берег Строй»</v>
      </c>
      <c r="C86" s="24" t="str">
        <f aca="false">IF($A86="","",INDEX(Реестр!$C$2:$C$401,MATCH($A86,Реестр!$V$2:$V$401,0)))</f>
        <v>9202000458</v>
      </c>
      <c r="D86" s="24" t="str">
        <f aca="false">IF($A86="","",INDEX(Реестр!$T$2:$T$401,MATCH($A86,Реестр!$V$2:$V$401,0)))</f>
        <v>Нет адреса.</v>
      </c>
      <c r="E86" s="21" t="n">
        <f aca="false">IF($A86="","",INDEX(Реестр!$R$2:$R$401,MATCH($A86,Реестр!$V$2:$V$401,0)))</f>
        <v>1</v>
      </c>
      <c r="F86" s="24" t="str">
        <f aca="false">IF($A86="","",INDEX(Реестр!$U$2:$U$401,MATCH($A86,Реестр!$V$2:$V$401,0)))</f>
        <v>Здравствуйте! В данных организации «ООО «Берег Строй»» обнаружены ошибки: Нет адреса.. Просим проверить и прислать исправленную информацию.</v>
      </c>
    </row>
    <row r="87" customFormat="false" ht="15" hidden="false" customHeight="false" outlineLevel="0" collapsed="false">
      <c r="A87" s="21" t="n">
        <f aca="false">IF(ROWS(A$5:A87)&lt;=MAX(Реестр!$V$2:$V$401),ROWS(A$5:A87),"")</f>
        <v>83</v>
      </c>
      <c r="B87" s="24" t="str">
        <f aca="false">IF($A87="","",INDEX(Реестр!$B$2:$B$401,MATCH($A87,Реестр!$V$2:$V$401,0)))</f>
        <v>АО «Эталон Групп»</v>
      </c>
      <c r="C87" s="24" t="str">
        <f aca="false">IF($A87="","",INDEX(Реестр!$C$2:$C$401,MATCH($A87,Реестр!$V$2:$V$401,0)))</f>
        <v>5045071730</v>
      </c>
      <c r="D87" s="24" t="str">
        <f aca="false">IF($A87="","",INDEX(Реестр!$T$2:$T$401,MATCH($A87,Реестр!$V$2:$V$401,0)))</f>
        <v>КПП: неверный формат</v>
      </c>
      <c r="E87" s="21" t="n">
        <f aca="false">IF($A87="","",INDEX(Реестр!$R$2:$R$401,MATCH($A87,Реестр!$V$2:$V$401,0)))</f>
        <v>1</v>
      </c>
      <c r="F87" s="24" t="str">
        <f aca="false">IF($A87="","",INDEX(Реестр!$U$2:$U$401,MATCH($A87,Реестр!$V$2:$V$401,0)))</f>
        <v>Здравствуйте! В данных организации «АО «Эталон Групп»» обнаружены ошибки: КПП: неверный формат. Просим проверить и прислать исправленную информацию.</v>
      </c>
    </row>
    <row r="88" customFormat="false" ht="15" hidden="false" customHeight="false" outlineLevel="0" collapsed="false">
      <c r="A88" s="21" t="n">
        <f aca="false">IF(ROWS(A$5:A88)&lt;=MAX(Реестр!$V$2:$V$401),ROWS(A$5:A88),"")</f>
        <v>84</v>
      </c>
      <c r="B88" s="24" t="str">
        <f aca="false">IF($A88="","",INDEX(Реестр!$B$2:$B$401,MATCH($A88,Реестр!$V$2:$V$401,0)))</f>
        <v>ООО «Навигатор Консалт»</v>
      </c>
      <c r="C88" s="24" t="str">
        <f aca="false">IF($A88="","",INDEX(Реестр!$C$2:$C$401,MATCH($A88,Реестр!$V$2:$V$401,0)))</f>
        <v>5210527226</v>
      </c>
      <c r="D88" s="24" t="str">
        <f aca="false">IF($A88="","",INDEX(Реестр!$T$2:$T$401,MATCH($A88,Реестр!$V$2:$V$401,0)))</f>
        <v>Дубликат ИНН в реестре</v>
      </c>
      <c r="E88" s="21" t="n">
        <f aca="false">IF($A88="","",INDEX(Реестр!$R$2:$R$401,MATCH($A88,Реестр!$V$2:$V$401,0)))</f>
        <v>1</v>
      </c>
      <c r="F88" s="24" t="str">
        <f aca="false">IF($A88="","",INDEX(Реестр!$U$2:$U$401,MATCH($A88,Реестр!$V$2:$V$401,0)))</f>
        <v>Здравствуйте! В данных организации «ООО «Навигатор Консалт»» обнаружены ошибки: Дубликат ИНН в реестре. Просим проверить и прислать исправленную информацию.</v>
      </c>
    </row>
    <row r="89" customFormat="false" ht="15" hidden="false" customHeight="false" outlineLevel="0" collapsed="false">
      <c r="A89" s="21" t="n">
        <f aca="false">IF(ROWS(A$5:A89)&lt;=MAX(Реестр!$V$2:$V$401),ROWS(A$5:A89),"")</f>
        <v>85</v>
      </c>
      <c r="B89" s="24" t="str">
        <f aca="false">IF($A89="","",INDEX(Реестр!$B$2:$B$401,MATCH($A89,Реестр!$V$2:$V$401,0)))</f>
        <v>ООО «Радуга Групп»</v>
      </c>
      <c r="C89" s="24" t="str">
        <f aca="false">IF($A89="","",INDEX(Реестр!$C$2:$C$401,MATCH($A89,Реестр!$V$2:$V$401,0)))</f>
        <v>9224236552</v>
      </c>
      <c r="D89" s="24" t="str">
        <f aca="false">IF($A89="","",INDEX(Реестр!$T$2:$T$401,MATCH($A89,Реестр!$V$2:$V$401,0)))</f>
        <v>КПП не указан</v>
      </c>
      <c r="E89" s="21" t="n">
        <f aca="false">IF($A89="","",INDEX(Реестр!$R$2:$R$401,MATCH($A89,Реестр!$V$2:$V$401,0)))</f>
        <v>1</v>
      </c>
      <c r="F89" s="24" t="str">
        <f aca="false">IF($A89="","",INDEX(Реестр!$U$2:$U$401,MATCH($A89,Реестр!$V$2:$V$401,0)))</f>
        <v>Здравствуйте! В данных организации «ООО «Радуга Групп»» обнаружены ошибки: КПП не указан. Просим проверить и прислать исправленную информацию.</v>
      </c>
    </row>
    <row r="90" customFormat="false" ht="15" hidden="false" customHeight="false" outlineLevel="0" collapsed="false">
      <c r="A90" s="21" t="n">
        <f aca="false">IF(ROWS(A$5:A90)&lt;=MAX(Реестр!$V$2:$V$401),ROWS(A$5:A90),"")</f>
        <v>86</v>
      </c>
      <c r="B90" s="24" t="str">
        <f aca="false">IF($A90="","",INDEX(Реестр!$B$2:$B$401,MATCH($A90,Реестр!$V$2:$V$401,0)))</f>
        <v>ООО «Вектор Энерго»</v>
      </c>
      <c r="C90" s="24" t="str">
        <f aca="false">IF($A90="","",INDEX(Реестр!$C$2:$C$401,MATCH($A90,Реестр!$V$2:$V$401,0)))</f>
        <v>784008648</v>
      </c>
      <c r="D90" s="24" t="str">
        <f aca="false">IF($A90="","",INDEX(Реестр!$T$2:$T$401,MATCH($A90,Реестр!$V$2:$V$401,0)))</f>
        <v>ИНН: должно быть 10 цифр; Телефон: неверный формат</v>
      </c>
      <c r="E90" s="21" t="n">
        <f aca="false">IF($A90="","",INDEX(Реестр!$R$2:$R$401,MATCH($A90,Реестр!$V$2:$V$401,0)))</f>
        <v>2</v>
      </c>
      <c r="F90" s="24" t="str">
        <f aca="false">IF($A90="","",INDEX(Реестр!$U$2:$U$401,MATCH($A90,Реестр!$V$2:$V$401,0)))</f>
        <v>Здравствуйте! В данных организации «ООО «Вектор Энерго»» обнаружены ошибки: ИНН: должно быть 10 цифр; Телефон: неверный формат. Просим проверить и прислать исправленную информацию.</v>
      </c>
    </row>
    <row r="91" customFormat="false" ht="15" hidden="false" customHeight="false" outlineLevel="0" collapsed="false">
      <c r="A91" s="21" t="n">
        <f aca="false">IF(ROWS(A$5:A91)&lt;=MAX(Реестр!$V$2:$V$401),ROWS(A$5:A91),"")</f>
        <v>87</v>
      </c>
      <c r="B91" s="24" t="str">
        <f aca="false">IF($A91="","",INDEX(Реестр!$B$2:$B$401,MATCH($A91,Реестр!$V$2:$V$401,0)))</f>
        <v>АО «Тандем Софт»</v>
      </c>
      <c r="C91" s="24" t="str">
        <f aca="false">IF($A91="","",INDEX(Реестр!$C$2:$C$401,MATCH($A91,Реестр!$V$2:$V$401,0)))</f>
        <v>9147485О93</v>
      </c>
      <c r="D91" s="24" t="str">
        <f aca="false">IF($A91="","",INDEX(Реестр!$T$2:$T$401,MATCH($A91,Реестр!$V$2:$V$401,0)))</f>
        <v>ИНН: есть нецифровые символы</v>
      </c>
      <c r="E91" s="21" t="n">
        <f aca="false">IF($A91="","",INDEX(Реестр!$R$2:$R$401,MATCH($A91,Реестр!$V$2:$V$401,0)))</f>
        <v>1</v>
      </c>
      <c r="F91" s="24" t="str">
        <f aca="false">IF($A91="","",INDEX(Реестр!$U$2:$U$401,MATCH($A91,Реестр!$V$2:$V$401,0)))</f>
        <v>Здравствуйте! В данных организации «АО «Тандем Софт»» обнаружены ошибки: ИНН: есть нецифровые символы. Просим проверить и прислать исправленную информацию.</v>
      </c>
    </row>
    <row r="92" customFormat="false" ht="15" hidden="false" customHeight="false" outlineLevel="0" collapsed="false">
      <c r="A92" s="21" t="n">
        <f aca="false">IF(ROWS(A$5:A92)&lt;=MAX(Реестр!$V$2:$V$401),ROWS(A$5:A92),"")</f>
        <v>88</v>
      </c>
      <c r="B92" s="24" t="str">
        <f aca="false">IF($A92="","",INDEX(Реестр!$B$2:$B$401,MATCH($A92,Реестр!$V$2:$V$401,0)))</f>
        <v>ООО «Альфа Строй»</v>
      </c>
      <c r="C92" s="24" t="str">
        <f aca="false">IF($A92="","",INDEX(Реестр!$C$2:$C$401,MATCH($A92,Реестр!$V$2:$V$401,0)))</f>
        <v>5405359990</v>
      </c>
      <c r="D92" s="24" t="str">
        <f aca="false">IF($A92="","",INDEX(Реестр!$T$2:$T$401,MATCH($A92,Реестр!$V$2:$V$401,0)))</f>
        <v>ОГРН: неверная контрольная цифра</v>
      </c>
      <c r="E92" s="21" t="n">
        <f aca="false">IF($A92="","",INDEX(Реестр!$R$2:$R$401,MATCH($A92,Реестр!$V$2:$V$401,0)))</f>
        <v>1</v>
      </c>
      <c r="F92" s="24" t="str">
        <f aca="false">IF($A92="","",INDEX(Реестр!$U$2:$U$401,MATCH($A92,Реестр!$V$2:$V$401,0)))</f>
        <v>Здравствуйте! В данных организации «ООО «Альфа Строй»» обнаружены ошибки: ОГРН: неверная контрольная цифра. Просим проверить и прислать исправленную информацию.</v>
      </c>
    </row>
    <row r="93" customFormat="false" ht="15" hidden="false" customHeight="false" outlineLevel="0" collapsed="false">
      <c r="A93" s="21" t="n">
        <f aca="false">IF(ROWS(A$5:A93)&lt;=MAX(Реестр!$V$2:$V$401),ROWS(A$5:A93),"")</f>
        <v>89</v>
      </c>
      <c r="B93" s="24" t="str">
        <f aca="false">IF($A93="","",INDEX(Реестр!$B$2:$B$401,MATCH($A93,Реестр!$V$2:$V$401,0)))</f>
        <v>АО «Квант Фуд»</v>
      </c>
      <c r="C93" s="24" t="str">
        <f aca="false">IF($A93="","",INDEX(Реестр!$C$2:$C$401,MATCH($A93,Реестр!$V$2:$V$401,0)))</f>
        <v>7815238140</v>
      </c>
      <c r="D93" s="24" t="str">
        <f aca="false">IF($A93="","",INDEX(Реестр!$T$2:$T$401,MATCH($A93,Реестр!$V$2:$V$401,0)))</f>
        <v>ИНН: неверная контрольная цифра</v>
      </c>
      <c r="E93" s="21" t="n">
        <f aca="false">IF($A93="","",INDEX(Реестр!$R$2:$R$401,MATCH($A93,Реестр!$V$2:$V$401,0)))</f>
        <v>1</v>
      </c>
      <c r="F93" s="24" t="str">
        <f aca="false">IF($A93="","",INDEX(Реестр!$U$2:$U$401,MATCH($A93,Реестр!$V$2:$V$401,0)))</f>
        <v>Здравствуйте! В данных организации «АО «Квант Фуд»» обнаружены ошибки: ИНН: неверная контрольная цифра. Просим проверить и прислать исправленную информацию.</v>
      </c>
    </row>
    <row r="94" customFormat="false" ht="15" hidden="false" customHeight="false" outlineLevel="0" collapsed="false">
      <c r="A94" s="21" t="n">
        <f aca="false">IF(ROWS(A$5:A94)&lt;=MAX(Реестр!$V$2:$V$401),ROWS(A$5:A94),"")</f>
        <v>90</v>
      </c>
      <c r="B94" s="24" t="str">
        <f aca="false">IF($A94="","",INDEX(Реестр!$B$2:$B$401,MATCH($A94,Реестр!$V$2:$V$401,0)))</f>
        <v>АО «Эталон Трейд»</v>
      </c>
      <c r="C94" s="24" t="str">
        <f aca="false">IF($A94="","",INDEX(Реестр!$C$2:$C$401,MATCH($A94,Реестр!$V$2:$V$401,0)))</f>
        <v>5228823522</v>
      </c>
      <c r="D94" s="24" t="str">
        <f aca="false">IF($A94="","",INDEX(Реестр!$T$2:$T$401,MATCH($A94,Реестр!$V$2:$V$401,0)))</f>
        <v>Нет адреса.</v>
      </c>
      <c r="E94" s="21" t="n">
        <f aca="false">IF($A94="","",INDEX(Реестр!$R$2:$R$401,MATCH($A94,Реестр!$V$2:$V$401,0)))</f>
        <v>1</v>
      </c>
      <c r="F94" s="24" t="str">
        <f aca="false">IF($A94="","",INDEX(Реестр!$U$2:$U$401,MATCH($A94,Реестр!$V$2:$V$401,0)))</f>
        <v>Здравствуйте! В данных организации «АО «Эталон Трейд»» обнаружены ошибки: Нет адреса.. Просим проверить и прислать исправленную информацию.</v>
      </c>
    </row>
    <row r="95" customFormat="false" ht="15" hidden="false" customHeight="false" outlineLevel="0" collapsed="false">
      <c r="A95" s="21" t="n">
        <f aca="false">IF(ROWS(A$5:A95)&lt;=MAX(Реестр!$V$2:$V$401),ROWS(A$5:A95),"")</f>
        <v>91</v>
      </c>
      <c r="B95" s="24" t="str">
        <f aca="false">IF($A95="","",INDEX(Реестр!$B$2:$B$401,MATCH($A95,Реестр!$V$2:$V$401,0)))</f>
        <v>АО «Юпитер Принт»</v>
      </c>
      <c r="C95" s="24" t="str">
        <f aca="false">IF($A95="","",INDEX(Реестр!$C$2:$C$401,MATCH($A95,Реестр!$V$2:$V$401,0)))</f>
        <v>2317437107</v>
      </c>
      <c r="D95" s="24" t="str">
        <f aca="false">IF($A95="","",INDEX(Реестр!$T$2:$T$401,MATCH($A95,Реестр!$V$2:$V$401,0)))</f>
        <v>Дубликат ИНН в реестре; Email не указан</v>
      </c>
      <c r="E95" s="21" t="n">
        <f aca="false">IF($A95="","",INDEX(Реестр!$R$2:$R$401,MATCH($A95,Реестр!$V$2:$V$401,0)))</f>
        <v>2</v>
      </c>
      <c r="F95" s="24" t="str">
        <f aca="false">IF($A95="","",INDEX(Реестр!$U$2:$U$401,MATCH($A95,Реестр!$V$2:$V$401,0)))</f>
        <v>Здравствуйте! В данных организации «АО «Юпитер Принт»» обнаружены ошибки: Дубликат ИНН в реестре; Email не указан. Просим проверить и прислать исправленную информацию.</v>
      </c>
    </row>
    <row r="96" customFormat="false" ht="15" hidden="false" customHeight="false" outlineLevel="0" collapsed="false">
      <c r="A96" s="21" t="n">
        <f aca="false">IF(ROWS(A$5:A96)&lt;=MAX(Реестр!$V$2:$V$401),ROWS(A$5:A96),"")</f>
        <v>92</v>
      </c>
      <c r="B96" s="24" t="str">
        <f aca="false">IF($A96="","",INDEX(Реестр!$B$2:$B$401,MATCH($A96,Реестр!$V$2:$V$401,0)))</f>
        <v>ООО «Тандем Логистик»</v>
      </c>
      <c r="C96" s="24" t="n">
        <f aca="false">IF($A96="","",INDEX(Реестр!$C$2:$C$401,MATCH($A96,Реестр!$V$2:$V$401,0)))</f>
        <v>0</v>
      </c>
      <c r="D96" s="24" t="str">
        <f aca="false">IF($A96="","",INDEX(Реестр!$T$2:$T$401,MATCH($A96,Реестр!$V$2:$V$401,0)))</f>
        <v>ИНН не указан; КПП: код региона не совпадает с ИНН</v>
      </c>
      <c r="E96" s="21" t="n">
        <f aca="false">IF($A96="","",INDEX(Реестр!$R$2:$R$401,MATCH($A96,Реестр!$V$2:$V$401,0)))</f>
        <v>2</v>
      </c>
      <c r="F96" s="24" t="str">
        <f aca="false">IF($A96="","",INDEX(Реестр!$U$2:$U$401,MATCH($A96,Реестр!$V$2:$V$401,0)))</f>
        <v>Здравствуйте! В данных организации «ООО «Тандем Логистик»» обнаружены ошибки: ИНН не указан; КПП: код региона не совпадает с ИНН. Просим проверить и прислать исправленную информацию.</v>
      </c>
    </row>
    <row r="97" customFormat="false" ht="15" hidden="false" customHeight="false" outlineLevel="0" collapsed="false">
      <c r="A97" s="21" t="n">
        <f aca="false">IF(ROWS(A$5:A97)&lt;=MAX(Реестр!$V$2:$V$401),ROWS(A$5:A97),"")</f>
        <v>93</v>
      </c>
      <c r="B97" s="24" t="str">
        <f aca="false">IF($A97="","",INDEX(Реестр!$B$2:$B$401,MATCH($A97,Реестр!$V$2:$V$401,0)))</f>
        <v>АО «Импульс Трейд»</v>
      </c>
      <c r="C97" s="24" t="str">
        <f aca="false">IF($A97="","",INDEX(Реестр!$C$2:$C$401,MATCH($A97,Реестр!$V$2:$V$401,0)))</f>
        <v>7701433580</v>
      </c>
      <c r="D97" s="24" t="str">
        <f aca="false">IF($A97="","",INDEX(Реестр!$T$2:$T$401,MATCH($A97,Реестр!$V$2:$V$401,0)))</f>
        <v>Дубликат ИНН в реестре</v>
      </c>
      <c r="E97" s="21" t="n">
        <f aca="false">IF($A97="","",INDEX(Реестр!$R$2:$R$401,MATCH($A97,Реестр!$V$2:$V$401,0)))</f>
        <v>1</v>
      </c>
      <c r="F97" s="24" t="str">
        <f aca="false">IF($A97="","",INDEX(Реестр!$U$2:$U$401,MATCH($A97,Реестр!$V$2:$V$401,0)))</f>
        <v>Здравствуйте! В данных организации «АО «Импульс Трейд»» обнаружены ошибки: Дубликат ИНН в реестре. Просим проверить и прислать исправленную информацию.</v>
      </c>
    </row>
    <row r="98" customFormat="false" ht="15" hidden="false" customHeight="false" outlineLevel="0" collapsed="false">
      <c r="A98" s="21" t="n">
        <f aca="false">IF(ROWS(A$5:A98)&lt;=MAX(Реестр!$V$2:$V$401),ROWS(A$5:A98),"")</f>
        <v>94</v>
      </c>
      <c r="B98" s="24" t="str">
        <f aca="false">IF($A98="","",INDEX(Реестр!$B$2:$B$401,MATCH($A98,Реестр!$V$2:$V$401,0)))</f>
        <v>ООО «Юпитер Строй»</v>
      </c>
      <c r="C98" s="24" t="str">
        <f aca="false">IF($A98="","",INDEX(Реестр!$C$2:$C$401,MATCH($A98,Реестр!$V$2:$V$401,0)))</f>
        <v>5423394940</v>
      </c>
      <c r="D98" s="24" t="str">
        <f aca="false">IF($A98="","",INDEX(Реестр!$T$2:$T$401,MATCH($A98,Реестр!$V$2:$V$401,0)))</f>
        <v>ОГРН: должно быть 13 цифр</v>
      </c>
      <c r="E98" s="21" t="n">
        <f aca="false">IF($A98="","",INDEX(Реестр!$R$2:$R$401,MATCH($A98,Реестр!$V$2:$V$401,0)))</f>
        <v>1</v>
      </c>
      <c r="F98" s="24" t="str">
        <f aca="false">IF($A98="","",INDEX(Реестр!$U$2:$U$401,MATCH($A98,Реестр!$V$2:$V$401,0)))</f>
        <v>Здравствуйте! В данных организации «ООО «Юпитер Строй»» обнаружены ошибки: ОГРН: должно быть 13 цифр. Просим проверить и прислать исправленную информацию.</v>
      </c>
    </row>
    <row r="99" customFormat="false" ht="15" hidden="false" customHeight="false" outlineLevel="0" collapsed="false">
      <c r="A99" s="21" t="n">
        <f aca="false">IF(ROWS(A$5:A99)&lt;=MAX(Реестр!$V$2:$V$401),ROWS(A$5:A99),"")</f>
        <v>95</v>
      </c>
      <c r="B99" s="24" t="str">
        <f aca="false">IF($A99="","",INDEX(Реестр!$B$2:$B$401,MATCH($A99,Реестр!$V$2:$V$401,0)))</f>
        <v>ООО «Импульс Сервис»</v>
      </c>
      <c r="C99" s="24" t="str">
        <f aca="false">IF($A99="","",INDEX(Реестр!$C$2:$C$401,MATCH($A99,Реестр!$V$2:$V$401,0)))</f>
        <v>6117538715</v>
      </c>
      <c r="D99" s="24" t="str">
        <f aca="false">IF($A99="","",INDEX(Реестр!$T$2:$T$401,MATCH($A99,Реестр!$V$2:$V$401,0)))</f>
        <v>Нет контактного лица.</v>
      </c>
      <c r="E99" s="21" t="n">
        <f aca="false">IF($A99="","",INDEX(Реестр!$R$2:$R$401,MATCH($A99,Реестр!$V$2:$V$401,0)))</f>
        <v>1</v>
      </c>
      <c r="F99" s="24" t="str">
        <f aca="false">IF($A99="","",INDEX(Реестр!$U$2:$U$401,MATCH($A99,Реестр!$V$2:$V$401,0)))</f>
        <v>Здравствуйте! В данных организации «ООО «Импульс Сервис»» обнаружены ошибки: Нет контактного лица.. Просим проверить и прислать исправленную информацию.</v>
      </c>
    </row>
    <row r="100" customFormat="false" ht="15" hidden="false" customHeight="false" outlineLevel="0" collapsed="false">
      <c r="A100" s="21" t="n">
        <f aca="false">IF(ROWS(A$5:A100)&lt;=MAX(Реестр!$V$2:$V$401),ROWS(A$5:A100),"")</f>
        <v>96</v>
      </c>
      <c r="B100" s="24" t="str">
        <f aca="false">IF($A100="","",INDEX(Реестр!$B$2:$B$401,MATCH($A100,Реестр!$V$2:$V$401,0)))</f>
        <v>ООО «Атлант Транс»</v>
      </c>
      <c r="C100" s="24" t="str">
        <f aca="false">IF($A100="","",INDEX(Реестр!$C$2:$C$401,MATCH($A100,Реестр!$V$2:$V$401,0)))</f>
        <v>2301158108</v>
      </c>
      <c r="D100" s="24" t="str">
        <f aca="false">IF($A100="","",INDEX(Реестр!$T$2:$T$401,MATCH($A100,Реестр!$V$2:$V$401,0)))</f>
        <v>Нет контактного лица.</v>
      </c>
      <c r="E100" s="21" t="n">
        <f aca="false">IF($A100="","",INDEX(Реестр!$R$2:$R$401,MATCH($A100,Реестр!$V$2:$V$401,0)))</f>
        <v>1</v>
      </c>
      <c r="F100" s="24" t="str">
        <f aca="false">IF($A100="","",INDEX(Реестр!$U$2:$U$401,MATCH($A100,Реестр!$V$2:$V$401,0)))</f>
        <v>Здравствуйте! В данных организации «ООО «Атлант Транс»» обнаружены ошибки: Нет контактного лица.. Просим проверить и прислать исправленную информацию.</v>
      </c>
    </row>
    <row r="101" customFormat="false" ht="15" hidden="false" customHeight="false" outlineLevel="0" collapsed="false">
      <c r="A101" s="21" t="n">
        <f aca="false">IF(ROWS(A$5:A101)&lt;=MAX(Реестр!$V$2:$V$401),ROWS(A$5:A101),"")</f>
        <v>97</v>
      </c>
      <c r="B101" s="24" t="str">
        <f aca="false">IF($A101="","",INDEX(Реестр!$B$2:$B$401,MATCH($A101,Реестр!$V$2:$V$401,0)))</f>
        <v>ООО «Орбита Стандарт»</v>
      </c>
      <c r="C101" s="24" t="str">
        <f aca="false">IF($A101="","",INDEX(Реестр!$C$2:$C$401,MATCH($A101,Реестр!$V$2:$V$401,0)))</f>
        <v>784551787</v>
      </c>
      <c r="D101" s="24" t="str">
        <f aca="false">IF($A101="","",INDEX(Реестр!$T$2:$T$401,MATCH($A101,Реестр!$V$2:$V$401,0)))</f>
        <v>ИНН: должно быть 10 цифр</v>
      </c>
      <c r="E101" s="21" t="n">
        <f aca="false">IF($A101="","",INDEX(Реестр!$R$2:$R$401,MATCH($A101,Реестр!$V$2:$V$401,0)))</f>
        <v>1</v>
      </c>
      <c r="F101" s="24" t="str">
        <f aca="false">IF($A101="","",INDEX(Реестр!$U$2:$U$401,MATCH($A101,Реестр!$V$2:$V$401,0)))</f>
        <v>Здравствуйте! В данных организации «ООО «Орбита Стандарт»» обнаружены ошибки: ИНН: должно быть 10 цифр. Просим проверить и прислать исправленную информацию.</v>
      </c>
    </row>
    <row r="102" customFormat="false" ht="15" hidden="false" customHeight="false" outlineLevel="0" collapsed="false">
      <c r="A102" s="21" t="n">
        <f aca="false">IF(ROWS(A$5:A102)&lt;=MAX(Реестр!$V$2:$V$401),ROWS(A$5:A102),"")</f>
        <v>98</v>
      </c>
      <c r="B102" s="24" t="str">
        <f aca="false">IF($A102="","",INDEX(Реестр!$B$2:$B$401,MATCH($A102,Реестр!$V$2:$V$401,0)))</f>
        <v>АО «Атлант Агро»</v>
      </c>
      <c r="C102" s="24" t="str">
        <f aca="false">IF($A102="","",INDEX(Реестр!$C$2:$C$401,MATCH($A102,Реестр!$V$2:$V$401,0)))</f>
        <v>6338991024</v>
      </c>
      <c r="D102" s="24" t="str">
        <f aca="false">IF($A102="","",INDEX(Реестр!$T$2:$T$401,MATCH($A102,Реестр!$V$2:$V$401,0)))</f>
        <v>Email: неверный формат</v>
      </c>
      <c r="E102" s="21" t="n">
        <f aca="false">IF($A102="","",INDEX(Реестр!$R$2:$R$401,MATCH($A102,Реестр!$V$2:$V$401,0)))</f>
        <v>1</v>
      </c>
      <c r="F102" s="24" t="str">
        <f aca="false">IF($A102="","",INDEX(Реестр!$U$2:$U$401,MATCH($A102,Реестр!$V$2:$V$401,0)))</f>
        <v>Здравствуйте! В данных организации «АО «Атлант Агро»» обнаружены ошибки: Email: неверный формат. Просим проверить и прислать исправленную информацию.</v>
      </c>
    </row>
    <row r="103" customFormat="false" ht="15" hidden="false" customHeight="false" outlineLevel="0" collapsed="false">
      <c r="A103" s="21" t="n">
        <f aca="false">IF(ROWS(A$5:A103)&lt;=MAX(Реестр!$V$2:$V$401),ROWS(A$5:A103),"")</f>
        <v>99</v>
      </c>
      <c r="B103" s="24" t="str">
        <f aca="false">IF($A103="","",INDEX(Реестр!$B$2:$B$401,MATCH($A103,Реестр!$V$2:$V$401,0)))</f>
        <v>ООО «Феникс Проект»</v>
      </c>
      <c r="C103" s="24" t="str">
        <f aca="false">IF($A103="","",INDEX(Реестр!$C$2:$C$401,MATCH($A103,Реестр!$V$2:$V$401,0)))</f>
        <v>2315609015</v>
      </c>
      <c r="D103" s="24" t="str">
        <f aca="false">IF($A103="","",INDEX(Реестр!$T$2:$T$401,MATCH($A103,Реестр!$V$2:$V$401,0)))</f>
        <v>КПП: код региона не совпадает с ИНН</v>
      </c>
      <c r="E103" s="21" t="n">
        <f aca="false">IF($A103="","",INDEX(Реестр!$R$2:$R$401,MATCH($A103,Реестр!$V$2:$V$401,0)))</f>
        <v>1</v>
      </c>
      <c r="F103" s="24" t="str">
        <f aca="false">IF($A103="","",INDEX(Реестр!$U$2:$U$401,MATCH($A103,Реестр!$V$2:$V$401,0)))</f>
        <v>Здравствуйте! В данных организации «ООО «Феникс Проект»» обнаружены ошибки: КПП: код региона не совпадает с ИНН. Просим проверить и прислать исправленную информацию.</v>
      </c>
    </row>
    <row r="104" customFormat="false" ht="15" hidden="false" customHeight="false" outlineLevel="0" collapsed="false">
      <c r="A104" s="21" t="n">
        <f aca="false">IF(ROWS(A$5:A104)&lt;=MAX(Реестр!$V$2:$V$401),ROWS(A$5:A104),"")</f>
        <v>100</v>
      </c>
      <c r="B104" s="24" t="str">
        <f aca="false">IF($A104="","",INDEX(Реестр!$B$2:$B$401,MATCH($A104,Реестр!$V$2:$V$401,0)))</f>
        <v>ООО «Атлант Монтаж»</v>
      </c>
      <c r="C104" s="24" t="str">
        <f aca="false">IF($A104="","",INDEX(Реестр!$C$2:$C$401,MATCH($A104,Реестр!$V$2:$V$401,0)))</f>
        <v>5408401417</v>
      </c>
      <c r="D104" s="24" t="str">
        <f aca="false">IF($A104="","",INDEX(Реестр!$T$2:$T$401,MATCH($A104,Реестр!$V$2:$V$401,0)))</f>
        <v>Телефон: неверный формат; Нет контактного лица.</v>
      </c>
      <c r="E104" s="21" t="n">
        <f aca="false">IF($A104="","",INDEX(Реестр!$R$2:$R$401,MATCH($A104,Реестр!$V$2:$V$401,0)))</f>
        <v>2</v>
      </c>
      <c r="F104" s="24" t="str">
        <f aca="false">IF($A104="","",INDEX(Реестр!$U$2:$U$401,MATCH($A104,Реестр!$V$2:$V$401,0)))</f>
        <v>Здравствуйте! В данных организации «ООО «Атлант Монтаж»» обнаружены ошибки: Телефон: неверный формат; Нет контактного лица.. Просим проверить и прислать исправленную информацию.</v>
      </c>
    </row>
    <row r="105" customFormat="false" ht="15" hidden="false" customHeight="false" outlineLevel="0" collapsed="false">
      <c r="A105" s="21" t="n">
        <f aca="false">IF(ROWS(A$5:A105)&lt;=MAX(Реестр!$V$2:$V$401),ROWS(A$5:A105),"")</f>
        <v>101</v>
      </c>
      <c r="B105" s="24" t="str">
        <f aca="false">IF($A105="","",INDEX(Реестр!$B$2:$B$401,MATCH($A105,Реестр!$V$2:$V$401,0)))</f>
        <v>АО «Берег Транс»</v>
      </c>
      <c r="C105" s="24" t="str">
        <f aca="false">IF($A105="","",INDEX(Реестр!$C$2:$C$401,MATCH($A105,Реестр!$V$2:$V$401,0)))</f>
        <v>1625769306</v>
      </c>
      <c r="D105" s="24" t="str">
        <f aca="false">IF($A105="","",INDEX(Реестр!$T$2:$T$401,MATCH($A105,Реестр!$V$2:$V$401,0)))</f>
        <v>Нет контактного лица.</v>
      </c>
      <c r="E105" s="21" t="n">
        <f aca="false">IF($A105="","",INDEX(Реестр!$R$2:$R$401,MATCH($A105,Реестр!$V$2:$V$401,0)))</f>
        <v>1</v>
      </c>
      <c r="F105" s="24" t="str">
        <f aca="false">IF($A105="","",INDEX(Реестр!$U$2:$U$401,MATCH($A105,Реестр!$V$2:$V$401,0)))</f>
        <v>Здравствуйте! В данных организации «АО «Берег Транс»» обнаружены ошибки: Нет контактного лица.. Просим проверить и прислать исправленную информацию.</v>
      </c>
    </row>
    <row r="106" customFormat="false" ht="15" hidden="false" customHeight="false" outlineLevel="0" collapsed="false">
      <c r="A106" s="21" t="n">
        <f aca="false">IF(ROWS(A$5:A106)&lt;=MAX(Реестр!$V$2:$V$401),ROWS(A$5:A106),"")</f>
        <v>102</v>
      </c>
      <c r="B106" s="24" t="str">
        <f aca="false">IF($A106="","",INDEX(Реестр!$B$2:$B$401,MATCH($A106,Реестр!$V$2:$V$401,0)))</f>
        <v>ООО «Горизонт Стандарт»</v>
      </c>
      <c r="C106" s="24" t="str">
        <f aca="false">IF($A106="","",INDEX(Реестр!$C$2:$C$401,MATCH($A106,Реестр!$V$2:$V$401,0)))</f>
        <v>7818237649</v>
      </c>
      <c r="D106" s="24" t="str">
        <f aca="false">IF($A106="","",INDEX(Реестр!$T$2:$T$401,MATCH($A106,Реестр!$V$2:$V$401,0)))</f>
        <v>ИНН: неверная контрольная цифра</v>
      </c>
      <c r="E106" s="21" t="n">
        <f aca="false">IF($A106="","",INDEX(Реестр!$R$2:$R$401,MATCH($A106,Реестр!$V$2:$V$401,0)))</f>
        <v>1</v>
      </c>
      <c r="F106" s="24" t="str">
        <f aca="false">IF($A106="","",INDEX(Реестр!$U$2:$U$401,MATCH($A106,Реестр!$V$2:$V$401,0)))</f>
        <v>Здравствуйте! В данных организации «ООО «Горизонт Стандарт»» обнаружены ошибки: ИНН: неверная контрольная цифра. Просим проверить и прислать исправленную информацию.</v>
      </c>
    </row>
    <row r="107" customFormat="false" ht="15" hidden="false" customHeight="false" outlineLevel="0" collapsed="false">
      <c r="A107" s="21" t="n">
        <f aca="false">IF(ROWS(A$5:A107)&lt;=MAX(Реестр!$V$2:$V$401),ROWS(A$5:A107),"")</f>
        <v>103</v>
      </c>
      <c r="B107" s="24" t="str">
        <f aca="false">IF($A107="","",INDEX(Реестр!$B$2:$B$401,MATCH($A107,Реестр!$V$2:$V$401,0)))</f>
        <v>ООО «Радуга Мед»</v>
      </c>
      <c r="C107" s="24" t="str">
        <f aca="false">IF($A107="","",INDEX(Реестр!$C$2:$C$401,MATCH($A107,Реестр!$V$2:$V$401,0)))</f>
        <v>7847091679</v>
      </c>
      <c r="D107" s="24" t="str">
        <f aca="false">IF($A107="","",INDEX(Реестр!$T$2:$T$401,MATCH($A107,Реестр!$V$2:$V$401,0)))</f>
        <v>Email: неверный формат</v>
      </c>
      <c r="E107" s="21" t="n">
        <f aca="false">IF($A107="","",INDEX(Реестр!$R$2:$R$401,MATCH($A107,Реестр!$V$2:$V$401,0)))</f>
        <v>1</v>
      </c>
      <c r="F107" s="24" t="str">
        <f aca="false">IF($A107="","",INDEX(Реестр!$U$2:$U$401,MATCH($A107,Реестр!$V$2:$V$401,0)))</f>
        <v>Здравствуйте! В данных организации «ООО «Радуга Мед»» обнаружены ошибки: Email: неверный формат. Просим проверить и прислать исправленную информацию.</v>
      </c>
    </row>
    <row r="108" customFormat="false" ht="15" hidden="false" customHeight="false" outlineLevel="0" collapsed="false">
      <c r="A108" s="21" t="n">
        <f aca="false">IF(ROWS(A$5:A108)&lt;=MAX(Реестр!$V$2:$V$401),ROWS(A$5:A108),"")</f>
        <v>104</v>
      </c>
      <c r="B108" s="24" t="str">
        <f aca="false">IF($A108="","",INDEX(Реестр!$B$2:$B$401,MATCH($A108,Реестр!$V$2:$V$401,0)))</f>
        <v>ООО «Линия Монтаж»</v>
      </c>
      <c r="C108" s="24" t="str">
        <f aca="false">IF($A108="","",INDEX(Реестр!$C$2:$C$401,MATCH($A108,Реестр!$V$2:$V$401,0)))</f>
        <v>2305155796</v>
      </c>
      <c r="D108" s="24" t="str">
        <f aca="false">IF($A108="","",INDEX(Реестр!$T$2:$T$401,MATCH($A108,Реестр!$V$2:$V$401,0)))</f>
        <v>ОГРН не указан</v>
      </c>
      <c r="E108" s="21" t="n">
        <f aca="false">IF($A108="","",INDEX(Реестр!$R$2:$R$401,MATCH($A108,Реестр!$V$2:$V$401,0)))</f>
        <v>1</v>
      </c>
      <c r="F108" s="24" t="str">
        <f aca="false">IF($A108="","",INDEX(Реестр!$U$2:$U$401,MATCH($A108,Реестр!$V$2:$V$401,0)))</f>
        <v>Здравствуйте! В данных организации «ООО «Линия Монтаж»» обнаружены ошибки: ОГРН не указан. Просим проверить и прислать исправленную информацию.</v>
      </c>
    </row>
    <row r="109" customFormat="false" ht="15" hidden="false" customHeight="false" outlineLevel="0" collapsed="false">
      <c r="A109" s="21" t="n">
        <f aca="false">IF(ROWS(A$5:A109)&lt;=MAX(Реестр!$V$2:$V$401),ROWS(A$5:A109),"")</f>
        <v>105</v>
      </c>
      <c r="B109" s="24" t="str">
        <f aca="false">IF($A109="","",INDEX(Реестр!$B$2:$B$401,MATCH($A109,Реестр!$V$2:$V$401,0)))</f>
        <v>ООО «Атлант Фуд»</v>
      </c>
      <c r="C109" s="24" t="str">
        <f aca="false">IF($A109="","",INDEX(Реестр!$C$2:$C$401,MATCH($A109,Реестр!$V$2:$V$401,0)))</f>
        <v>6101420330</v>
      </c>
      <c r="D109" s="24" t="str">
        <f aca="false">IF($A109="","",INDEX(Реестр!$T$2:$T$401,MATCH($A109,Реестр!$V$2:$V$401,0)))</f>
        <v>Email: неверный формат</v>
      </c>
      <c r="E109" s="21" t="n">
        <f aca="false">IF($A109="","",INDEX(Реестр!$R$2:$R$401,MATCH($A109,Реестр!$V$2:$V$401,0)))</f>
        <v>1</v>
      </c>
      <c r="F109" s="24" t="str">
        <f aca="false">IF($A109="","",INDEX(Реестр!$U$2:$U$401,MATCH($A109,Реестр!$V$2:$V$401,0)))</f>
        <v>Здравствуйте! В данных организации «ООО «Атлант Фуд»» обнаружены ошибки: Email: неверный формат. Просим проверить и прислать исправленную информацию.</v>
      </c>
    </row>
    <row r="110" customFormat="false" ht="15" hidden="false" customHeight="false" outlineLevel="0" collapsed="false">
      <c r="A110" s="21" t="n">
        <f aca="false">IF(ROWS(A$5:A110)&lt;=MAX(Реестр!$V$2:$V$401),ROWS(A$5:A110),"")</f>
        <v>106</v>
      </c>
      <c r="B110" s="24" t="str">
        <f aca="false">IF($A110="","",INDEX(Реестр!$B$2:$B$401,MATCH($A110,Реестр!$V$2:$V$401,0)))</f>
        <v>АО «Навигатор Трейд»</v>
      </c>
      <c r="C110" s="24" t="str">
        <f aca="false">IF($A110="","",INDEX(Реестр!$C$2:$C$401,MATCH($A110,Реестр!$V$2:$V$401,0)))</f>
        <v>5009941442</v>
      </c>
      <c r="D110" s="24" t="str">
        <f aca="false">IF($A110="","",INDEX(Реестр!$T$2:$T$401,MATCH($A110,Реестр!$V$2:$V$401,0)))</f>
        <v>Нет адреса.</v>
      </c>
      <c r="E110" s="21" t="n">
        <f aca="false">IF($A110="","",INDEX(Реестр!$R$2:$R$401,MATCH($A110,Реестр!$V$2:$V$401,0)))</f>
        <v>1</v>
      </c>
      <c r="F110" s="24" t="str">
        <f aca="false">IF($A110="","",INDEX(Реестр!$U$2:$U$401,MATCH($A110,Реестр!$V$2:$V$401,0)))</f>
        <v>Здравствуйте! В данных организации «АО «Навигатор Трейд»» обнаружены ошибки: Нет адреса.. Просим проверить и прислать исправленную информацию.</v>
      </c>
    </row>
    <row r="111" customFormat="false" ht="15" hidden="false" customHeight="false" outlineLevel="0" collapsed="false">
      <c r="A111" s="21" t="n">
        <f aca="false">IF(ROWS(A$5:A111)&lt;=MAX(Реестр!$V$2:$V$401),ROWS(A$5:A111),"")</f>
        <v>107</v>
      </c>
      <c r="B111" s="24" t="str">
        <f aca="false">IF($A111="","",INDEX(Реестр!$B$2:$B$401,MATCH($A111,Реестр!$V$2:$V$401,0)))</f>
        <v>АО «Меридиан Строй»</v>
      </c>
      <c r="C111" s="24" t="str">
        <f aca="false">IF($A111="","",INDEX(Реестр!$C$2:$C$401,MATCH($A111,Реестр!$V$2:$V$401,0)))</f>
        <v>7713992797</v>
      </c>
      <c r="D111" s="24" t="str">
        <f aca="false">IF($A111="","",INDEX(Реестр!$T$2:$T$401,MATCH($A111,Реестр!$V$2:$V$401,0)))</f>
        <v>ИНН: неверная контрольная цифра</v>
      </c>
      <c r="E111" s="21" t="n">
        <f aca="false">IF($A111="","",INDEX(Реестр!$R$2:$R$401,MATCH($A111,Реестр!$V$2:$V$401,0)))</f>
        <v>1</v>
      </c>
      <c r="F111" s="24" t="str">
        <f aca="false">IF($A111="","",INDEX(Реестр!$U$2:$U$401,MATCH($A111,Реестр!$V$2:$V$401,0)))</f>
        <v>Здравствуйте! В данных организации «АО «Меридиан Строй»» обнаружены ошибки: ИНН: неверная контрольная цифра. Просим проверить и прислать исправленную информацию.</v>
      </c>
    </row>
    <row r="112" customFormat="false" ht="15" hidden="false" customHeight="false" outlineLevel="0" collapsed="false">
      <c r="A112" s="21" t="n">
        <f aca="false">IF(ROWS(A$5:A112)&lt;=MAX(Реестр!$V$2:$V$401),ROWS(A$5:A112),"")</f>
        <v>108</v>
      </c>
      <c r="B112" s="24" t="str">
        <f aca="false">IF($A112="","",INDEX(Реестр!$B$2:$B$401,MATCH($A112,Реестр!$V$2:$V$401,0)))</f>
        <v>ООО «Горизонт Энерго»</v>
      </c>
      <c r="C112" s="24" t="str">
        <f aca="false">IF($A112="","",INDEX(Реестр!$C$2:$C$401,MATCH($A112,Реестр!$V$2:$V$401,0)))</f>
        <v>7740293753</v>
      </c>
      <c r="D112" s="24" t="str">
        <f aca="false">IF($A112="","",INDEX(Реестр!$T$2:$T$401,MATCH($A112,Реестр!$V$2:$V$401,0)))</f>
        <v>Телефон: неверный формат</v>
      </c>
      <c r="E112" s="21" t="n">
        <f aca="false">IF($A112="","",INDEX(Реестр!$R$2:$R$401,MATCH($A112,Реестр!$V$2:$V$401,0)))</f>
        <v>1</v>
      </c>
      <c r="F112" s="24" t="str">
        <f aca="false">IF($A112="","",INDEX(Реестр!$U$2:$U$401,MATCH($A112,Реестр!$V$2:$V$401,0)))</f>
        <v>Здравствуйте! В данных организации «ООО «Горизонт Энерго»» обнаружены ошибки: Телефон: неверный формат. Просим проверить и прислать исправленную информацию.</v>
      </c>
    </row>
    <row r="113" customFormat="false" ht="15" hidden="false" customHeight="false" outlineLevel="0" collapsed="false">
      <c r="A113" s="21" t="n">
        <f aca="false">IF(ROWS(A$5:A113)&lt;=MAX(Реестр!$V$2:$V$401),ROWS(A$5:A113),"")</f>
        <v>109</v>
      </c>
      <c r="B113" s="24" t="str">
        <f aca="false">IF($A113="","",INDEX(Реестр!$B$2:$B$401,MATCH($A113,Реестр!$V$2:$V$401,0)))</f>
        <v>ООО «Линия Транс»</v>
      </c>
      <c r="C113" s="24" t="n">
        <f aca="false">IF($A113="","",INDEX(Реестр!$C$2:$C$401,MATCH($A113,Реестр!$V$2:$V$401,0)))</f>
        <v>0</v>
      </c>
      <c r="D113" s="24" t="str">
        <f aca="false">IF($A113="","",INDEX(Реестр!$T$2:$T$401,MATCH($A113,Реестр!$V$2:$V$401,0)))</f>
        <v>ИНН не указан; КПП: код региона не совпадает с ИНН</v>
      </c>
      <c r="E113" s="21" t="n">
        <f aca="false">IF($A113="","",INDEX(Реестр!$R$2:$R$401,MATCH($A113,Реестр!$V$2:$V$401,0)))</f>
        <v>2</v>
      </c>
      <c r="F113" s="24" t="str">
        <f aca="false">IF($A113="","",INDEX(Реестр!$U$2:$U$401,MATCH($A113,Реестр!$V$2:$V$401,0)))</f>
        <v>Здравствуйте! В данных организации «ООО «Линия Транс»» обнаружены ошибки: ИНН не указан; КПП: код региона не совпадает с ИНН. Просим проверить и прислать исправленную информацию.</v>
      </c>
    </row>
    <row r="114" customFormat="false" ht="15" hidden="false" customHeight="false" outlineLevel="0" collapsed="false">
      <c r="A114" s="21" t="n">
        <f aca="false">IF(ROWS(A$5:A114)&lt;=MAX(Реестр!$V$2:$V$401),ROWS(A$5:A114),"")</f>
        <v>110</v>
      </c>
      <c r="B114" s="24" t="str">
        <f aca="false">IF($A114="","",INDEX(Реестр!$B$2:$B$401,MATCH($A114,Реестр!$V$2:$V$401,0)))</f>
        <v>ООО «Горизонт Логистик»</v>
      </c>
      <c r="C114" s="24" t="str">
        <f aca="false">IF($A114="","",INDEX(Реестр!$C$2:$C$401,MATCH($A114,Реестр!$V$2:$V$401,0)))</f>
        <v>9107848209</v>
      </c>
      <c r="D114" s="24" t="str">
        <f aca="false">IF($A114="","",INDEX(Реестр!$T$2:$T$401,MATCH($A114,Реестр!$V$2:$V$401,0)))</f>
        <v>Дубликат ИНН в реестре</v>
      </c>
      <c r="E114" s="21" t="n">
        <f aca="false">IF($A114="","",INDEX(Реестр!$R$2:$R$401,MATCH($A114,Реестр!$V$2:$V$401,0)))</f>
        <v>1</v>
      </c>
      <c r="F114" s="24" t="str">
        <f aca="false">IF($A114="","",INDEX(Реестр!$U$2:$U$401,MATCH($A114,Реестр!$V$2:$V$401,0)))</f>
        <v>Здравствуйте! В данных организации «ООО «Горизонт Логистик»» обнаружены ошибки: Дубликат ИНН в реестре. Просим проверить и прислать исправленную информацию.</v>
      </c>
    </row>
    <row r="115" customFormat="false" ht="15" hidden="false" customHeight="false" outlineLevel="0" collapsed="false">
      <c r="A115" s="21" t="n">
        <f aca="false">IF(ROWS(A$5:A115)&lt;=MAX(Реестр!$V$2:$V$401),ROWS(A$5:A115),"")</f>
        <v>111</v>
      </c>
      <c r="B115" s="24" t="str">
        <f aca="false">IF($A115="","",INDEX(Реестр!$B$2:$B$401,MATCH($A115,Реестр!$V$2:$V$401,0)))</f>
        <v>ООО «Эталон Строй»</v>
      </c>
      <c r="C115" s="24" t="str">
        <f aca="false">IF($A115="","",INDEX(Реестр!$C$2:$C$401,MATCH($A115,Реестр!$V$2:$V$401,0)))</f>
        <v>6138818329</v>
      </c>
      <c r="D115" s="24" t="str">
        <f aca="false">IF($A115="","",INDEX(Реестр!$T$2:$T$401,MATCH($A115,Реестр!$V$2:$V$401,0)))</f>
        <v>ОГРН: неверная контрольная цифра</v>
      </c>
      <c r="E115" s="21" t="n">
        <f aca="false">IF($A115="","",INDEX(Реестр!$R$2:$R$401,MATCH($A115,Реестр!$V$2:$V$401,0)))</f>
        <v>1</v>
      </c>
      <c r="F115" s="24" t="str">
        <f aca="false">IF($A115="","",INDEX(Реестр!$U$2:$U$401,MATCH($A115,Реестр!$V$2:$V$401,0)))</f>
        <v>Здравствуйте! В данных организации «ООО «Эталон Строй»» обнаружены ошибки: ОГРН: неверная контрольная цифра. Просим проверить и прислать исправленную информацию.</v>
      </c>
    </row>
    <row r="116" customFormat="false" ht="15" hidden="false" customHeight="false" outlineLevel="0" collapsed="false">
      <c r="A116" s="21" t="n">
        <f aca="false">IF(ROWS(A$5:A116)&lt;=MAX(Реестр!$V$2:$V$401),ROWS(A$5:A116),"")</f>
        <v>112</v>
      </c>
      <c r="B116" s="24" t="str">
        <f aca="false">IF($A116="","",INDEX(Реестр!$B$2:$B$401,MATCH($A116,Реестр!$V$2:$V$401,0)))</f>
        <v>ООО «Берег Софт»</v>
      </c>
      <c r="C116" s="24" t="str">
        <f aca="false">IF($A116="","",INDEX(Реестр!$C$2:$C$401,MATCH($A116,Реестр!$V$2:$V$401,0)))</f>
        <v>7844594963</v>
      </c>
      <c r="D116" s="24" t="str">
        <f aca="false">IF($A116="","",INDEX(Реестр!$T$2:$T$401,MATCH($A116,Реестр!$V$2:$V$401,0)))</f>
        <v>Нет контактного лица.</v>
      </c>
      <c r="E116" s="21" t="n">
        <f aca="false">IF($A116="","",INDEX(Реестр!$R$2:$R$401,MATCH($A116,Реестр!$V$2:$V$401,0)))</f>
        <v>1</v>
      </c>
      <c r="F116" s="24" t="str">
        <f aca="false">IF($A116="","",INDEX(Реестр!$U$2:$U$401,MATCH($A116,Реестр!$V$2:$V$401,0)))</f>
        <v>Здравствуйте! В данных организации «ООО «Берег Софт»» обнаружены ошибки: Нет контактного лица.. Просим проверить и прислать исправленную информацию.</v>
      </c>
    </row>
    <row r="117" customFormat="false" ht="15" hidden="false" customHeight="false" outlineLevel="0" collapsed="false">
      <c r="A117" s="21" t="n">
        <f aca="false">IF(ROWS(A$5:A117)&lt;=MAX(Реестр!$V$2:$V$401),ROWS(A$5:A117),"")</f>
        <v>113</v>
      </c>
      <c r="B117" s="24" t="str">
        <f aca="false">IF($A117="","",INDEX(Реестр!$B$2:$B$401,MATCH($A117,Реестр!$V$2:$V$401,0)))</f>
        <v>ООО «Феникс Консалт»</v>
      </c>
      <c r="C117" s="24" t="str">
        <f aca="false">IF($A117="","",INDEX(Реестр!$C$2:$C$401,MATCH($A117,Реестр!$V$2:$V$401,0)))</f>
        <v>5215634817</v>
      </c>
      <c r="D117" s="24" t="str">
        <f aca="false">IF($A117="","",INDEX(Реестр!$T$2:$T$401,MATCH($A117,Реестр!$V$2:$V$401,0)))</f>
        <v>ОГРН: неверная контрольная цифра</v>
      </c>
      <c r="E117" s="21" t="n">
        <f aca="false">IF($A117="","",INDEX(Реестр!$R$2:$R$401,MATCH($A117,Реестр!$V$2:$V$401,0)))</f>
        <v>1</v>
      </c>
      <c r="F117" s="24" t="str">
        <f aca="false">IF($A117="","",INDEX(Реестр!$U$2:$U$401,MATCH($A117,Реестр!$V$2:$V$401,0)))</f>
        <v>Здравствуйте! В данных организации «ООО «Феникс Консалт»» обнаружены ошибки: ОГРН: неверная контрольная цифра. Просим проверить и прислать исправленную информацию.</v>
      </c>
    </row>
    <row r="118" customFormat="false" ht="15" hidden="false" customHeight="false" outlineLevel="0" collapsed="false">
      <c r="A118" s="21" t="n">
        <f aca="false">IF(ROWS(A$5:A118)&lt;=MAX(Реестр!$V$2:$V$401),ROWS(A$5:A118),"")</f>
        <v>114</v>
      </c>
      <c r="B118" s="24" t="str">
        <f aca="false">IF($A118="","",INDEX(Реестр!$B$2:$B$401,MATCH($A118,Реестр!$V$2:$V$401,0)))</f>
        <v>ООО «Эталон Пласт»</v>
      </c>
      <c r="C118" s="24" t="str">
        <f aca="false">IF($A118="","",INDEX(Реестр!$C$2:$C$401,MATCH($A118,Реестр!$V$2:$V$401,0)))</f>
        <v>66349585498</v>
      </c>
      <c r="D118" s="24" t="str">
        <f aca="false">IF($A118="","",INDEX(Реестр!$T$2:$T$401,MATCH($A118,Реестр!$V$2:$V$401,0)))</f>
        <v>ИНН: должно быть 10 цифр</v>
      </c>
      <c r="E118" s="21" t="n">
        <f aca="false">IF($A118="","",INDEX(Реестр!$R$2:$R$401,MATCH($A118,Реестр!$V$2:$V$401,0)))</f>
        <v>1</v>
      </c>
      <c r="F118" s="24" t="str">
        <f aca="false">IF($A118="","",INDEX(Реестр!$U$2:$U$401,MATCH($A118,Реестр!$V$2:$V$401,0)))</f>
        <v>Здравствуйте! В данных организации «ООО «Эталон Пласт»» обнаружены ошибки: ИНН: должно быть 10 цифр. Просим проверить и прислать исправленную информацию.</v>
      </c>
    </row>
    <row r="119" customFormat="false" ht="15" hidden="false" customHeight="false" outlineLevel="0" collapsed="false">
      <c r="A119" s="21" t="n">
        <f aca="false">IF(ROWS(A$5:A119)&lt;=MAX(Реестр!$V$2:$V$401),ROWS(A$5:A119),"")</f>
        <v>115</v>
      </c>
      <c r="B119" s="24" t="str">
        <f aca="false">IF($A119="","",INDEX(Реестр!$B$2:$B$401,MATCH($A119,Реестр!$V$2:$V$401,0)))</f>
        <v>АО «Эталон Транс»</v>
      </c>
      <c r="C119" s="24" t="str">
        <f aca="false">IF($A119="","",INDEX(Реестр!$C$2:$C$401,MATCH($A119,Реестр!$V$2:$V$401,0)))</f>
        <v>9219149640</v>
      </c>
      <c r="D119" s="24" t="str">
        <f aca="false">IF($A119="","",INDEX(Реестр!$T$2:$T$401,MATCH($A119,Реестр!$V$2:$V$401,0)))</f>
        <v>Email: неверный формат</v>
      </c>
      <c r="E119" s="21" t="n">
        <f aca="false">IF($A119="","",INDEX(Реестр!$R$2:$R$401,MATCH($A119,Реестр!$V$2:$V$401,0)))</f>
        <v>1</v>
      </c>
      <c r="F119" s="24" t="str">
        <f aca="false">IF($A119="","",INDEX(Реестр!$U$2:$U$401,MATCH($A119,Реестр!$V$2:$V$401,0)))</f>
        <v>Здравствуйте! В данных организации «АО «Эталон Транс»» обнаружены ошибки: Email: неверный формат. Просим проверить и прислать исправленную информацию.</v>
      </c>
    </row>
    <row r="120" customFormat="false" ht="15" hidden="false" customHeight="false" outlineLevel="0" collapsed="false">
      <c r="A120" s="21" t="n">
        <f aca="false">IF(ROWS(A$5:A120)&lt;=MAX(Реестр!$V$2:$V$401),ROWS(A$5:A120),"")</f>
        <v>116</v>
      </c>
      <c r="B120" s="24" t="str">
        <f aca="false">IF($A120="","",INDEX(Реестр!$B$2:$B$401,MATCH($A120,Реестр!$V$2:$V$401,0)))</f>
        <v>ООО «Импульс Софт»</v>
      </c>
      <c r="C120" s="24" t="str">
        <f aca="false">IF($A120="","",INDEX(Реестр!$C$2:$C$401,MATCH($A120,Реестр!$V$2:$V$401,0)))</f>
        <v>7845797878</v>
      </c>
      <c r="D120" s="24" t="str">
        <f aca="false">IF($A120="","",INDEX(Реестр!$T$2:$T$401,MATCH($A120,Реестр!$V$2:$V$401,0)))</f>
        <v>Email: неверный формат</v>
      </c>
      <c r="E120" s="21" t="n">
        <f aca="false">IF($A120="","",INDEX(Реестр!$R$2:$R$401,MATCH($A120,Реестр!$V$2:$V$401,0)))</f>
        <v>1</v>
      </c>
      <c r="F120" s="24" t="str">
        <f aca="false">IF($A120="","",INDEX(Реестр!$U$2:$U$401,MATCH($A120,Реестр!$V$2:$V$401,0)))</f>
        <v>Здравствуйте! В данных организации «ООО «Импульс Софт»» обнаружены ошибки: Email: неверный формат. Просим проверить и прислать исправленную информацию.</v>
      </c>
    </row>
    <row r="121" customFormat="false" ht="15" hidden="false" customHeight="false" outlineLevel="0" collapsed="false">
      <c r="A121" s="21" t="n">
        <f aca="false">IF(ROWS(A$5:A121)&lt;=MAX(Реестр!$V$2:$V$401),ROWS(A$5:A121),"")</f>
        <v>117</v>
      </c>
      <c r="B121" s="24" t="str">
        <f aca="false">IF($A121="","",INDEX(Реестр!$B$2:$B$401,MATCH($A121,Реестр!$V$2:$V$401,0)))</f>
        <v>АО «Юпитер Агро»</v>
      </c>
      <c r="C121" s="24" t="str">
        <f aca="false">IF($A121="","",INDEX(Реестр!$C$2:$C$401,MATCH($A121,Реестр!$V$2:$V$401,0)))</f>
        <v>6612961636</v>
      </c>
      <c r="D121" s="24" t="str">
        <f aca="false">IF($A121="","",INDEX(Реестр!$T$2:$T$401,MATCH($A121,Реестр!$V$2:$V$401,0)))</f>
        <v>Дубликат ИНН в реестре</v>
      </c>
      <c r="E121" s="21" t="n">
        <f aca="false">IF($A121="","",INDEX(Реестр!$R$2:$R$401,MATCH($A121,Реестр!$V$2:$V$401,0)))</f>
        <v>1</v>
      </c>
      <c r="F121" s="24" t="str">
        <f aca="false">IF($A121="","",INDEX(Реестр!$U$2:$U$401,MATCH($A121,Реестр!$V$2:$V$401,0)))</f>
        <v>Здравствуйте! В данных организации «АО «Юпитер Агро»» обнаружены ошибки: Дубликат ИНН в реестре. Просим проверить и прислать исправленную информацию.</v>
      </c>
    </row>
    <row r="122" customFormat="false" ht="15" hidden="false" customHeight="false" outlineLevel="0" collapsed="false">
      <c r="A122" s="21" t="n">
        <f aca="false">IF(ROWS(A$5:A122)&lt;=MAX(Реестр!$V$2:$V$401),ROWS(A$5:A122),"")</f>
        <v>118</v>
      </c>
      <c r="B122" s="24" t="str">
        <f aca="false">IF($A122="","",INDEX(Реестр!$B$2:$B$401,MATCH($A122,Реестр!$V$2:$V$401,0)))</f>
        <v>ООО «Меридиан Сервис»</v>
      </c>
      <c r="C122" s="24" t="str">
        <f aca="false">IF($A122="","",INDEX(Реестр!$C$2:$C$401,MATCH($A122,Реестр!$V$2:$V$401,0)))</f>
        <v>7716205212</v>
      </c>
      <c r="D122" s="24" t="str">
        <f aca="false">IF($A122="","",INDEX(Реестр!$T$2:$T$401,MATCH($A122,Реестр!$V$2:$V$401,0)))</f>
        <v>ИНН: неверная контрольная цифра</v>
      </c>
      <c r="E122" s="21" t="n">
        <f aca="false">IF($A122="","",INDEX(Реестр!$R$2:$R$401,MATCH($A122,Реестр!$V$2:$V$401,0)))</f>
        <v>1</v>
      </c>
      <c r="F122" s="24" t="str">
        <f aca="false">IF($A122="","",INDEX(Реестр!$U$2:$U$401,MATCH($A122,Реестр!$V$2:$V$401,0)))</f>
        <v>Здравствуйте! В данных организации «ООО «Меридиан Сервис»» обнаружены ошибки: ИНН: неверная контрольная цифра. Просим проверить и прислать исправленную информацию.</v>
      </c>
    </row>
    <row r="123" customFormat="false" ht="15" hidden="false" customHeight="false" outlineLevel="0" collapsed="false">
      <c r="A123" s="21" t="str">
        <f aca="false">IF(ROWS(A$5:A123)&lt;=MAX(Реестр!$V$2:$V$401),ROWS(A$5:A123),"")</f>
        <v/>
      </c>
      <c r="B123" s="24" t="str">
        <f aca="false">IF($A123="","",INDEX(Реестр!$B$2:$B$401,MATCH($A123,Реестр!$V$2:$V$401,0)))</f>
        <v/>
      </c>
      <c r="C123" s="24" t="str">
        <f aca="false">IF($A123="","",INDEX(Реестр!$C$2:$C$401,MATCH($A123,Реестр!$V$2:$V$401,0)))</f>
        <v/>
      </c>
      <c r="D123" s="24" t="str">
        <f aca="false">IF($A123="","",INDEX(Реестр!$T$2:$T$401,MATCH($A123,Реестр!$V$2:$V$401,0)))</f>
        <v/>
      </c>
      <c r="E123" s="21" t="str">
        <f aca="false">IF($A123="","",INDEX(Реестр!$R$2:$R$401,MATCH($A123,Реестр!$V$2:$V$401,0)))</f>
        <v/>
      </c>
      <c r="F123" s="24" t="str">
        <f aca="false">IF($A123="","",INDEX(Реестр!$U$2:$U$401,MATCH($A123,Реестр!$V$2:$V$401,0)))</f>
        <v/>
      </c>
    </row>
    <row r="124" customFormat="false" ht="15" hidden="false" customHeight="false" outlineLevel="0" collapsed="false">
      <c r="A124" s="21" t="str">
        <f aca="false">IF(ROWS(A$5:A124)&lt;=MAX(Реестр!$V$2:$V$401),ROWS(A$5:A124),"")</f>
        <v/>
      </c>
      <c r="B124" s="24" t="str">
        <f aca="false">IF($A124="","",INDEX(Реестр!$B$2:$B$401,MATCH($A124,Реестр!$V$2:$V$401,0)))</f>
        <v/>
      </c>
      <c r="C124" s="24" t="str">
        <f aca="false">IF($A124="","",INDEX(Реестр!$C$2:$C$401,MATCH($A124,Реестр!$V$2:$V$401,0)))</f>
        <v/>
      </c>
      <c r="D124" s="24" t="str">
        <f aca="false">IF($A124="","",INDEX(Реестр!$T$2:$T$401,MATCH($A124,Реестр!$V$2:$V$401,0)))</f>
        <v/>
      </c>
      <c r="E124" s="21" t="str">
        <f aca="false">IF($A124="","",INDEX(Реестр!$R$2:$R$401,MATCH($A124,Реестр!$V$2:$V$401,0)))</f>
        <v/>
      </c>
      <c r="F124" s="24" t="str">
        <f aca="false">IF($A124="","",INDEX(Реестр!$U$2:$U$401,MATCH($A124,Реестр!$V$2:$V$401,0)))</f>
        <v/>
      </c>
    </row>
    <row r="125" customFormat="false" ht="15" hidden="false" customHeight="false" outlineLevel="0" collapsed="false">
      <c r="A125" s="21" t="str">
        <f aca="false">IF(ROWS(A$5:A125)&lt;=MAX(Реестр!$V$2:$V$401),ROWS(A$5:A125),"")</f>
        <v/>
      </c>
      <c r="B125" s="24" t="str">
        <f aca="false">IF($A125="","",INDEX(Реестр!$B$2:$B$401,MATCH($A125,Реестр!$V$2:$V$401,0)))</f>
        <v/>
      </c>
      <c r="C125" s="24" t="str">
        <f aca="false">IF($A125="","",INDEX(Реестр!$C$2:$C$401,MATCH($A125,Реестр!$V$2:$V$401,0)))</f>
        <v/>
      </c>
      <c r="D125" s="24" t="str">
        <f aca="false">IF($A125="","",INDEX(Реестр!$T$2:$T$401,MATCH($A125,Реестр!$V$2:$V$401,0)))</f>
        <v/>
      </c>
      <c r="E125" s="21" t="str">
        <f aca="false">IF($A125="","",INDEX(Реестр!$R$2:$R$401,MATCH($A125,Реестр!$V$2:$V$401,0)))</f>
        <v/>
      </c>
      <c r="F125" s="24" t="str">
        <f aca="false">IF($A125="","",INDEX(Реестр!$U$2:$U$401,MATCH($A125,Реестр!$V$2:$V$401,0)))</f>
        <v/>
      </c>
    </row>
    <row r="126" customFormat="false" ht="15" hidden="false" customHeight="false" outlineLevel="0" collapsed="false">
      <c r="A126" s="21" t="str">
        <f aca="false">IF(ROWS(A$5:A126)&lt;=MAX(Реестр!$V$2:$V$401),ROWS(A$5:A126),"")</f>
        <v/>
      </c>
      <c r="B126" s="24" t="str">
        <f aca="false">IF($A126="","",INDEX(Реестр!$B$2:$B$401,MATCH($A126,Реестр!$V$2:$V$401,0)))</f>
        <v/>
      </c>
      <c r="C126" s="24" t="str">
        <f aca="false">IF($A126="","",INDEX(Реестр!$C$2:$C$401,MATCH($A126,Реестр!$V$2:$V$401,0)))</f>
        <v/>
      </c>
      <c r="D126" s="24" t="str">
        <f aca="false">IF($A126="","",INDEX(Реестр!$T$2:$T$401,MATCH($A126,Реестр!$V$2:$V$401,0)))</f>
        <v/>
      </c>
      <c r="E126" s="21" t="str">
        <f aca="false">IF($A126="","",INDEX(Реестр!$R$2:$R$401,MATCH($A126,Реестр!$V$2:$V$401,0)))</f>
        <v/>
      </c>
      <c r="F126" s="24" t="str">
        <f aca="false">IF($A126="","",INDEX(Реестр!$U$2:$U$401,MATCH($A126,Реестр!$V$2:$V$401,0)))</f>
        <v/>
      </c>
    </row>
    <row r="127" customFormat="false" ht="15" hidden="false" customHeight="false" outlineLevel="0" collapsed="false">
      <c r="A127" s="21" t="str">
        <f aca="false">IF(ROWS(A$5:A127)&lt;=MAX(Реестр!$V$2:$V$401),ROWS(A$5:A127),"")</f>
        <v/>
      </c>
      <c r="B127" s="24" t="str">
        <f aca="false">IF($A127="","",INDEX(Реестр!$B$2:$B$401,MATCH($A127,Реестр!$V$2:$V$401,0)))</f>
        <v/>
      </c>
      <c r="C127" s="24" t="str">
        <f aca="false">IF($A127="","",INDEX(Реестр!$C$2:$C$401,MATCH($A127,Реестр!$V$2:$V$401,0)))</f>
        <v/>
      </c>
      <c r="D127" s="24" t="str">
        <f aca="false">IF($A127="","",INDEX(Реестр!$T$2:$T$401,MATCH($A127,Реестр!$V$2:$V$401,0)))</f>
        <v/>
      </c>
      <c r="E127" s="21" t="str">
        <f aca="false">IF($A127="","",INDEX(Реестр!$R$2:$R$401,MATCH($A127,Реестр!$V$2:$V$401,0)))</f>
        <v/>
      </c>
      <c r="F127" s="24" t="str">
        <f aca="false">IF($A127="","",INDEX(Реестр!$U$2:$U$401,MATCH($A127,Реестр!$V$2:$V$401,0)))</f>
        <v/>
      </c>
    </row>
    <row r="128" customFormat="false" ht="15" hidden="false" customHeight="false" outlineLevel="0" collapsed="false">
      <c r="A128" s="21" t="str">
        <f aca="false">IF(ROWS(A$5:A128)&lt;=MAX(Реестр!$V$2:$V$401),ROWS(A$5:A128),"")</f>
        <v/>
      </c>
      <c r="B128" s="24" t="str">
        <f aca="false">IF($A128="","",INDEX(Реестр!$B$2:$B$401,MATCH($A128,Реестр!$V$2:$V$401,0)))</f>
        <v/>
      </c>
      <c r="C128" s="24" t="str">
        <f aca="false">IF($A128="","",INDEX(Реестр!$C$2:$C$401,MATCH($A128,Реестр!$V$2:$V$401,0)))</f>
        <v/>
      </c>
      <c r="D128" s="24" t="str">
        <f aca="false">IF($A128="","",INDEX(Реестр!$T$2:$T$401,MATCH($A128,Реестр!$V$2:$V$401,0)))</f>
        <v/>
      </c>
      <c r="E128" s="21" t="str">
        <f aca="false">IF($A128="","",INDEX(Реестр!$R$2:$R$401,MATCH($A128,Реестр!$V$2:$V$401,0)))</f>
        <v/>
      </c>
      <c r="F128" s="24" t="str">
        <f aca="false">IF($A128="","",INDEX(Реестр!$U$2:$U$401,MATCH($A128,Реестр!$V$2:$V$401,0)))</f>
        <v/>
      </c>
    </row>
    <row r="129" customFormat="false" ht="15" hidden="false" customHeight="false" outlineLevel="0" collapsed="false">
      <c r="A129" s="21" t="str">
        <f aca="false">IF(ROWS(A$5:A129)&lt;=MAX(Реестр!$V$2:$V$401),ROWS(A$5:A129),"")</f>
        <v/>
      </c>
      <c r="B129" s="24" t="str">
        <f aca="false">IF($A129="","",INDEX(Реестр!$B$2:$B$401,MATCH($A129,Реестр!$V$2:$V$401,0)))</f>
        <v/>
      </c>
      <c r="C129" s="24" t="str">
        <f aca="false">IF($A129="","",INDEX(Реестр!$C$2:$C$401,MATCH($A129,Реестр!$V$2:$V$401,0)))</f>
        <v/>
      </c>
      <c r="D129" s="24" t="str">
        <f aca="false">IF($A129="","",INDEX(Реестр!$T$2:$T$401,MATCH($A129,Реестр!$V$2:$V$401,0)))</f>
        <v/>
      </c>
      <c r="E129" s="21" t="str">
        <f aca="false">IF($A129="","",INDEX(Реестр!$R$2:$R$401,MATCH($A129,Реестр!$V$2:$V$401,0)))</f>
        <v/>
      </c>
      <c r="F129" s="24" t="str">
        <f aca="false">IF($A129="","",INDEX(Реестр!$U$2:$U$401,MATCH($A129,Реестр!$V$2:$V$401,0)))</f>
        <v/>
      </c>
    </row>
    <row r="130" customFormat="false" ht="15" hidden="false" customHeight="false" outlineLevel="0" collapsed="false">
      <c r="A130" s="21" t="str">
        <f aca="false">IF(ROWS(A$5:A130)&lt;=MAX(Реестр!$V$2:$V$401),ROWS(A$5:A130),"")</f>
        <v/>
      </c>
      <c r="B130" s="24" t="str">
        <f aca="false">IF($A130="","",INDEX(Реестр!$B$2:$B$401,MATCH($A130,Реестр!$V$2:$V$401,0)))</f>
        <v/>
      </c>
      <c r="C130" s="24" t="str">
        <f aca="false">IF($A130="","",INDEX(Реестр!$C$2:$C$401,MATCH($A130,Реестр!$V$2:$V$401,0)))</f>
        <v/>
      </c>
      <c r="D130" s="24" t="str">
        <f aca="false">IF($A130="","",INDEX(Реестр!$T$2:$T$401,MATCH($A130,Реестр!$V$2:$V$401,0)))</f>
        <v/>
      </c>
      <c r="E130" s="21" t="str">
        <f aca="false">IF($A130="","",INDEX(Реестр!$R$2:$R$401,MATCH($A130,Реестр!$V$2:$V$401,0)))</f>
        <v/>
      </c>
      <c r="F130" s="24" t="str">
        <f aca="false">IF($A130="","",INDEX(Реестр!$U$2:$U$401,MATCH($A130,Реестр!$V$2:$V$401,0)))</f>
        <v/>
      </c>
    </row>
    <row r="131" customFormat="false" ht="15" hidden="false" customHeight="false" outlineLevel="0" collapsed="false">
      <c r="A131" s="21" t="str">
        <f aca="false">IF(ROWS(A$5:A131)&lt;=MAX(Реестр!$V$2:$V$401),ROWS(A$5:A131),"")</f>
        <v/>
      </c>
      <c r="B131" s="24" t="str">
        <f aca="false">IF($A131="","",INDEX(Реестр!$B$2:$B$401,MATCH($A131,Реестр!$V$2:$V$401,0)))</f>
        <v/>
      </c>
      <c r="C131" s="24" t="str">
        <f aca="false">IF($A131="","",INDEX(Реестр!$C$2:$C$401,MATCH($A131,Реестр!$V$2:$V$401,0)))</f>
        <v/>
      </c>
      <c r="D131" s="24" t="str">
        <f aca="false">IF($A131="","",INDEX(Реестр!$T$2:$T$401,MATCH($A131,Реестр!$V$2:$V$401,0)))</f>
        <v/>
      </c>
      <c r="E131" s="21" t="str">
        <f aca="false">IF($A131="","",INDEX(Реестр!$R$2:$R$401,MATCH($A131,Реестр!$V$2:$V$401,0)))</f>
        <v/>
      </c>
      <c r="F131" s="24" t="str">
        <f aca="false">IF($A131="","",INDEX(Реестр!$U$2:$U$401,MATCH($A131,Реестр!$V$2:$V$401,0)))</f>
        <v/>
      </c>
    </row>
    <row r="132" customFormat="false" ht="15" hidden="false" customHeight="false" outlineLevel="0" collapsed="false">
      <c r="A132" s="21" t="str">
        <f aca="false">IF(ROWS(A$5:A132)&lt;=MAX(Реестр!$V$2:$V$401),ROWS(A$5:A132),"")</f>
        <v/>
      </c>
      <c r="B132" s="24" t="str">
        <f aca="false">IF($A132="","",INDEX(Реестр!$B$2:$B$401,MATCH($A132,Реестр!$V$2:$V$401,0)))</f>
        <v/>
      </c>
      <c r="C132" s="24" t="str">
        <f aca="false">IF($A132="","",INDEX(Реестр!$C$2:$C$401,MATCH($A132,Реестр!$V$2:$V$401,0)))</f>
        <v/>
      </c>
      <c r="D132" s="24" t="str">
        <f aca="false">IF($A132="","",INDEX(Реестр!$T$2:$T$401,MATCH($A132,Реестр!$V$2:$V$401,0)))</f>
        <v/>
      </c>
      <c r="E132" s="21" t="str">
        <f aca="false">IF($A132="","",INDEX(Реестр!$R$2:$R$401,MATCH($A132,Реестр!$V$2:$V$401,0)))</f>
        <v/>
      </c>
      <c r="F132" s="24" t="str">
        <f aca="false">IF($A132="","",INDEX(Реестр!$U$2:$U$401,MATCH($A132,Реестр!$V$2:$V$401,0)))</f>
        <v/>
      </c>
    </row>
    <row r="133" customFormat="false" ht="15" hidden="false" customHeight="false" outlineLevel="0" collapsed="false">
      <c r="A133" s="21" t="str">
        <f aca="false">IF(ROWS(A$5:A133)&lt;=MAX(Реестр!$V$2:$V$401),ROWS(A$5:A133),"")</f>
        <v/>
      </c>
      <c r="B133" s="24" t="str">
        <f aca="false">IF($A133="","",INDEX(Реестр!$B$2:$B$401,MATCH($A133,Реестр!$V$2:$V$401,0)))</f>
        <v/>
      </c>
      <c r="C133" s="24" t="str">
        <f aca="false">IF($A133="","",INDEX(Реестр!$C$2:$C$401,MATCH($A133,Реестр!$V$2:$V$401,0)))</f>
        <v/>
      </c>
      <c r="D133" s="24" t="str">
        <f aca="false">IF($A133="","",INDEX(Реестр!$T$2:$T$401,MATCH($A133,Реестр!$V$2:$V$401,0)))</f>
        <v/>
      </c>
      <c r="E133" s="21" t="str">
        <f aca="false">IF($A133="","",INDEX(Реестр!$R$2:$R$401,MATCH($A133,Реестр!$V$2:$V$401,0)))</f>
        <v/>
      </c>
      <c r="F133" s="24" t="str">
        <f aca="false">IF($A133="","",INDEX(Реестр!$U$2:$U$401,MATCH($A133,Реестр!$V$2:$V$401,0)))</f>
        <v/>
      </c>
    </row>
    <row r="134" customFormat="false" ht="15" hidden="false" customHeight="false" outlineLevel="0" collapsed="false">
      <c r="A134" s="21" t="str">
        <f aca="false">IF(ROWS(A$5:A134)&lt;=MAX(Реестр!$V$2:$V$401),ROWS(A$5:A134),"")</f>
        <v/>
      </c>
      <c r="B134" s="24" t="str">
        <f aca="false">IF($A134="","",INDEX(Реестр!$B$2:$B$401,MATCH($A134,Реестр!$V$2:$V$401,0)))</f>
        <v/>
      </c>
      <c r="C134" s="24" t="str">
        <f aca="false">IF($A134="","",INDEX(Реестр!$C$2:$C$401,MATCH($A134,Реестр!$V$2:$V$401,0)))</f>
        <v/>
      </c>
      <c r="D134" s="24" t="str">
        <f aca="false">IF($A134="","",INDEX(Реестр!$T$2:$T$401,MATCH($A134,Реестр!$V$2:$V$401,0)))</f>
        <v/>
      </c>
      <c r="E134" s="21" t="str">
        <f aca="false">IF($A134="","",INDEX(Реестр!$R$2:$R$401,MATCH($A134,Реестр!$V$2:$V$401,0)))</f>
        <v/>
      </c>
      <c r="F134" s="24" t="str">
        <f aca="false">IF($A134="","",INDEX(Реестр!$U$2:$U$401,MATCH($A134,Реестр!$V$2:$V$401,0)))</f>
        <v/>
      </c>
    </row>
    <row r="135" customFormat="false" ht="15" hidden="false" customHeight="false" outlineLevel="0" collapsed="false">
      <c r="A135" s="21" t="str">
        <f aca="false">IF(ROWS(A$5:A135)&lt;=MAX(Реестр!$V$2:$V$401),ROWS(A$5:A135),"")</f>
        <v/>
      </c>
      <c r="B135" s="24" t="str">
        <f aca="false">IF($A135="","",INDEX(Реестр!$B$2:$B$401,MATCH($A135,Реестр!$V$2:$V$401,0)))</f>
        <v/>
      </c>
      <c r="C135" s="24" t="str">
        <f aca="false">IF($A135="","",INDEX(Реестр!$C$2:$C$401,MATCH($A135,Реестр!$V$2:$V$401,0)))</f>
        <v/>
      </c>
      <c r="D135" s="24" t="str">
        <f aca="false">IF($A135="","",INDEX(Реестр!$T$2:$T$401,MATCH($A135,Реестр!$V$2:$V$401,0)))</f>
        <v/>
      </c>
      <c r="E135" s="21" t="str">
        <f aca="false">IF($A135="","",INDEX(Реестр!$R$2:$R$401,MATCH($A135,Реестр!$V$2:$V$401,0)))</f>
        <v/>
      </c>
      <c r="F135" s="24" t="str">
        <f aca="false">IF($A135="","",INDEX(Реестр!$U$2:$U$401,MATCH($A135,Реестр!$V$2:$V$401,0)))</f>
        <v/>
      </c>
    </row>
    <row r="136" customFormat="false" ht="15" hidden="false" customHeight="false" outlineLevel="0" collapsed="false">
      <c r="A136" s="21" t="str">
        <f aca="false">IF(ROWS(A$5:A136)&lt;=MAX(Реестр!$V$2:$V$401),ROWS(A$5:A136),"")</f>
        <v/>
      </c>
      <c r="B136" s="24" t="str">
        <f aca="false">IF($A136="","",INDEX(Реестр!$B$2:$B$401,MATCH($A136,Реестр!$V$2:$V$401,0)))</f>
        <v/>
      </c>
      <c r="C136" s="24" t="str">
        <f aca="false">IF($A136="","",INDEX(Реестр!$C$2:$C$401,MATCH($A136,Реестр!$V$2:$V$401,0)))</f>
        <v/>
      </c>
      <c r="D136" s="24" t="str">
        <f aca="false">IF($A136="","",INDEX(Реестр!$T$2:$T$401,MATCH($A136,Реестр!$V$2:$V$401,0)))</f>
        <v/>
      </c>
      <c r="E136" s="21" t="str">
        <f aca="false">IF($A136="","",INDEX(Реестр!$R$2:$R$401,MATCH($A136,Реестр!$V$2:$V$401,0)))</f>
        <v/>
      </c>
      <c r="F136" s="24" t="str">
        <f aca="false">IF($A136="","",INDEX(Реестр!$U$2:$U$401,MATCH($A136,Реестр!$V$2:$V$401,0)))</f>
        <v/>
      </c>
    </row>
    <row r="137" customFormat="false" ht="15" hidden="false" customHeight="false" outlineLevel="0" collapsed="false">
      <c r="A137" s="21" t="str">
        <f aca="false">IF(ROWS(A$5:A137)&lt;=MAX(Реестр!$V$2:$V$401),ROWS(A$5:A137),"")</f>
        <v/>
      </c>
      <c r="B137" s="24" t="str">
        <f aca="false">IF($A137="","",INDEX(Реестр!$B$2:$B$401,MATCH($A137,Реестр!$V$2:$V$401,0)))</f>
        <v/>
      </c>
      <c r="C137" s="24" t="str">
        <f aca="false">IF($A137="","",INDEX(Реестр!$C$2:$C$401,MATCH($A137,Реестр!$V$2:$V$401,0)))</f>
        <v/>
      </c>
      <c r="D137" s="24" t="str">
        <f aca="false">IF($A137="","",INDEX(Реестр!$T$2:$T$401,MATCH($A137,Реестр!$V$2:$V$401,0)))</f>
        <v/>
      </c>
      <c r="E137" s="21" t="str">
        <f aca="false">IF($A137="","",INDEX(Реестр!$R$2:$R$401,MATCH($A137,Реестр!$V$2:$V$401,0)))</f>
        <v/>
      </c>
      <c r="F137" s="24" t="str">
        <f aca="false">IF($A137="","",INDEX(Реестр!$U$2:$U$401,MATCH($A137,Реестр!$V$2:$V$401,0)))</f>
        <v/>
      </c>
    </row>
    <row r="138" customFormat="false" ht="15" hidden="false" customHeight="false" outlineLevel="0" collapsed="false">
      <c r="A138" s="21" t="str">
        <f aca="false">IF(ROWS(A$5:A138)&lt;=MAX(Реестр!$V$2:$V$401),ROWS(A$5:A138),"")</f>
        <v/>
      </c>
      <c r="B138" s="24" t="str">
        <f aca="false">IF($A138="","",INDEX(Реестр!$B$2:$B$401,MATCH($A138,Реестр!$V$2:$V$401,0)))</f>
        <v/>
      </c>
      <c r="C138" s="24" t="str">
        <f aca="false">IF($A138="","",INDEX(Реестр!$C$2:$C$401,MATCH($A138,Реестр!$V$2:$V$401,0)))</f>
        <v/>
      </c>
      <c r="D138" s="24" t="str">
        <f aca="false">IF($A138="","",INDEX(Реестр!$T$2:$T$401,MATCH($A138,Реестр!$V$2:$V$401,0)))</f>
        <v/>
      </c>
      <c r="E138" s="21" t="str">
        <f aca="false">IF($A138="","",INDEX(Реестр!$R$2:$R$401,MATCH($A138,Реестр!$V$2:$V$401,0)))</f>
        <v/>
      </c>
      <c r="F138" s="24" t="str">
        <f aca="false">IF($A138="","",INDEX(Реестр!$U$2:$U$401,MATCH($A138,Реестр!$V$2:$V$401,0)))</f>
        <v/>
      </c>
    </row>
    <row r="139" customFormat="false" ht="15" hidden="false" customHeight="false" outlineLevel="0" collapsed="false">
      <c r="A139" s="21" t="str">
        <f aca="false">IF(ROWS(A$5:A139)&lt;=MAX(Реестр!$V$2:$V$401),ROWS(A$5:A139),"")</f>
        <v/>
      </c>
      <c r="B139" s="24" t="str">
        <f aca="false">IF($A139="","",INDEX(Реестр!$B$2:$B$401,MATCH($A139,Реестр!$V$2:$V$401,0)))</f>
        <v/>
      </c>
      <c r="C139" s="24" t="str">
        <f aca="false">IF($A139="","",INDEX(Реестр!$C$2:$C$401,MATCH($A139,Реестр!$V$2:$V$401,0)))</f>
        <v/>
      </c>
      <c r="D139" s="24" t="str">
        <f aca="false">IF($A139="","",INDEX(Реестр!$T$2:$T$401,MATCH($A139,Реестр!$V$2:$V$401,0)))</f>
        <v/>
      </c>
      <c r="E139" s="21" t="str">
        <f aca="false">IF($A139="","",INDEX(Реестр!$R$2:$R$401,MATCH($A139,Реестр!$V$2:$V$401,0)))</f>
        <v/>
      </c>
      <c r="F139" s="24" t="str">
        <f aca="false">IF($A139="","",INDEX(Реестр!$U$2:$U$401,MATCH($A139,Реестр!$V$2:$V$401,0)))</f>
        <v/>
      </c>
    </row>
    <row r="140" customFormat="false" ht="15" hidden="false" customHeight="false" outlineLevel="0" collapsed="false">
      <c r="A140" s="21" t="str">
        <f aca="false">IF(ROWS(A$5:A140)&lt;=MAX(Реестр!$V$2:$V$401),ROWS(A$5:A140),"")</f>
        <v/>
      </c>
      <c r="B140" s="24" t="str">
        <f aca="false">IF($A140="","",INDEX(Реестр!$B$2:$B$401,MATCH($A140,Реестр!$V$2:$V$401,0)))</f>
        <v/>
      </c>
      <c r="C140" s="24" t="str">
        <f aca="false">IF($A140="","",INDEX(Реестр!$C$2:$C$401,MATCH($A140,Реестр!$V$2:$V$401,0)))</f>
        <v/>
      </c>
      <c r="D140" s="24" t="str">
        <f aca="false">IF($A140="","",INDEX(Реестр!$T$2:$T$401,MATCH($A140,Реестр!$V$2:$V$401,0)))</f>
        <v/>
      </c>
      <c r="E140" s="21" t="str">
        <f aca="false">IF($A140="","",INDEX(Реестр!$R$2:$R$401,MATCH($A140,Реестр!$V$2:$V$401,0)))</f>
        <v/>
      </c>
      <c r="F140" s="24" t="str">
        <f aca="false">IF($A140="","",INDEX(Реестр!$U$2:$U$401,MATCH($A140,Реестр!$V$2:$V$401,0)))</f>
        <v/>
      </c>
    </row>
    <row r="141" customFormat="false" ht="15" hidden="false" customHeight="false" outlineLevel="0" collapsed="false">
      <c r="A141" s="21" t="str">
        <f aca="false">IF(ROWS(A$5:A141)&lt;=MAX(Реестр!$V$2:$V$401),ROWS(A$5:A141),"")</f>
        <v/>
      </c>
      <c r="B141" s="24" t="str">
        <f aca="false">IF($A141="","",INDEX(Реестр!$B$2:$B$401,MATCH($A141,Реестр!$V$2:$V$401,0)))</f>
        <v/>
      </c>
      <c r="C141" s="24" t="str">
        <f aca="false">IF($A141="","",INDEX(Реестр!$C$2:$C$401,MATCH($A141,Реестр!$V$2:$V$401,0)))</f>
        <v/>
      </c>
      <c r="D141" s="24" t="str">
        <f aca="false">IF($A141="","",INDEX(Реестр!$T$2:$T$401,MATCH($A141,Реестр!$V$2:$V$401,0)))</f>
        <v/>
      </c>
      <c r="E141" s="21" t="str">
        <f aca="false">IF($A141="","",INDEX(Реестр!$R$2:$R$401,MATCH($A141,Реестр!$V$2:$V$401,0)))</f>
        <v/>
      </c>
      <c r="F141" s="24" t="str">
        <f aca="false">IF($A141="","",INDEX(Реестр!$U$2:$U$401,MATCH($A141,Реестр!$V$2:$V$401,0)))</f>
        <v/>
      </c>
    </row>
    <row r="142" customFormat="false" ht="15" hidden="false" customHeight="false" outlineLevel="0" collapsed="false">
      <c r="A142" s="21" t="str">
        <f aca="false">IF(ROWS(A$5:A142)&lt;=MAX(Реестр!$V$2:$V$401),ROWS(A$5:A142),"")</f>
        <v/>
      </c>
      <c r="B142" s="24" t="str">
        <f aca="false">IF($A142="","",INDEX(Реестр!$B$2:$B$401,MATCH($A142,Реестр!$V$2:$V$401,0)))</f>
        <v/>
      </c>
      <c r="C142" s="24" t="str">
        <f aca="false">IF($A142="","",INDEX(Реестр!$C$2:$C$401,MATCH($A142,Реестр!$V$2:$V$401,0)))</f>
        <v/>
      </c>
      <c r="D142" s="24" t="str">
        <f aca="false">IF($A142="","",INDEX(Реестр!$T$2:$T$401,MATCH($A142,Реестр!$V$2:$V$401,0)))</f>
        <v/>
      </c>
      <c r="E142" s="21" t="str">
        <f aca="false">IF($A142="","",INDEX(Реестр!$R$2:$R$401,MATCH($A142,Реестр!$V$2:$V$401,0)))</f>
        <v/>
      </c>
      <c r="F142" s="24" t="str">
        <f aca="false">IF($A142="","",INDEX(Реестр!$U$2:$U$401,MATCH($A142,Реестр!$V$2:$V$401,0)))</f>
        <v/>
      </c>
    </row>
    <row r="143" customFormat="false" ht="15" hidden="false" customHeight="false" outlineLevel="0" collapsed="false">
      <c r="A143" s="21" t="str">
        <f aca="false">IF(ROWS(A$5:A143)&lt;=MAX(Реестр!$V$2:$V$401),ROWS(A$5:A143),"")</f>
        <v/>
      </c>
      <c r="B143" s="24" t="str">
        <f aca="false">IF($A143="","",INDEX(Реестр!$B$2:$B$401,MATCH($A143,Реестр!$V$2:$V$401,0)))</f>
        <v/>
      </c>
      <c r="C143" s="24" t="str">
        <f aca="false">IF($A143="","",INDEX(Реестр!$C$2:$C$401,MATCH($A143,Реестр!$V$2:$V$401,0)))</f>
        <v/>
      </c>
      <c r="D143" s="24" t="str">
        <f aca="false">IF($A143="","",INDEX(Реестр!$T$2:$T$401,MATCH($A143,Реестр!$V$2:$V$401,0)))</f>
        <v/>
      </c>
      <c r="E143" s="21" t="str">
        <f aca="false">IF($A143="","",INDEX(Реестр!$R$2:$R$401,MATCH($A143,Реестр!$V$2:$V$401,0)))</f>
        <v/>
      </c>
      <c r="F143" s="24" t="str">
        <f aca="false">IF($A143="","",INDEX(Реестр!$U$2:$U$401,MATCH($A143,Реестр!$V$2:$V$401,0)))</f>
        <v/>
      </c>
    </row>
    <row r="144" customFormat="false" ht="15" hidden="false" customHeight="false" outlineLevel="0" collapsed="false">
      <c r="A144" s="21" t="str">
        <f aca="false">IF(ROWS(A$5:A144)&lt;=MAX(Реестр!$V$2:$V$401),ROWS(A$5:A144),"")</f>
        <v/>
      </c>
      <c r="B144" s="24" t="str">
        <f aca="false">IF($A144="","",INDEX(Реестр!$B$2:$B$401,MATCH($A144,Реестр!$V$2:$V$401,0)))</f>
        <v/>
      </c>
      <c r="C144" s="24" t="str">
        <f aca="false">IF($A144="","",INDEX(Реестр!$C$2:$C$401,MATCH($A144,Реестр!$V$2:$V$401,0)))</f>
        <v/>
      </c>
      <c r="D144" s="24" t="str">
        <f aca="false">IF($A144="","",INDEX(Реестр!$T$2:$T$401,MATCH($A144,Реестр!$V$2:$V$401,0)))</f>
        <v/>
      </c>
      <c r="E144" s="21" t="str">
        <f aca="false">IF($A144="","",INDEX(Реестр!$R$2:$R$401,MATCH($A144,Реестр!$V$2:$V$401,0)))</f>
        <v/>
      </c>
      <c r="F144" s="24" t="str">
        <f aca="false">IF($A144="","",INDEX(Реестр!$U$2:$U$401,MATCH($A144,Реестр!$V$2:$V$401,0)))</f>
        <v/>
      </c>
    </row>
    <row r="145" customFormat="false" ht="15" hidden="false" customHeight="false" outlineLevel="0" collapsed="false">
      <c r="A145" s="21" t="str">
        <f aca="false">IF(ROWS(A$5:A145)&lt;=MAX(Реестр!$V$2:$V$401),ROWS(A$5:A145),"")</f>
        <v/>
      </c>
      <c r="B145" s="24" t="str">
        <f aca="false">IF($A145="","",INDEX(Реестр!$B$2:$B$401,MATCH($A145,Реестр!$V$2:$V$401,0)))</f>
        <v/>
      </c>
      <c r="C145" s="24" t="str">
        <f aca="false">IF($A145="","",INDEX(Реестр!$C$2:$C$401,MATCH($A145,Реестр!$V$2:$V$401,0)))</f>
        <v/>
      </c>
      <c r="D145" s="24" t="str">
        <f aca="false">IF($A145="","",INDEX(Реестр!$T$2:$T$401,MATCH($A145,Реестр!$V$2:$V$401,0)))</f>
        <v/>
      </c>
      <c r="E145" s="21" t="str">
        <f aca="false">IF($A145="","",INDEX(Реестр!$R$2:$R$401,MATCH($A145,Реестр!$V$2:$V$401,0)))</f>
        <v/>
      </c>
      <c r="F145" s="24" t="str">
        <f aca="false">IF($A145="","",INDEX(Реестр!$U$2:$U$401,MATCH($A145,Реестр!$V$2:$V$401,0)))</f>
        <v/>
      </c>
    </row>
    <row r="146" customFormat="false" ht="15" hidden="false" customHeight="false" outlineLevel="0" collapsed="false">
      <c r="A146" s="21" t="str">
        <f aca="false">IF(ROWS(A$5:A146)&lt;=MAX(Реестр!$V$2:$V$401),ROWS(A$5:A146),"")</f>
        <v/>
      </c>
      <c r="B146" s="24" t="str">
        <f aca="false">IF($A146="","",INDEX(Реестр!$B$2:$B$401,MATCH($A146,Реестр!$V$2:$V$401,0)))</f>
        <v/>
      </c>
      <c r="C146" s="24" t="str">
        <f aca="false">IF($A146="","",INDEX(Реестр!$C$2:$C$401,MATCH($A146,Реестр!$V$2:$V$401,0)))</f>
        <v/>
      </c>
      <c r="D146" s="24" t="str">
        <f aca="false">IF($A146="","",INDEX(Реестр!$T$2:$T$401,MATCH($A146,Реестр!$V$2:$V$401,0)))</f>
        <v/>
      </c>
      <c r="E146" s="21" t="str">
        <f aca="false">IF($A146="","",INDEX(Реестр!$R$2:$R$401,MATCH($A146,Реестр!$V$2:$V$401,0)))</f>
        <v/>
      </c>
      <c r="F146" s="24" t="str">
        <f aca="false">IF($A146="","",INDEX(Реестр!$U$2:$U$401,MATCH($A146,Реестр!$V$2:$V$401,0)))</f>
        <v/>
      </c>
    </row>
    <row r="147" customFormat="false" ht="15" hidden="false" customHeight="false" outlineLevel="0" collapsed="false">
      <c r="A147" s="21" t="str">
        <f aca="false">IF(ROWS(A$5:A147)&lt;=MAX(Реестр!$V$2:$V$401),ROWS(A$5:A147),"")</f>
        <v/>
      </c>
      <c r="B147" s="24" t="str">
        <f aca="false">IF($A147="","",INDEX(Реестр!$B$2:$B$401,MATCH($A147,Реестр!$V$2:$V$401,0)))</f>
        <v/>
      </c>
      <c r="C147" s="24" t="str">
        <f aca="false">IF($A147="","",INDEX(Реестр!$C$2:$C$401,MATCH($A147,Реестр!$V$2:$V$401,0)))</f>
        <v/>
      </c>
      <c r="D147" s="24" t="str">
        <f aca="false">IF($A147="","",INDEX(Реестр!$T$2:$T$401,MATCH($A147,Реестр!$V$2:$V$401,0)))</f>
        <v/>
      </c>
      <c r="E147" s="21" t="str">
        <f aca="false">IF($A147="","",INDEX(Реестр!$R$2:$R$401,MATCH($A147,Реестр!$V$2:$V$401,0)))</f>
        <v/>
      </c>
      <c r="F147" s="24" t="str">
        <f aca="false">IF($A147="","",INDEX(Реестр!$U$2:$U$401,MATCH($A147,Реестр!$V$2:$V$401,0)))</f>
        <v/>
      </c>
    </row>
    <row r="148" customFormat="false" ht="15" hidden="false" customHeight="false" outlineLevel="0" collapsed="false">
      <c r="A148" s="21" t="str">
        <f aca="false">IF(ROWS(A$5:A148)&lt;=MAX(Реестр!$V$2:$V$401),ROWS(A$5:A148),"")</f>
        <v/>
      </c>
      <c r="B148" s="24" t="str">
        <f aca="false">IF($A148="","",INDEX(Реестр!$B$2:$B$401,MATCH($A148,Реестр!$V$2:$V$401,0)))</f>
        <v/>
      </c>
      <c r="C148" s="24" t="str">
        <f aca="false">IF($A148="","",INDEX(Реестр!$C$2:$C$401,MATCH($A148,Реестр!$V$2:$V$401,0)))</f>
        <v/>
      </c>
      <c r="D148" s="24" t="str">
        <f aca="false">IF($A148="","",INDEX(Реестр!$T$2:$T$401,MATCH($A148,Реестр!$V$2:$V$401,0)))</f>
        <v/>
      </c>
      <c r="E148" s="21" t="str">
        <f aca="false">IF($A148="","",INDEX(Реестр!$R$2:$R$401,MATCH($A148,Реестр!$V$2:$V$401,0)))</f>
        <v/>
      </c>
      <c r="F148" s="24" t="str">
        <f aca="false">IF($A148="","",INDEX(Реестр!$U$2:$U$401,MATCH($A148,Реестр!$V$2:$V$401,0)))</f>
        <v/>
      </c>
    </row>
    <row r="149" customFormat="false" ht="15" hidden="false" customHeight="false" outlineLevel="0" collapsed="false">
      <c r="A149" s="21" t="str">
        <f aca="false">IF(ROWS(A$5:A149)&lt;=MAX(Реестр!$V$2:$V$401),ROWS(A$5:A149),"")</f>
        <v/>
      </c>
      <c r="B149" s="24" t="str">
        <f aca="false">IF($A149="","",INDEX(Реестр!$B$2:$B$401,MATCH($A149,Реестр!$V$2:$V$401,0)))</f>
        <v/>
      </c>
      <c r="C149" s="24" t="str">
        <f aca="false">IF($A149="","",INDEX(Реестр!$C$2:$C$401,MATCH($A149,Реестр!$V$2:$V$401,0)))</f>
        <v/>
      </c>
      <c r="D149" s="24" t="str">
        <f aca="false">IF($A149="","",INDEX(Реестр!$T$2:$T$401,MATCH($A149,Реестр!$V$2:$V$401,0)))</f>
        <v/>
      </c>
      <c r="E149" s="21" t="str">
        <f aca="false">IF($A149="","",INDEX(Реестр!$R$2:$R$401,MATCH($A149,Реестр!$V$2:$V$401,0)))</f>
        <v/>
      </c>
      <c r="F149" s="24" t="str">
        <f aca="false">IF($A149="","",INDEX(Реестр!$U$2:$U$401,MATCH($A149,Реестр!$V$2:$V$401,0)))</f>
        <v/>
      </c>
    </row>
    <row r="150" customFormat="false" ht="15" hidden="false" customHeight="false" outlineLevel="0" collapsed="false">
      <c r="A150" s="21" t="str">
        <f aca="false">IF(ROWS(A$5:A150)&lt;=MAX(Реестр!$V$2:$V$401),ROWS(A$5:A150),"")</f>
        <v/>
      </c>
      <c r="B150" s="24" t="str">
        <f aca="false">IF($A150="","",INDEX(Реестр!$B$2:$B$401,MATCH($A150,Реестр!$V$2:$V$401,0)))</f>
        <v/>
      </c>
      <c r="C150" s="24" t="str">
        <f aca="false">IF($A150="","",INDEX(Реестр!$C$2:$C$401,MATCH($A150,Реестр!$V$2:$V$401,0)))</f>
        <v/>
      </c>
      <c r="D150" s="24" t="str">
        <f aca="false">IF($A150="","",INDEX(Реестр!$T$2:$T$401,MATCH($A150,Реестр!$V$2:$V$401,0)))</f>
        <v/>
      </c>
      <c r="E150" s="21" t="str">
        <f aca="false">IF($A150="","",INDEX(Реестр!$R$2:$R$401,MATCH($A150,Реестр!$V$2:$V$401,0)))</f>
        <v/>
      </c>
      <c r="F150" s="24" t="str">
        <f aca="false">IF($A150="","",INDEX(Реестр!$U$2:$U$401,MATCH($A150,Реестр!$V$2:$V$401,0)))</f>
        <v/>
      </c>
    </row>
    <row r="151" customFormat="false" ht="15" hidden="false" customHeight="false" outlineLevel="0" collapsed="false">
      <c r="A151" s="21" t="str">
        <f aca="false">IF(ROWS(A$5:A151)&lt;=MAX(Реестр!$V$2:$V$401),ROWS(A$5:A151),"")</f>
        <v/>
      </c>
      <c r="B151" s="24" t="str">
        <f aca="false">IF($A151="","",INDEX(Реестр!$B$2:$B$401,MATCH($A151,Реестр!$V$2:$V$401,0)))</f>
        <v/>
      </c>
      <c r="C151" s="24" t="str">
        <f aca="false">IF($A151="","",INDEX(Реестр!$C$2:$C$401,MATCH($A151,Реестр!$V$2:$V$401,0)))</f>
        <v/>
      </c>
      <c r="D151" s="24" t="str">
        <f aca="false">IF($A151="","",INDEX(Реестр!$T$2:$T$401,MATCH($A151,Реестр!$V$2:$V$401,0)))</f>
        <v/>
      </c>
      <c r="E151" s="21" t="str">
        <f aca="false">IF($A151="","",INDEX(Реестр!$R$2:$R$401,MATCH($A151,Реестр!$V$2:$V$401,0)))</f>
        <v/>
      </c>
      <c r="F151" s="24" t="str">
        <f aca="false">IF($A151="","",INDEX(Реестр!$U$2:$U$401,MATCH($A151,Реестр!$V$2:$V$401,0)))</f>
        <v/>
      </c>
    </row>
    <row r="152" customFormat="false" ht="15" hidden="false" customHeight="false" outlineLevel="0" collapsed="false">
      <c r="A152" s="21" t="str">
        <f aca="false">IF(ROWS(A$5:A152)&lt;=MAX(Реестр!$V$2:$V$401),ROWS(A$5:A152),"")</f>
        <v/>
      </c>
      <c r="B152" s="24" t="str">
        <f aca="false">IF($A152="","",INDEX(Реестр!$B$2:$B$401,MATCH($A152,Реестр!$V$2:$V$401,0)))</f>
        <v/>
      </c>
      <c r="C152" s="24" t="str">
        <f aca="false">IF($A152="","",INDEX(Реестр!$C$2:$C$401,MATCH($A152,Реестр!$V$2:$V$401,0)))</f>
        <v/>
      </c>
      <c r="D152" s="24" t="str">
        <f aca="false">IF($A152="","",INDEX(Реестр!$T$2:$T$401,MATCH($A152,Реестр!$V$2:$V$401,0)))</f>
        <v/>
      </c>
      <c r="E152" s="21" t="str">
        <f aca="false">IF($A152="","",INDEX(Реестр!$R$2:$R$401,MATCH($A152,Реестр!$V$2:$V$401,0)))</f>
        <v/>
      </c>
      <c r="F152" s="24" t="str">
        <f aca="false">IF($A152="","",INDEX(Реестр!$U$2:$U$401,MATCH($A152,Реестр!$V$2:$V$401,0)))</f>
        <v/>
      </c>
    </row>
    <row r="153" customFormat="false" ht="15" hidden="false" customHeight="false" outlineLevel="0" collapsed="false">
      <c r="A153" s="21" t="str">
        <f aca="false">IF(ROWS(A$5:A153)&lt;=MAX(Реестр!$V$2:$V$401),ROWS(A$5:A153),"")</f>
        <v/>
      </c>
      <c r="B153" s="24" t="str">
        <f aca="false">IF($A153="","",INDEX(Реестр!$B$2:$B$401,MATCH($A153,Реестр!$V$2:$V$401,0)))</f>
        <v/>
      </c>
      <c r="C153" s="24" t="str">
        <f aca="false">IF($A153="","",INDEX(Реестр!$C$2:$C$401,MATCH($A153,Реестр!$V$2:$V$401,0)))</f>
        <v/>
      </c>
      <c r="D153" s="24" t="str">
        <f aca="false">IF($A153="","",INDEX(Реестр!$T$2:$T$401,MATCH($A153,Реестр!$V$2:$V$401,0)))</f>
        <v/>
      </c>
      <c r="E153" s="21" t="str">
        <f aca="false">IF($A153="","",INDEX(Реестр!$R$2:$R$401,MATCH($A153,Реестр!$V$2:$V$401,0)))</f>
        <v/>
      </c>
      <c r="F153" s="24" t="str">
        <f aca="false">IF($A153="","",INDEX(Реестр!$U$2:$U$401,MATCH($A153,Реестр!$V$2:$V$401,0)))</f>
        <v/>
      </c>
    </row>
    <row r="154" customFormat="false" ht="15" hidden="false" customHeight="false" outlineLevel="0" collapsed="false">
      <c r="A154" s="21" t="str">
        <f aca="false">IF(ROWS(A$5:A154)&lt;=MAX(Реестр!$V$2:$V$401),ROWS(A$5:A154),"")</f>
        <v/>
      </c>
      <c r="B154" s="24" t="str">
        <f aca="false">IF($A154="","",INDEX(Реестр!$B$2:$B$401,MATCH($A154,Реестр!$V$2:$V$401,0)))</f>
        <v/>
      </c>
      <c r="C154" s="24" t="str">
        <f aca="false">IF($A154="","",INDEX(Реестр!$C$2:$C$401,MATCH($A154,Реестр!$V$2:$V$401,0)))</f>
        <v/>
      </c>
      <c r="D154" s="24" t="str">
        <f aca="false">IF($A154="","",INDEX(Реестр!$T$2:$T$401,MATCH($A154,Реестр!$V$2:$V$401,0)))</f>
        <v/>
      </c>
      <c r="E154" s="21" t="str">
        <f aca="false">IF($A154="","",INDEX(Реестр!$R$2:$R$401,MATCH($A154,Реестр!$V$2:$V$401,0)))</f>
        <v/>
      </c>
      <c r="F154" s="24" t="str">
        <f aca="false">IF($A154="","",INDEX(Реестр!$U$2:$U$401,MATCH($A154,Реестр!$V$2:$V$401,0)))</f>
        <v/>
      </c>
    </row>
    <row r="155" customFormat="false" ht="15" hidden="false" customHeight="false" outlineLevel="0" collapsed="false">
      <c r="A155" s="21" t="str">
        <f aca="false">IF(ROWS(A$5:A155)&lt;=MAX(Реестр!$V$2:$V$401),ROWS(A$5:A155),"")</f>
        <v/>
      </c>
      <c r="B155" s="24" t="str">
        <f aca="false">IF($A155="","",INDEX(Реестр!$B$2:$B$401,MATCH($A155,Реестр!$V$2:$V$401,0)))</f>
        <v/>
      </c>
      <c r="C155" s="24" t="str">
        <f aca="false">IF($A155="","",INDEX(Реестр!$C$2:$C$401,MATCH($A155,Реестр!$V$2:$V$401,0)))</f>
        <v/>
      </c>
      <c r="D155" s="24" t="str">
        <f aca="false">IF($A155="","",INDEX(Реестр!$T$2:$T$401,MATCH($A155,Реестр!$V$2:$V$401,0)))</f>
        <v/>
      </c>
      <c r="E155" s="21" t="str">
        <f aca="false">IF($A155="","",INDEX(Реестр!$R$2:$R$401,MATCH($A155,Реестр!$V$2:$V$401,0)))</f>
        <v/>
      </c>
      <c r="F155" s="24" t="str">
        <f aca="false">IF($A155="","",INDEX(Реестр!$U$2:$U$401,MATCH($A155,Реестр!$V$2:$V$401,0)))</f>
        <v/>
      </c>
    </row>
    <row r="156" customFormat="false" ht="15" hidden="false" customHeight="false" outlineLevel="0" collapsed="false">
      <c r="A156" s="21" t="str">
        <f aca="false">IF(ROWS(A$5:A156)&lt;=MAX(Реестр!$V$2:$V$401),ROWS(A$5:A156),"")</f>
        <v/>
      </c>
      <c r="B156" s="24" t="str">
        <f aca="false">IF($A156="","",INDEX(Реестр!$B$2:$B$401,MATCH($A156,Реестр!$V$2:$V$401,0)))</f>
        <v/>
      </c>
      <c r="C156" s="24" t="str">
        <f aca="false">IF($A156="","",INDEX(Реестр!$C$2:$C$401,MATCH($A156,Реестр!$V$2:$V$401,0)))</f>
        <v/>
      </c>
      <c r="D156" s="24" t="str">
        <f aca="false">IF($A156="","",INDEX(Реестр!$T$2:$T$401,MATCH($A156,Реестр!$V$2:$V$401,0)))</f>
        <v/>
      </c>
      <c r="E156" s="21" t="str">
        <f aca="false">IF($A156="","",INDEX(Реестр!$R$2:$R$401,MATCH($A156,Реестр!$V$2:$V$401,0)))</f>
        <v/>
      </c>
      <c r="F156" s="24" t="str">
        <f aca="false">IF($A156="","",INDEX(Реестр!$U$2:$U$401,MATCH($A156,Реестр!$V$2:$V$401,0)))</f>
        <v/>
      </c>
    </row>
    <row r="157" customFormat="false" ht="15" hidden="false" customHeight="false" outlineLevel="0" collapsed="false">
      <c r="A157" s="21" t="str">
        <f aca="false">IF(ROWS(A$5:A157)&lt;=MAX(Реестр!$V$2:$V$401),ROWS(A$5:A157),"")</f>
        <v/>
      </c>
      <c r="B157" s="24" t="str">
        <f aca="false">IF($A157="","",INDEX(Реестр!$B$2:$B$401,MATCH($A157,Реестр!$V$2:$V$401,0)))</f>
        <v/>
      </c>
      <c r="C157" s="24" t="str">
        <f aca="false">IF($A157="","",INDEX(Реестр!$C$2:$C$401,MATCH($A157,Реестр!$V$2:$V$401,0)))</f>
        <v/>
      </c>
      <c r="D157" s="24" t="str">
        <f aca="false">IF($A157="","",INDEX(Реестр!$T$2:$T$401,MATCH($A157,Реестр!$V$2:$V$401,0)))</f>
        <v/>
      </c>
      <c r="E157" s="21" t="str">
        <f aca="false">IF($A157="","",INDEX(Реестр!$R$2:$R$401,MATCH($A157,Реестр!$V$2:$V$401,0)))</f>
        <v/>
      </c>
      <c r="F157" s="24" t="str">
        <f aca="false">IF($A157="","",INDEX(Реестр!$U$2:$U$401,MATCH($A157,Реестр!$V$2:$V$401,0)))</f>
        <v/>
      </c>
    </row>
    <row r="158" customFormat="false" ht="15" hidden="false" customHeight="false" outlineLevel="0" collapsed="false">
      <c r="A158" s="21" t="str">
        <f aca="false">IF(ROWS(A$5:A158)&lt;=MAX(Реестр!$V$2:$V$401),ROWS(A$5:A158),"")</f>
        <v/>
      </c>
      <c r="B158" s="24" t="str">
        <f aca="false">IF($A158="","",INDEX(Реестр!$B$2:$B$401,MATCH($A158,Реестр!$V$2:$V$401,0)))</f>
        <v/>
      </c>
      <c r="C158" s="24" t="str">
        <f aca="false">IF($A158="","",INDEX(Реестр!$C$2:$C$401,MATCH($A158,Реестр!$V$2:$V$401,0)))</f>
        <v/>
      </c>
      <c r="D158" s="24" t="str">
        <f aca="false">IF($A158="","",INDEX(Реестр!$T$2:$T$401,MATCH($A158,Реестр!$V$2:$V$401,0)))</f>
        <v/>
      </c>
      <c r="E158" s="21" t="str">
        <f aca="false">IF($A158="","",INDEX(Реестр!$R$2:$R$401,MATCH($A158,Реестр!$V$2:$V$401,0)))</f>
        <v/>
      </c>
      <c r="F158" s="24" t="str">
        <f aca="false">IF($A158="","",INDEX(Реестр!$U$2:$U$401,MATCH($A158,Реестр!$V$2:$V$401,0)))</f>
        <v/>
      </c>
    </row>
    <row r="159" customFormat="false" ht="15" hidden="false" customHeight="false" outlineLevel="0" collapsed="false">
      <c r="A159" s="21" t="str">
        <f aca="false">IF(ROWS(A$5:A159)&lt;=MAX(Реестр!$V$2:$V$401),ROWS(A$5:A159),"")</f>
        <v/>
      </c>
      <c r="B159" s="24" t="str">
        <f aca="false">IF($A159="","",INDEX(Реестр!$B$2:$B$401,MATCH($A159,Реестр!$V$2:$V$401,0)))</f>
        <v/>
      </c>
      <c r="C159" s="24" t="str">
        <f aca="false">IF($A159="","",INDEX(Реестр!$C$2:$C$401,MATCH($A159,Реестр!$V$2:$V$401,0)))</f>
        <v/>
      </c>
      <c r="D159" s="24" t="str">
        <f aca="false">IF($A159="","",INDEX(Реестр!$T$2:$T$401,MATCH($A159,Реестр!$V$2:$V$401,0)))</f>
        <v/>
      </c>
      <c r="E159" s="21" t="str">
        <f aca="false">IF($A159="","",INDEX(Реестр!$R$2:$R$401,MATCH($A159,Реестр!$V$2:$V$401,0)))</f>
        <v/>
      </c>
      <c r="F159" s="24" t="str">
        <f aca="false">IF($A159="","",INDEX(Реестр!$U$2:$U$401,MATCH($A159,Реестр!$V$2:$V$401,0)))</f>
        <v/>
      </c>
    </row>
    <row r="160" customFormat="false" ht="15" hidden="false" customHeight="false" outlineLevel="0" collapsed="false">
      <c r="A160" s="21" t="str">
        <f aca="false">IF(ROWS(A$5:A160)&lt;=MAX(Реестр!$V$2:$V$401),ROWS(A$5:A160),"")</f>
        <v/>
      </c>
      <c r="B160" s="24" t="str">
        <f aca="false">IF($A160="","",INDEX(Реестр!$B$2:$B$401,MATCH($A160,Реестр!$V$2:$V$401,0)))</f>
        <v/>
      </c>
      <c r="C160" s="24" t="str">
        <f aca="false">IF($A160="","",INDEX(Реестр!$C$2:$C$401,MATCH($A160,Реестр!$V$2:$V$401,0)))</f>
        <v/>
      </c>
      <c r="D160" s="24" t="str">
        <f aca="false">IF($A160="","",INDEX(Реестр!$T$2:$T$401,MATCH($A160,Реестр!$V$2:$V$401,0)))</f>
        <v/>
      </c>
      <c r="E160" s="21" t="str">
        <f aca="false">IF($A160="","",INDEX(Реестр!$R$2:$R$401,MATCH($A160,Реестр!$V$2:$V$401,0)))</f>
        <v/>
      </c>
      <c r="F160" s="24" t="str">
        <f aca="false">IF($A160="","",INDEX(Реестр!$U$2:$U$401,MATCH($A160,Реестр!$V$2:$V$401,0)))</f>
        <v/>
      </c>
    </row>
    <row r="161" customFormat="false" ht="15" hidden="false" customHeight="false" outlineLevel="0" collapsed="false">
      <c r="A161" s="21" t="str">
        <f aca="false">IF(ROWS(A$5:A161)&lt;=MAX(Реестр!$V$2:$V$401),ROWS(A$5:A161),"")</f>
        <v/>
      </c>
      <c r="B161" s="24" t="str">
        <f aca="false">IF($A161="","",INDEX(Реестр!$B$2:$B$401,MATCH($A161,Реестр!$V$2:$V$401,0)))</f>
        <v/>
      </c>
      <c r="C161" s="24" t="str">
        <f aca="false">IF($A161="","",INDEX(Реестр!$C$2:$C$401,MATCH($A161,Реестр!$V$2:$V$401,0)))</f>
        <v/>
      </c>
      <c r="D161" s="24" t="str">
        <f aca="false">IF($A161="","",INDEX(Реестр!$T$2:$T$401,MATCH($A161,Реестр!$V$2:$V$401,0)))</f>
        <v/>
      </c>
      <c r="E161" s="21" t="str">
        <f aca="false">IF($A161="","",INDEX(Реестр!$R$2:$R$401,MATCH($A161,Реестр!$V$2:$V$401,0)))</f>
        <v/>
      </c>
      <c r="F161" s="24" t="str">
        <f aca="false">IF($A161="","",INDEX(Реестр!$U$2:$U$401,MATCH($A161,Реестр!$V$2:$V$401,0)))</f>
        <v/>
      </c>
    </row>
    <row r="162" customFormat="false" ht="15" hidden="false" customHeight="false" outlineLevel="0" collapsed="false">
      <c r="A162" s="21" t="str">
        <f aca="false">IF(ROWS(A$5:A162)&lt;=MAX(Реестр!$V$2:$V$401),ROWS(A$5:A162),"")</f>
        <v/>
      </c>
      <c r="B162" s="24" t="str">
        <f aca="false">IF($A162="","",INDEX(Реестр!$B$2:$B$401,MATCH($A162,Реестр!$V$2:$V$401,0)))</f>
        <v/>
      </c>
      <c r="C162" s="24" t="str">
        <f aca="false">IF($A162="","",INDEX(Реестр!$C$2:$C$401,MATCH($A162,Реестр!$V$2:$V$401,0)))</f>
        <v/>
      </c>
      <c r="D162" s="24" t="str">
        <f aca="false">IF($A162="","",INDEX(Реестр!$T$2:$T$401,MATCH($A162,Реестр!$V$2:$V$401,0)))</f>
        <v/>
      </c>
      <c r="E162" s="21" t="str">
        <f aca="false">IF($A162="","",INDEX(Реестр!$R$2:$R$401,MATCH($A162,Реестр!$V$2:$V$401,0)))</f>
        <v/>
      </c>
      <c r="F162" s="24" t="str">
        <f aca="false">IF($A162="","",INDEX(Реестр!$U$2:$U$401,MATCH($A162,Реестр!$V$2:$V$401,0)))</f>
        <v/>
      </c>
    </row>
    <row r="163" customFormat="false" ht="15" hidden="false" customHeight="false" outlineLevel="0" collapsed="false">
      <c r="A163" s="21" t="str">
        <f aca="false">IF(ROWS(A$5:A163)&lt;=MAX(Реестр!$V$2:$V$401),ROWS(A$5:A163),"")</f>
        <v/>
      </c>
      <c r="B163" s="24" t="str">
        <f aca="false">IF($A163="","",INDEX(Реестр!$B$2:$B$401,MATCH($A163,Реестр!$V$2:$V$401,0)))</f>
        <v/>
      </c>
      <c r="C163" s="24" t="str">
        <f aca="false">IF($A163="","",INDEX(Реестр!$C$2:$C$401,MATCH($A163,Реестр!$V$2:$V$401,0)))</f>
        <v/>
      </c>
      <c r="D163" s="24" t="str">
        <f aca="false">IF($A163="","",INDEX(Реестр!$T$2:$T$401,MATCH($A163,Реестр!$V$2:$V$401,0)))</f>
        <v/>
      </c>
      <c r="E163" s="21" t="str">
        <f aca="false">IF($A163="","",INDEX(Реестр!$R$2:$R$401,MATCH($A163,Реестр!$V$2:$V$401,0)))</f>
        <v/>
      </c>
      <c r="F163" s="24" t="str">
        <f aca="false">IF($A163="","",INDEX(Реестр!$U$2:$U$401,MATCH($A163,Реестр!$V$2:$V$401,0)))</f>
        <v/>
      </c>
    </row>
    <row r="164" customFormat="false" ht="15" hidden="false" customHeight="false" outlineLevel="0" collapsed="false">
      <c r="A164" s="21" t="str">
        <f aca="false">IF(ROWS(A$5:A164)&lt;=MAX(Реестр!$V$2:$V$401),ROWS(A$5:A164),"")</f>
        <v/>
      </c>
      <c r="B164" s="24" t="str">
        <f aca="false">IF($A164="","",INDEX(Реестр!$B$2:$B$401,MATCH($A164,Реестр!$V$2:$V$401,0)))</f>
        <v/>
      </c>
      <c r="C164" s="24" t="str">
        <f aca="false">IF($A164="","",INDEX(Реестр!$C$2:$C$401,MATCH($A164,Реестр!$V$2:$V$401,0)))</f>
        <v/>
      </c>
      <c r="D164" s="24" t="str">
        <f aca="false">IF($A164="","",INDEX(Реестр!$T$2:$T$401,MATCH($A164,Реестр!$V$2:$V$401,0)))</f>
        <v/>
      </c>
      <c r="E164" s="21" t="str">
        <f aca="false">IF($A164="","",INDEX(Реестр!$R$2:$R$401,MATCH($A164,Реестр!$V$2:$V$401,0)))</f>
        <v/>
      </c>
      <c r="F164" s="24" t="str">
        <f aca="false">IF($A164="","",INDEX(Реестр!$U$2:$U$401,MATCH($A164,Реестр!$V$2:$V$401,0)))</f>
        <v/>
      </c>
    </row>
    <row r="165" customFormat="false" ht="15" hidden="false" customHeight="false" outlineLevel="0" collapsed="false">
      <c r="A165" s="21" t="str">
        <f aca="false">IF(ROWS(A$5:A165)&lt;=MAX(Реестр!$V$2:$V$401),ROWS(A$5:A165),"")</f>
        <v/>
      </c>
      <c r="B165" s="24" t="str">
        <f aca="false">IF($A165="","",INDEX(Реестр!$B$2:$B$401,MATCH($A165,Реестр!$V$2:$V$401,0)))</f>
        <v/>
      </c>
      <c r="C165" s="24" t="str">
        <f aca="false">IF($A165="","",INDEX(Реестр!$C$2:$C$401,MATCH($A165,Реестр!$V$2:$V$401,0)))</f>
        <v/>
      </c>
      <c r="D165" s="24" t="str">
        <f aca="false">IF($A165="","",INDEX(Реестр!$T$2:$T$401,MATCH($A165,Реестр!$V$2:$V$401,0)))</f>
        <v/>
      </c>
      <c r="E165" s="21" t="str">
        <f aca="false">IF($A165="","",INDEX(Реестр!$R$2:$R$401,MATCH($A165,Реестр!$V$2:$V$401,0)))</f>
        <v/>
      </c>
      <c r="F165" s="24" t="str">
        <f aca="false">IF($A165="","",INDEX(Реестр!$U$2:$U$401,MATCH($A165,Реестр!$V$2:$V$401,0)))</f>
        <v/>
      </c>
    </row>
    <row r="166" customFormat="false" ht="15" hidden="false" customHeight="false" outlineLevel="0" collapsed="false">
      <c r="A166" s="21" t="str">
        <f aca="false">IF(ROWS(A$5:A166)&lt;=MAX(Реестр!$V$2:$V$401),ROWS(A$5:A166),"")</f>
        <v/>
      </c>
      <c r="B166" s="24" t="str">
        <f aca="false">IF($A166="","",INDEX(Реестр!$B$2:$B$401,MATCH($A166,Реестр!$V$2:$V$401,0)))</f>
        <v/>
      </c>
      <c r="C166" s="24" t="str">
        <f aca="false">IF($A166="","",INDEX(Реестр!$C$2:$C$401,MATCH($A166,Реестр!$V$2:$V$401,0)))</f>
        <v/>
      </c>
      <c r="D166" s="24" t="str">
        <f aca="false">IF($A166="","",INDEX(Реестр!$T$2:$T$401,MATCH($A166,Реестр!$V$2:$V$401,0)))</f>
        <v/>
      </c>
      <c r="E166" s="21" t="str">
        <f aca="false">IF($A166="","",INDEX(Реестр!$R$2:$R$401,MATCH($A166,Реестр!$V$2:$V$401,0)))</f>
        <v/>
      </c>
      <c r="F166" s="24" t="str">
        <f aca="false">IF($A166="","",INDEX(Реестр!$U$2:$U$401,MATCH($A166,Реестр!$V$2:$V$401,0)))</f>
        <v/>
      </c>
    </row>
    <row r="167" customFormat="false" ht="15" hidden="false" customHeight="false" outlineLevel="0" collapsed="false">
      <c r="A167" s="21" t="str">
        <f aca="false">IF(ROWS(A$5:A167)&lt;=MAX(Реестр!$V$2:$V$401),ROWS(A$5:A167),"")</f>
        <v/>
      </c>
      <c r="B167" s="24" t="str">
        <f aca="false">IF($A167="","",INDEX(Реестр!$B$2:$B$401,MATCH($A167,Реестр!$V$2:$V$401,0)))</f>
        <v/>
      </c>
      <c r="C167" s="24" t="str">
        <f aca="false">IF($A167="","",INDEX(Реестр!$C$2:$C$401,MATCH($A167,Реестр!$V$2:$V$401,0)))</f>
        <v/>
      </c>
      <c r="D167" s="24" t="str">
        <f aca="false">IF($A167="","",INDEX(Реестр!$T$2:$T$401,MATCH($A167,Реестр!$V$2:$V$401,0)))</f>
        <v/>
      </c>
      <c r="E167" s="21" t="str">
        <f aca="false">IF($A167="","",INDEX(Реестр!$R$2:$R$401,MATCH($A167,Реестр!$V$2:$V$401,0)))</f>
        <v/>
      </c>
      <c r="F167" s="24" t="str">
        <f aca="false">IF($A167="","",INDEX(Реестр!$U$2:$U$401,MATCH($A167,Реестр!$V$2:$V$401,0)))</f>
        <v/>
      </c>
    </row>
    <row r="168" customFormat="false" ht="15" hidden="false" customHeight="false" outlineLevel="0" collapsed="false">
      <c r="A168" s="21" t="str">
        <f aca="false">IF(ROWS(A$5:A168)&lt;=MAX(Реестр!$V$2:$V$401),ROWS(A$5:A168),"")</f>
        <v/>
      </c>
      <c r="B168" s="24" t="str">
        <f aca="false">IF($A168="","",INDEX(Реестр!$B$2:$B$401,MATCH($A168,Реестр!$V$2:$V$401,0)))</f>
        <v/>
      </c>
      <c r="C168" s="24" t="str">
        <f aca="false">IF($A168="","",INDEX(Реестр!$C$2:$C$401,MATCH($A168,Реестр!$V$2:$V$401,0)))</f>
        <v/>
      </c>
      <c r="D168" s="24" t="str">
        <f aca="false">IF($A168="","",INDEX(Реестр!$T$2:$T$401,MATCH($A168,Реестр!$V$2:$V$401,0)))</f>
        <v/>
      </c>
      <c r="E168" s="21" t="str">
        <f aca="false">IF($A168="","",INDEX(Реестр!$R$2:$R$401,MATCH($A168,Реестр!$V$2:$V$401,0)))</f>
        <v/>
      </c>
      <c r="F168" s="24" t="str">
        <f aca="false">IF($A168="","",INDEX(Реестр!$U$2:$U$401,MATCH($A168,Реестр!$V$2:$V$401,0)))</f>
        <v/>
      </c>
    </row>
    <row r="169" customFormat="false" ht="15" hidden="false" customHeight="false" outlineLevel="0" collapsed="false">
      <c r="A169" s="21" t="str">
        <f aca="false">IF(ROWS(A$5:A169)&lt;=MAX(Реестр!$V$2:$V$401),ROWS(A$5:A169),"")</f>
        <v/>
      </c>
      <c r="B169" s="24" t="str">
        <f aca="false">IF($A169="","",INDEX(Реестр!$B$2:$B$401,MATCH($A169,Реестр!$V$2:$V$401,0)))</f>
        <v/>
      </c>
      <c r="C169" s="24" t="str">
        <f aca="false">IF($A169="","",INDEX(Реестр!$C$2:$C$401,MATCH($A169,Реестр!$V$2:$V$401,0)))</f>
        <v/>
      </c>
      <c r="D169" s="24" t="str">
        <f aca="false">IF($A169="","",INDEX(Реестр!$T$2:$T$401,MATCH($A169,Реестр!$V$2:$V$401,0)))</f>
        <v/>
      </c>
      <c r="E169" s="21" t="str">
        <f aca="false">IF($A169="","",INDEX(Реестр!$R$2:$R$401,MATCH($A169,Реестр!$V$2:$V$401,0)))</f>
        <v/>
      </c>
      <c r="F169" s="24" t="str">
        <f aca="false">IF($A169="","",INDEX(Реестр!$U$2:$U$401,MATCH($A169,Реестр!$V$2:$V$401,0)))</f>
        <v/>
      </c>
    </row>
    <row r="170" customFormat="false" ht="15" hidden="false" customHeight="false" outlineLevel="0" collapsed="false">
      <c r="A170" s="21" t="str">
        <f aca="false">IF(ROWS(A$5:A170)&lt;=MAX(Реестр!$V$2:$V$401),ROWS(A$5:A170),"")</f>
        <v/>
      </c>
      <c r="B170" s="24" t="str">
        <f aca="false">IF($A170="","",INDEX(Реестр!$B$2:$B$401,MATCH($A170,Реестр!$V$2:$V$401,0)))</f>
        <v/>
      </c>
      <c r="C170" s="24" t="str">
        <f aca="false">IF($A170="","",INDEX(Реестр!$C$2:$C$401,MATCH($A170,Реестр!$V$2:$V$401,0)))</f>
        <v/>
      </c>
      <c r="D170" s="24" t="str">
        <f aca="false">IF($A170="","",INDEX(Реестр!$T$2:$T$401,MATCH($A170,Реестр!$V$2:$V$401,0)))</f>
        <v/>
      </c>
      <c r="E170" s="21" t="str">
        <f aca="false">IF($A170="","",INDEX(Реестр!$R$2:$R$401,MATCH($A170,Реестр!$V$2:$V$401,0)))</f>
        <v/>
      </c>
      <c r="F170" s="24" t="str">
        <f aca="false">IF($A170="","",INDEX(Реестр!$U$2:$U$401,MATCH($A170,Реестр!$V$2:$V$401,0)))</f>
        <v/>
      </c>
    </row>
    <row r="171" customFormat="false" ht="15" hidden="false" customHeight="false" outlineLevel="0" collapsed="false">
      <c r="A171" s="21" t="str">
        <f aca="false">IF(ROWS(A$5:A171)&lt;=MAX(Реестр!$V$2:$V$401),ROWS(A$5:A171),"")</f>
        <v/>
      </c>
      <c r="B171" s="24" t="str">
        <f aca="false">IF($A171="","",INDEX(Реестр!$B$2:$B$401,MATCH($A171,Реестр!$V$2:$V$401,0)))</f>
        <v/>
      </c>
      <c r="C171" s="24" t="str">
        <f aca="false">IF($A171="","",INDEX(Реестр!$C$2:$C$401,MATCH($A171,Реестр!$V$2:$V$401,0)))</f>
        <v/>
      </c>
      <c r="D171" s="24" t="str">
        <f aca="false">IF($A171="","",INDEX(Реестр!$T$2:$T$401,MATCH($A171,Реестр!$V$2:$V$401,0)))</f>
        <v/>
      </c>
      <c r="E171" s="21" t="str">
        <f aca="false">IF($A171="","",INDEX(Реестр!$R$2:$R$401,MATCH($A171,Реестр!$V$2:$V$401,0)))</f>
        <v/>
      </c>
      <c r="F171" s="24" t="str">
        <f aca="false">IF($A171="","",INDEX(Реестр!$U$2:$U$401,MATCH($A171,Реестр!$V$2:$V$401,0)))</f>
        <v/>
      </c>
    </row>
    <row r="172" customFormat="false" ht="15" hidden="false" customHeight="false" outlineLevel="0" collapsed="false">
      <c r="A172" s="21" t="str">
        <f aca="false">IF(ROWS(A$5:A172)&lt;=MAX(Реестр!$V$2:$V$401),ROWS(A$5:A172),"")</f>
        <v/>
      </c>
      <c r="B172" s="24" t="str">
        <f aca="false">IF($A172="","",INDEX(Реестр!$B$2:$B$401,MATCH($A172,Реестр!$V$2:$V$401,0)))</f>
        <v/>
      </c>
      <c r="C172" s="24" t="str">
        <f aca="false">IF($A172="","",INDEX(Реестр!$C$2:$C$401,MATCH($A172,Реестр!$V$2:$V$401,0)))</f>
        <v/>
      </c>
      <c r="D172" s="24" t="str">
        <f aca="false">IF($A172="","",INDEX(Реестр!$T$2:$T$401,MATCH($A172,Реестр!$V$2:$V$401,0)))</f>
        <v/>
      </c>
      <c r="E172" s="21" t="str">
        <f aca="false">IF($A172="","",INDEX(Реестр!$R$2:$R$401,MATCH($A172,Реестр!$V$2:$V$401,0)))</f>
        <v/>
      </c>
      <c r="F172" s="24" t="str">
        <f aca="false">IF($A172="","",INDEX(Реестр!$U$2:$U$401,MATCH($A172,Реестр!$V$2:$V$401,0)))</f>
        <v/>
      </c>
    </row>
    <row r="173" customFormat="false" ht="15" hidden="false" customHeight="false" outlineLevel="0" collapsed="false">
      <c r="A173" s="21" t="str">
        <f aca="false">IF(ROWS(A$5:A173)&lt;=MAX(Реестр!$V$2:$V$401),ROWS(A$5:A173),"")</f>
        <v/>
      </c>
      <c r="B173" s="24" t="str">
        <f aca="false">IF($A173="","",INDEX(Реестр!$B$2:$B$401,MATCH($A173,Реестр!$V$2:$V$401,0)))</f>
        <v/>
      </c>
      <c r="C173" s="24" t="str">
        <f aca="false">IF($A173="","",INDEX(Реестр!$C$2:$C$401,MATCH($A173,Реестр!$V$2:$V$401,0)))</f>
        <v/>
      </c>
      <c r="D173" s="24" t="str">
        <f aca="false">IF($A173="","",INDEX(Реестр!$T$2:$T$401,MATCH($A173,Реестр!$V$2:$V$401,0)))</f>
        <v/>
      </c>
      <c r="E173" s="21" t="str">
        <f aca="false">IF($A173="","",INDEX(Реестр!$R$2:$R$401,MATCH($A173,Реестр!$V$2:$V$401,0)))</f>
        <v/>
      </c>
      <c r="F173" s="24" t="str">
        <f aca="false">IF($A173="","",INDEX(Реестр!$U$2:$U$401,MATCH($A173,Реестр!$V$2:$V$401,0)))</f>
        <v/>
      </c>
    </row>
    <row r="174" customFormat="false" ht="15" hidden="false" customHeight="false" outlineLevel="0" collapsed="false">
      <c r="A174" s="21" t="str">
        <f aca="false">IF(ROWS(A$5:A174)&lt;=MAX(Реестр!$V$2:$V$401),ROWS(A$5:A174),"")</f>
        <v/>
      </c>
      <c r="B174" s="24" t="str">
        <f aca="false">IF($A174="","",INDEX(Реестр!$B$2:$B$401,MATCH($A174,Реестр!$V$2:$V$401,0)))</f>
        <v/>
      </c>
      <c r="C174" s="24" t="str">
        <f aca="false">IF($A174="","",INDEX(Реестр!$C$2:$C$401,MATCH($A174,Реестр!$V$2:$V$401,0)))</f>
        <v/>
      </c>
      <c r="D174" s="24" t="str">
        <f aca="false">IF($A174="","",INDEX(Реестр!$T$2:$T$401,MATCH($A174,Реестр!$V$2:$V$401,0)))</f>
        <v/>
      </c>
      <c r="E174" s="21" t="str">
        <f aca="false">IF($A174="","",INDEX(Реестр!$R$2:$R$401,MATCH($A174,Реестр!$V$2:$V$401,0)))</f>
        <v/>
      </c>
      <c r="F174" s="24" t="str">
        <f aca="false">IF($A174="","",INDEX(Реестр!$U$2:$U$401,MATCH($A174,Реестр!$V$2:$V$401,0)))</f>
        <v/>
      </c>
    </row>
    <row r="175" customFormat="false" ht="15" hidden="false" customHeight="false" outlineLevel="0" collapsed="false">
      <c r="A175" s="21" t="str">
        <f aca="false">IF(ROWS(A$5:A175)&lt;=MAX(Реестр!$V$2:$V$401),ROWS(A$5:A175),"")</f>
        <v/>
      </c>
      <c r="B175" s="24" t="str">
        <f aca="false">IF($A175="","",INDEX(Реестр!$B$2:$B$401,MATCH($A175,Реестр!$V$2:$V$401,0)))</f>
        <v/>
      </c>
      <c r="C175" s="24" t="str">
        <f aca="false">IF($A175="","",INDEX(Реестр!$C$2:$C$401,MATCH($A175,Реестр!$V$2:$V$401,0)))</f>
        <v/>
      </c>
      <c r="D175" s="24" t="str">
        <f aca="false">IF($A175="","",INDEX(Реестр!$T$2:$T$401,MATCH($A175,Реестр!$V$2:$V$401,0)))</f>
        <v/>
      </c>
      <c r="E175" s="21" t="str">
        <f aca="false">IF($A175="","",INDEX(Реестр!$R$2:$R$401,MATCH($A175,Реестр!$V$2:$V$401,0)))</f>
        <v/>
      </c>
      <c r="F175" s="24" t="str">
        <f aca="false">IF($A175="","",INDEX(Реестр!$U$2:$U$401,MATCH($A175,Реестр!$V$2:$V$401,0)))</f>
        <v/>
      </c>
    </row>
    <row r="176" customFormat="false" ht="15" hidden="false" customHeight="false" outlineLevel="0" collapsed="false">
      <c r="A176" s="21" t="str">
        <f aca="false">IF(ROWS(A$5:A176)&lt;=MAX(Реестр!$V$2:$V$401),ROWS(A$5:A176),"")</f>
        <v/>
      </c>
      <c r="B176" s="24" t="str">
        <f aca="false">IF($A176="","",INDEX(Реестр!$B$2:$B$401,MATCH($A176,Реестр!$V$2:$V$401,0)))</f>
        <v/>
      </c>
      <c r="C176" s="24" t="str">
        <f aca="false">IF($A176="","",INDEX(Реестр!$C$2:$C$401,MATCH($A176,Реестр!$V$2:$V$401,0)))</f>
        <v/>
      </c>
      <c r="D176" s="24" t="str">
        <f aca="false">IF($A176="","",INDEX(Реестр!$T$2:$T$401,MATCH($A176,Реестр!$V$2:$V$401,0)))</f>
        <v/>
      </c>
      <c r="E176" s="21" t="str">
        <f aca="false">IF($A176="","",INDEX(Реестр!$R$2:$R$401,MATCH($A176,Реестр!$V$2:$V$401,0)))</f>
        <v/>
      </c>
      <c r="F176" s="24" t="str">
        <f aca="false">IF($A176="","",INDEX(Реестр!$U$2:$U$401,MATCH($A176,Реестр!$V$2:$V$401,0)))</f>
        <v/>
      </c>
    </row>
    <row r="177" customFormat="false" ht="15" hidden="false" customHeight="false" outlineLevel="0" collapsed="false">
      <c r="A177" s="21" t="str">
        <f aca="false">IF(ROWS(A$5:A177)&lt;=MAX(Реестр!$V$2:$V$401),ROWS(A$5:A177),"")</f>
        <v/>
      </c>
      <c r="B177" s="24" t="str">
        <f aca="false">IF($A177="","",INDEX(Реестр!$B$2:$B$401,MATCH($A177,Реестр!$V$2:$V$401,0)))</f>
        <v/>
      </c>
      <c r="C177" s="24" t="str">
        <f aca="false">IF($A177="","",INDEX(Реестр!$C$2:$C$401,MATCH($A177,Реестр!$V$2:$V$401,0)))</f>
        <v/>
      </c>
      <c r="D177" s="24" t="str">
        <f aca="false">IF($A177="","",INDEX(Реестр!$T$2:$T$401,MATCH($A177,Реестр!$V$2:$V$401,0)))</f>
        <v/>
      </c>
      <c r="E177" s="21" t="str">
        <f aca="false">IF($A177="","",INDEX(Реестр!$R$2:$R$401,MATCH($A177,Реестр!$V$2:$V$401,0)))</f>
        <v/>
      </c>
      <c r="F177" s="24" t="str">
        <f aca="false">IF($A177="","",INDEX(Реестр!$U$2:$U$401,MATCH($A177,Реестр!$V$2:$V$401,0)))</f>
        <v/>
      </c>
    </row>
    <row r="178" customFormat="false" ht="15" hidden="false" customHeight="false" outlineLevel="0" collapsed="false">
      <c r="A178" s="21" t="str">
        <f aca="false">IF(ROWS(A$5:A178)&lt;=MAX(Реестр!$V$2:$V$401),ROWS(A$5:A178),"")</f>
        <v/>
      </c>
      <c r="B178" s="24" t="str">
        <f aca="false">IF($A178="","",INDEX(Реестр!$B$2:$B$401,MATCH($A178,Реестр!$V$2:$V$401,0)))</f>
        <v/>
      </c>
      <c r="C178" s="24" t="str">
        <f aca="false">IF($A178="","",INDEX(Реестр!$C$2:$C$401,MATCH($A178,Реестр!$V$2:$V$401,0)))</f>
        <v/>
      </c>
      <c r="D178" s="24" t="str">
        <f aca="false">IF($A178="","",INDEX(Реестр!$T$2:$T$401,MATCH($A178,Реестр!$V$2:$V$401,0)))</f>
        <v/>
      </c>
      <c r="E178" s="21" t="str">
        <f aca="false">IF($A178="","",INDEX(Реестр!$R$2:$R$401,MATCH($A178,Реестр!$V$2:$V$401,0)))</f>
        <v/>
      </c>
      <c r="F178" s="24" t="str">
        <f aca="false">IF($A178="","",INDEX(Реестр!$U$2:$U$401,MATCH($A178,Реестр!$V$2:$V$401,0)))</f>
        <v/>
      </c>
    </row>
    <row r="179" customFormat="false" ht="15" hidden="false" customHeight="false" outlineLevel="0" collapsed="false">
      <c r="A179" s="21" t="str">
        <f aca="false">IF(ROWS(A$5:A179)&lt;=MAX(Реестр!$V$2:$V$401),ROWS(A$5:A179),"")</f>
        <v/>
      </c>
      <c r="B179" s="24" t="str">
        <f aca="false">IF($A179="","",INDEX(Реестр!$B$2:$B$401,MATCH($A179,Реестр!$V$2:$V$401,0)))</f>
        <v/>
      </c>
      <c r="C179" s="24" t="str">
        <f aca="false">IF($A179="","",INDEX(Реестр!$C$2:$C$401,MATCH($A179,Реестр!$V$2:$V$401,0)))</f>
        <v/>
      </c>
      <c r="D179" s="24" t="str">
        <f aca="false">IF($A179="","",INDEX(Реестр!$T$2:$T$401,MATCH($A179,Реестр!$V$2:$V$401,0)))</f>
        <v/>
      </c>
      <c r="E179" s="21" t="str">
        <f aca="false">IF($A179="","",INDEX(Реестр!$R$2:$R$401,MATCH($A179,Реестр!$V$2:$V$401,0)))</f>
        <v/>
      </c>
      <c r="F179" s="24" t="str">
        <f aca="false">IF($A179="","",INDEX(Реестр!$U$2:$U$401,MATCH($A179,Реестр!$V$2:$V$401,0)))</f>
        <v/>
      </c>
    </row>
    <row r="180" customFormat="false" ht="15" hidden="false" customHeight="false" outlineLevel="0" collapsed="false">
      <c r="A180" s="21" t="str">
        <f aca="false">IF(ROWS(A$5:A180)&lt;=MAX(Реестр!$V$2:$V$401),ROWS(A$5:A180),"")</f>
        <v/>
      </c>
      <c r="B180" s="24" t="str">
        <f aca="false">IF($A180="","",INDEX(Реестр!$B$2:$B$401,MATCH($A180,Реестр!$V$2:$V$401,0)))</f>
        <v/>
      </c>
      <c r="C180" s="24" t="str">
        <f aca="false">IF($A180="","",INDEX(Реестр!$C$2:$C$401,MATCH($A180,Реестр!$V$2:$V$401,0)))</f>
        <v/>
      </c>
      <c r="D180" s="24" t="str">
        <f aca="false">IF($A180="","",INDEX(Реестр!$T$2:$T$401,MATCH($A180,Реестр!$V$2:$V$401,0)))</f>
        <v/>
      </c>
      <c r="E180" s="21" t="str">
        <f aca="false">IF($A180="","",INDEX(Реестр!$R$2:$R$401,MATCH($A180,Реестр!$V$2:$V$401,0)))</f>
        <v/>
      </c>
      <c r="F180" s="24" t="str">
        <f aca="false">IF($A180="","",INDEX(Реестр!$U$2:$U$401,MATCH($A180,Реестр!$V$2:$V$401,0)))</f>
        <v/>
      </c>
    </row>
    <row r="181" customFormat="false" ht="15" hidden="false" customHeight="false" outlineLevel="0" collapsed="false">
      <c r="A181" s="21" t="str">
        <f aca="false">IF(ROWS(A$5:A181)&lt;=MAX(Реестр!$V$2:$V$401),ROWS(A$5:A181),"")</f>
        <v/>
      </c>
      <c r="B181" s="24" t="str">
        <f aca="false">IF($A181="","",INDEX(Реестр!$B$2:$B$401,MATCH($A181,Реестр!$V$2:$V$401,0)))</f>
        <v/>
      </c>
      <c r="C181" s="24" t="str">
        <f aca="false">IF($A181="","",INDEX(Реестр!$C$2:$C$401,MATCH($A181,Реестр!$V$2:$V$401,0)))</f>
        <v/>
      </c>
      <c r="D181" s="24" t="str">
        <f aca="false">IF($A181="","",INDEX(Реестр!$T$2:$T$401,MATCH($A181,Реестр!$V$2:$V$401,0)))</f>
        <v/>
      </c>
      <c r="E181" s="21" t="str">
        <f aca="false">IF($A181="","",INDEX(Реестр!$R$2:$R$401,MATCH($A181,Реестр!$V$2:$V$401,0)))</f>
        <v/>
      </c>
      <c r="F181" s="24" t="str">
        <f aca="false">IF($A181="","",INDEX(Реестр!$U$2:$U$401,MATCH($A181,Реестр!$V$2:$V$401,0)))</f>
        <v/>
      </c>
    </row>
    <row r="182" customFormat="false" ht="15" hidden="false" customHeight="false" outlineLevel="0" collapsed="false">
      <c r="A182" s="21" t="str">
        <f aca="false">IF(ROWS(A$5:A182)&lt;=MAX(Реестр!$V$2:$V$401),ROWS(A$5:A182),"")</f>
        <v/>
      </c>
      <c r="B182" s="24" t="str">
        <f aca="false">IF($A182="","",INDEX(Реестр!$B$2:$B$401,MATCH($A182,Реестр!$V$2:$V$401,0)))</f>
        <v/>
      </c>
      <c r="C182" s="24" t="str">
        <f aca="false">IF($A182="","",INDEX(Реестр!$C$2:$C$401,MATCH($A182,Реестр!$V$2:$V$401,0)))</f>
        <v/>
      </c>
      <c r="D182" s="24" t="str">
        <f aca="false">IF($A182="","",INDEX(Реестр!$T$2:$T$401,MATCH($A182,Реестр!$V$2:$V$401,0)))</f>
        <v/>
      </c>
      <c r="E182" s="21" t="str">
        <f aca="false">IF($A182="","",INDEX(Реестр!$R$2:$R$401,MATCH($A182,Реестр!$V$2:$V$401,0)))</f>
        <v/>
      </c>
      <c r="F182" s="24" t="str">
        <f aca="false">IF($A182="","",INDEX(Реестр!$U$2:$U$401,MATCH($A182,Реестр!$V$2:$V$401,0)))</f>
        <v/>
      </c>
    </row>
    <row r="183" customFormat="false" ht="15" hidden="false" customHeight="false" outlineLevel="0" collapsed="false">
      <c r="A183" s="21" t="str">
        <f aca="false">IF(ROWS(A$5:A183)&lt;=MAX(Реестр!$V$2:$V$401),ROWS(A$5:A183),"")</f>
        <v/>
      </c>
      <c r="B183" s="24" t="str">
        <f aca="false">IF($A183="","",INDEX(Реестр!$B$2:$B$401,MATCH($A183,Реестр!$V$2:$V$401,0)))</f>
        <v/>
      </c>
      <c r="C183" s="24" t="str">
        <f aca="false">IF($A183="","",INDEX(Реестр!$C$2:$C$401,MATCH($A183,Реестр!$V$2:$V$401,0)))</f>
        <v/>
      </c>
      <c r="D183" s="24" t="str">
        <f aca="false">IF($A183="","",INDEX(Реестр!$T$2:$T$401,MATCH($A183,Реестр!$V$2:$V$401,0)))</f>
        <v/>
      </c>
      <c r="E183" s="21" t="str">
        <f aca="false">IF($A183="","",INDEX(Реестр!$R$2:$R$401,MATCH($A183,Реестр!$V$2:$V$401,0)))</f>
        <v/>
      </c>
      <c r="F183" s="24" t="str">
        <f aca="false">IF($A183="","",INDEX(Реестр!$U$2:$U$401,MATCH($A183,Реестр!$V$2:$V$401,0)))</f>
        <v/>
      </c>
    </row>
    <row r="184" customFormat="false" ht="15" hidden="false" customHeight="false" outlineLevel="0" collapsed="false">
      <c r="A184" s="21" t="str">
        <f aca="false">IF(ROWS(A$5:A184)&lt;=MAX(Реестр!$V$2:$V$401),ROWS(A$5:A184),"")</f>
        <v/>
      </c>
      <c r="B184" s="24" t="str">
        <f aca="false">IF($A184="","",INDEX(Реестр!$B$2:$B$401,MATCH($A184,Реестр!$V$2:$V$401,0)))</f>
        <v/>
      </c>
      <c r="C184" s="24" t="str">
        <f aca="false">IF($A184="","",INDEX(Реестр!$C$2:$C$401,MATCH($A184,Реестр!$V$2:$V$401,0)))</f>
        <v/>
      </c>
      <c r="D184" s="24" t="str">
        <f aca="false">IF($A184="","",INDEX(Реестр!$T$2:$T$401,MATCH($A184,Реестр!$V$2:$V$401,0)))</f>
        <v/>
      </c>
      <c r="E184" s="21" t="str">
        <f aca="false">IF($A184="","",INDEX(Реестр!$R$2:$R$401,MATCH($A184,Реестр!$V$2:$V$401,0)))</f>
        <v/>
      </c>
      <c r="F184" s="24" t="str">
        <f aca="false">IF($A184="","",INDEX(Реестр!$U$2:$U$401,MATCH($A184,Реестр!$V$2:$V$401,0)))</f>
        <v/>
      </c>
    </row>
    <row r="185" customFormat="false" ht="15" hidden="false" customHeight="false" outlineLevel="0" collapsed="false">
      <c r="A185" s="21" t="str">
        <f aca="false">IF(ROWS(A$5:A185)&lt;=MAX(Реестр!$V$2:$V$401),ROWS(A$5:A185),"")</f>
        <v/>
      </c>
      <c r="B185" s="24" t="str">
        <f aca="false">IF($A185="","",INDEX(Реестр!$B$2:$B$401,MATCH($A185,Реестр!$V$2:$V$401,0)))</f>
        <v/>
      </c>
      <c r="C185" s="24" t="str">
        <f aca="false">IF($A185="","",INDEX(Реестр!$C$2:$C$401,MATCH($A185,Реестр!$V$2:$V$401,0)))</f>
        <v/>
      </c>
      <c r="D185" s="24" t="str">
        <f aca="false">IF($A185="","",INDEX(Реестр!$T$2:$T$401,MATCH($A185,Реестр!$V$2:$V$401,0)))</f>
        <v/>
      </c>
      <c r="E185" s="21" t="str">
        <f aca="false">IF($A185="","",INDEX(Реестр!$R$2:$R$401,MATCH($A185,Реестр!$V$2:$V$401,0)))</f>
        <v/>
      </c>
      <c r="F185" s="24" t="str">
        <f aca="false">IF($A185="","",INDEX(Реестр!$U$2:$U$401,MATCH($A185,Реестр!$V$2:$V$401,0)))</f>
        <v/>
      </c>
    </row>
    <row r="186" customFormat="false" ht="15" hidden="false" customHeight="false" outlineLevel="0" collapsed="false">
      <c r="A186" s="21" t="str">
        <f aca="false">IF(ROWS(A$5:A186)&lt;=MAX(Реестр!$V$2:$V$401),ROWS(A$5:A186),"")</f>
        <v/>
      </c>
      <c r="B186" s="24" t="str">
        <f aca="false">IF($A186="","",INDEX(Реестр!$B$2:$B$401,MATCH($A186,Реестр!$V$2:$V$401,0)))</f>
        <v/>
      </c>
      <c r="C186" s="24" t="str">
        <f aca="false">IF($A186="","",INDEX(Реестр!$C$2:$C$401,MATCH($A186,Реестр!$V$2:$V$401,0)))</f>
        <v/>
      </c>
      <c r="D186" s="24" t="str">
        <f aca="false">IF($A186="","",INDEX(Реестр!$T$2:$T$401,MATCH($A186,Реестр!$V$2:$V$401,0)))</f>
        <v/>
      </c>
      <c r="E186" s="21" t="str">
        <f aca="false">IF($A186="","",INDEX(Реестр!$R$2:$R$401,MATCH($A186,Реестр!$V$2:$V$401,0)))</f>
        <v/>
      </c>
      <c r="F186" s="24" t="str">
        <f aca="false">IF($A186="","",INDEX(Реестр!$U$2:$U$401,MATCH($A186,Реестр!$V$2:$V$401,0)))</f>
        <v/>
      </c>
    </row>
    <row r="187" customFormat="false" ht="15" hidden="false" customHeight="false" outlineLevel="0" collapsed="false">
      <c r="A187" s="21" t="str">
        <f aca="false">IF(ROWS(A$5:A187)&lt;=MAX(Реестр!$V$2:$V$401),ROWS(A$5:A187),"")</f>
        <v/>
      </c>
      <c r="B187" s="24" t="str">
        <f aca="false">IF($A187="","",INDEX(Реестр!$B$2:$B$401,MATCH($A187,Реестр!$V$2:$V$401,0)))</f>
        <v/>
      </c>
      <c r="C187" s="24" t="str">
        <f aca="false">IF($A187="","",INDEX(Реестр!$C$2:$C$401,MATCH($A187,Реестр!$V$2:$V$401,0)))</f>
        <v/>
      </c>
      <c r="D187" s="24" t="str">
        <f aca="false">IF($A187="","",INDEX(Реестр!$T$2:$T$401,MATCH($A187,Реестр!$V$2:$V$401,0)))</f>
        <v/>
      </c>
      <c r="E187" s="21" t="str">
        <f aca="false">IF($A187="","",INDEX(Реестр!$R$2:$R$401,MATCH($A187,Реестр!$V$2:$V$401,0)))</f>
        <v/>
      </c>
      <c r="F187" s="24" t="str">
        <f aca="false">IF($A187="","",INDEX(Реестр!$U$2:$U$401,MATCH($A187,Реестр!$V$2:$V$401,0)))</f>
        <v/>
      </c>
    </row>
    <row r="188" customFormat="false" ht="15" hidden="false" customHeight="false" outlineLevel="0" collapsed="false">
      <c r="A188" s="21" t="str">
        <f aca="false">IF(ROWS(A$5:A188)&lt;=MAX(Реестр!$V$2:$V$401),ROWS(A$5:A188),"")</f>
        <v/>
      </c>
      <c r="B188" s="24" t="str">
        <f aca="false">IF($A188="","",INDEX(Реестр!$B$2:$B$401,MATCH($A188,Реестр!$V$2:$V$401,0)))</f>
        <v/>
      </c>
      <c r="C188" s="24" t="str">
        <f aca="false">IF($A188="","",INDEX(Реестр!$C$2:$C$401,MATCH($A188,Реестр!$V$2:$V$401,0)))</f>
        <v/>
      </c>
      <c r="D188" s="24" t="str">
        <f aca="false">IF($A188="","",INDEX(Реестр!$T$2:$T$401,MATCH($A188,Реестр!$V$2:$V$401,0)))</f>
        <v/>
      </c>
      <c r="E188" s="21" t="str">
        <f aca="false">IF($A188="","",INDEX(Реестр!$R$2:$R$401,MATCH($A188,Реестр!$V$2:$V$401,0)))</f>
        <v/>
      </c>
      <c r="F188" s="24" t="str">
        <f aca="false">IF($A188="","",INDEX(Реестр!$U$2:$U$401,MATCH($A188,Реестр!$V$2:$V$401,0)))</f>
        <v/>
      </c>
    </row>
    <row r="189" customFormat="false" ht="15" hidden="false" customHeight="false" outlineLevel="0" collapsed="false">
      <c r="A189" s="21" t="str">
        <f aca="false">IF(ROWS(A$5:A189)&lt;=MAX(Реестр!$V$2:$V$401),ROWS(A$5:A189),"")</f>
        <v/>
      </c>
      <c r="B189" s="24" t="str">
        <f aca="false">IF($A189="","",INDEX(Реестр!$B$2:$B$401,MATCH($A189,Реестр!$V$2:$V$401,0)))</f>
        <v/>
      </c>
      <c r="C189" s="24" t="str">
        <f aca="false">IF($A189="","",INDEX(Реестр!$C$2:$C$401,MATCH($A189,Реестр!$V$2:$V$401,0)))</f>
        <v/>
      </c>
      <c r="D189" s="24" t="str">
        <f aca="false">IF($A189="","",INDEX(Реестр!$T$2:$T$401,MATCH($A189,Реестр!$V$2:$V$401,0)))</f>
        <v/>
      </c>
      <c r="E189" s="21" t="str">
        <f aca="false">IF($A189="","",INDEX(Реестр!$R$2:$R$401,MATCH($A189,Реестр!$V$2:$V$401,0)))</f>
        <v/>
      </c>
      <c r="F189" s="24" t="str">
        <f aca="false">IF($A189="","",INDEX(Реестр!$U$2:$U$401,MATCH($A189,Реестр!$V$2:$V$401,0)))</f>
        <v/>
      </c>
    </row>
    <row r="190" customFormat="false" ht="15" hidden="false" customHeight="false" outlineLevel="0" collapsed="false">
      <c r="A190" s="21" t="str">
        <f aca="false">IF(ROWS(A$5:A190)&lt;=MAX(Реестр!$V$2:$V$401),ROWS(A$5:A190),"")</f>
        <v/>
      </c>
      <c r="B190" s="24" t="str">
        <f aca="false">IF($A190="","",INDEX(Реестр!$B$2:$B$401,MATCH($A190,Реестр!$V$2:$V$401,0)))</f>
        <v/>
      </c>
      <c r="C190" s="24" t="str">
        <f aca="false">IF($A190="","",INDEX(Реестр!$C$2:$C$401,MATCH($A190,Реестр!$V$2:$V$401,0)))</f>
        <v/>
      </c>
      <c r="D190" s="24" t="str">
        <f aca="false">IF($A190="","",INDEX(Реестр!$T$2:$T$401,MATCH($A190,Реестр!$V$2:$V$401,0)))</f>
        <v/>
      </c>
      <c r="E190" s="21" t="str">
        <f aca="false">IF($A190="","",INDEX(Реестр!$R$2:$R$401,MATCH($A190,Реестр!$V$2:$V$401,0)))</f>
        <v/>
      </c>
      <c r="F190" s="24" t="str">
        <f aca="false">IF($A190="","",INDEX(Реестр!$U$2:$U$401,MATCH($A190,Реестр!$V$2:$V$401,0)))</f>
        <v/>
      </c>
    </row>
    <row r="191" customFormat="false" ht="15" hidden="false" customHeight="false" outlineLevel="0" collapsed="false">
      <c r="A191" s="21" t="str">
        <f aca="false">IF(ROWS(A$5:A191)&lt;=MAX(Реестр!$V$2:$V$401),ROWS(A$5:A191),"")</f>
        <v/>
      </c>
      <c r="B191" s="24" t="str">
        <f aca="false">IF($A191="","",INDEX(Реестр!$B$2:$B$401,MATCH($A191,Реестр!$V$2:$V$401,0)))</f>
        <v/>
      </c>
      <c r="C191" s="24" t="str">
        <f aca="false">IF($A191="","",INDEX(Реестр!$C$2:$C$401,MATCH($A191,Реестр!$V$2:$V$401,0)))</f>
        <v/>
      </c>
      <c r="D191" s="24" t="str">
        <f aca="false">IF($A191="","",INDEX(Реестр!$T$2:$T$401,MATCH($A191,Реестр!$V$2:$V$401,0)))</f>
        <v/>
      </c>
      <c r="E191" s="21" t="str">
        <f aca="false">IF($A191="","",INDEX(Реестр!$R$2:$R$401,MATCH($A191,Реестр!$V$2:$V$401,0)))</f>
        <v/>
      </c>
      <c r="F191" s="24" t="str">
        <f aca="false">IF($A191="","",INDEX(Реестр!$U$2:$U$401,MATCH($A191,Реестр!$V$2:$V$401,0)))</f>
        <v/>
      </c>
    </row>
    <row r="192" customFormat="false" ht="15" hidden="false" customHeight="false" outlineLevel="0" collapsed="false">
      <c r="A192" s="21" t="str">
        <f aca="false">IF(ROWS(A$5:A192)&lt;=MAX(Реестр!$V$2:$V$401),ROWS(A$5:A192),"")</f>
        <v/>
      </c>
      <c r="B192" s="24" t="str">
        <f aca="false">IF($A192="","",INDEX(Реестр!$B$2:$B$401,MATCH($A192,Реестр!$V$2:$V$401,0)))</f>
        <v/>
      </c>
      <c r="C192" s="24" t="str">
        <f aca="false">IF($A192="","",INDEX(Реестр!$C$2:$C$401,MATCH($A192,Реестр!$V$2:$V$401,0)))</f>
        <v/>
      </c>
      <c r="D192" s="24" t="str">
        <f aca="false">IF($A192="","",INDEX(Реестр!$T$2:$T$401,MATCH($A192,Реестр!$V$2:$V$401,0)))</f>
        <v/>
      </c>
      <c r="E192" s="21" t="str">
        <f aca="false">IF($A192="","",INDEX(Реестр!$R$2:$R$401,MATCH($A192,Реестр!$V$2:$V$401,0)))</f>
        <v/>
      </c>
      <c r="F192" s="24" t="str">
        <f aca="false">IF($A192="","",INDEX(Реестр!$U$2:$U$401,MATCH($A192,Реестр!$V$2:$V$401,0)))</f>
        <v/>
      </c>
    </row>
    <row r="193" customFormat="false" ht="15" hidden="false" customHeight="false" outlineLevel="0" collapsed="false">
      <c r="A193" s="21" t="str">
        <f aca="false">IF(ROWS(A$5:A193)&lt;=MAX(Реестр!$V$2:$V$401),ROWS(A$5:A193),"")</f>
        <v/>
      </c>
      <c r="B193" s="24" t="str">
        <f aca="false">IF($A193="","",INDEX(Реестр!$B$2:$B$401,MATCH($A193,Реестр!$V$2:$V$401,0)))</f>
        <v/>
      </c>
      <c r="C193" s="24" t="str">
        <f aca="false">IF($A193="","",INDEX(Реестр!$C$2:$C$401,MATCH($A193,Реестр!$V$2:$V$401,0)))</f>
        <v/>
      </c>
      <c r="D193" s="24" t="str">
        <f aca="false">IF($A193="","",INDEX(Реестр!$T$2:$T$401,MATCH($A193,Реестр!$V$2:$V$401,0)))</f>
        <v/>
      </c>
      <c r="E193" s="21" t="str">
        <f aca="false">IF($A193="","",INDEX(Реестр!$R$2:$R$401,MATCH($A193,Реестр!$V$2:$V$401,0)))</f>
        <v/>
      </c>
      <c r="F193" s="24" t="str">
        <f aca="false">IF($A193="","",INDEX(Реестр!$U$2:$U$401,MATCH($A193,Реестр!$V$2:$V$401,0)))</f>
        <v/>
      </c>
    </row>
    <row r="194" customFormat="false" ht="15" hidden="false" customHeight="false" outlineLevel="0" collapsed="false">
      <c r="A194" s="21" t="str">
        <f aca="false">IF(ROWS(A$5:A194)&lt;=MAX(Реестр!$V$2:$V$401),ROWS(A$5:A194),"")</f>
        <v/>
      </c>
      <c r="B194" s="24" t="str">
        <f aca="false">IF($A194="","",INDEX(Реестр!$B$2:$B$401,MATCH($A194,Реестр!$V$2:$V$401,0)))</f>
        <v/>
      </c>
      <c r="C194" s="24" t="str">
        <f aca="false">IF($A194="","",INDEX(Реестр!$C$2:$C$401,MATCH($A194,Реестр!$V$2:$V$401,0)))</f>
        <v/>
      </c>
      <c r="D194" s="24" t="str">
        <f aca="false">IF($A194="","",INDEX(Реестр!$T$2:$T$401,MATCH($A194,Реестр!$V$2:$V$401,0)))</f>
        <v/>
      </c>
      <c r="E194" s="21" t="str">
        <f aca="false">IF($A194="","",INDEX(Реестр!$R$2:$R$401,MATCH($A194,Реестр!$V$2:$V$401,0)))</f>
        <v/>
      </c>
      <c r="F194" s="24" t="str">
        <f aca="false">IF($A194="","",INDEX(Реестр!$U$2:$U$401,MATCH($A194,Реестр!$V$2:$V$401,0)))</f>
        <v/>
      </c>
    </row>
    <row r="195" customFormat="false" ht="15" hidden="false" customHeight="false" outlineLevel="0" collapsed="false">
      <c r="A195" s="21" t="str">
        <f aca="false">IF(ROWS(A$5:A195)&lt;=MAX(Реестр!$V$2:$V$401),ROWS(A$5:A195),"")</f>
        <v/>
      </c>
      <c r="B195" s="24" t="str">
        <f aca="false">IF($A195="","",INDEX(Реестр!$B$2:$B$401,MATCH($A195,Реестр!$V$2:$V$401,0)))</f>
        <v/>
      </c>
      <c r="C195" s="24" t="str">
        <f aca="false">IF($A195="","",INDEX(Реестр!$C$2:$C$401,MATCH($A195,Реестр!$V$2:$V$401,0)))</f>
        <v/>
      </c>
      <c r="D195" s="24" t="str">
        <f aca="false">IF($A195="","",INDEX(Реестр!$T$2:$T$401,MATCH($A195,Реестр!$V$2:$V$401,0)))</f>
        <v/>
      </c>
      <c r="E195" s="21" t="str">
        <f aca="false">IF($A195="","",INDEX(Реестр!$R$2:$R$401,MATCH($A195,Реестр!$V$2:$V$401,0)))</f>
        <v/>
      </c>
      <c r="F195" s="24" t="str">
        <f aca="false">IF($A195="","",INDEX(Реестр!$U$2:$U$401,MATCH($A195,Реестр!$V$2:$V$401,0)))</f>
        <v/>
      </c>
    </row>
    <row r="196" customFormat="false" ht="15" hidden="false" customHeight="false" outlineLevel="0" collapsed="false">
      <c r="A196" s="21" t="str">
        <f aca="false">IF(ROWS(A$5:A196)&lt;=MAX(Реестр!$V$2:$V$401),ROWS(A$5:A196),"")</f>
        <v/>
      </c>
      <c r="B196" s="24" t="str">
        <f aca="false">IF($A196="","",INDEX(Реестр!$B$2:$B$401,MATCH($A196,Реестр!$V$2:$V$401,0)))</f>
        <v/>
      </c>
      <c r="C196" s="24" t="str">
        <f aca="false">IF($A196="","",INDEX(Реестр!$C$2:$C$401,MATCH($A196,Реестр!$V$2:$V$401,0)))</f>
        <v/>
      </c>
      <c r="D196" s="24" t="str">
        <f aca="false">IF($A196="","",INDEX(Реестр!$T$2:$T$401,MATCH($A196,Реестр!$V$2:$V$401,0)))</f>
        <v/>
      </c>
      <c r="E196" s="21" t="str">
        <f aca="false">IF($A196="","",INDEX(Реестр!$R$2:$R$401,MATCH($A196,Реестр!$V$2:$V$401,0)))</f>
        <v/>
      </c>
      <c r="F196" s="24" t="str">
        <f aca="false">IF($A196="","",INDEX(Реестр!$U$2:$U$401,MATCH($A196,Реестр!$V$2:$V$401,0)))</f>
        <v/>
      </c>
    </row>
    <row r="197" customFormat="false" ht="15" hidden="false" customHeight="false" outlineLevel="0" collapsed="false">
      <c r="A197" s="21" t="str">
        <f aca="false">IF(ROWS(A$5:A197)&lt;=MAX(Реестр!$V$2:$V$401),ROWS(A$5:A197),"")</f>
        <v/>
      </c>
      <c r="B197" s="24" t="str">
        <f aca="false">IF($A197="","",INDEX(Реестр!$B$2:$B$401,MATCH($A197,Реестр!$V$2:$V$401,0)))</f>
        <v/>
      </c>
      <c r="C197" s="24" t="str">
        <f aca="false">IF($A197="","",INDEX(Реестр!$C$2:$C$401,MATCH($A197,Реестр!$V$2:$V$401,0)))</f>
        <v/>
      </c>
      <c r="D197" s="24" t="str">
        <f aca="false">IF($A197="","",INDEX(Реестр!$T$2:$T$401,MATCH($A197,Реестр!$V$2:$V$401,0)))</f>
        <v/>
      </c>
      <c r="E197" s="21" t="str">
        <f aca="false">IF($A197="","",INDEX(Реестр!$R$2:$R$401,MATCH($A197,Реестр!$V$2:$V$401,0)))</f>
        <v/>
      </c>
      <c r="F197" s="24" t="str">
        <f aca="false">IF($A197="","",INDEX(Реестр!$U$2:$U$401,MATCH($A197,Реестр!$V$2:$V$401,0)))</f>
        <v/>
      </c>
    </row>
    <row r="198" customFormat="false" ht="15" hidden="false" customHeight="false" outlineLevel="0" collapsed="false">
      <c r="A198" s="21" t="str">
        <f aca="false">IF(ROWS(A$5:A198)&lt;=MAX(Реестр!$V$2:$V$401),ROWS(A$5:A198),"")</f>
        <v/>
      </c>
      <c r="B198" s="24" t="str">
        <f aca="false">IF($A198="","",INDEX(Реестр!$B$2:$B$401,MATCH($A198,Реестр!$V$2:$V$401,0)))</f>
        <v/>
      </c>
      <c r="C198" s="24" t="str">
        <f aca="false">IF($A198="","",INDEX(Реестр!$C$2:$C$401,MATCH($A198,Реестр!$V$2:$V$401,0)))</f>
        <v/>
      </c>
      <c r="D198" s="24" t="str">
        <f aca="false">IF($A198="","",INDEX(Реестр!$T$2:$T$401,MATCH($A198,Реестр!$V$2:$V$401,0)))</f>
        <v/>
      </c>
      <c r="E198" s="21" t="str">
        <f aca="false">IF($A198="","",INDEX(Реестр!$R$2:$R$401,MATCH($A198,Реестр!$V$2:$V$401,0)))</f>
        <v/>
      </c>
      <c r="F198" s="24" t="str">
        <f aca="false">IF($A198="","",INDEX(Реестр!$U$2:$U$401,MATCH($A198,Реестр!$V$2:$V$401,0)))</f>
        <v/>
      </c>
    </row>
    <row r="199" customFormat="false" ht="15" hidden="false" customHeight="false" outlineLevel="0" collapsed="false">
      <c r="A199" s="21" t="str">
        <f aca="false">IF(ROWS(A$5:A199)&lt;=MAX(Реестр!$V$2:$V$401),ROWS(A$5:A199),"")</f>
        <v/>
      </c>
      <c r="B199" s="24" t="str">
        <f aca="false">IF($A199="","",INDEX(Реестр!$B$2:$B$401,MATCH($A199,Реестр!$V$2:$V$401,0)))</f>
        <v/>
      </c>
      <c r="C199" s="24" t="str">
        <f aca="false">IF($A199="","",INDEX(Реестр!$C$2:$C$401,MATCH($A199,Реестр!$V$2:$V$401,0)))</f>
        <v/>
      </c>
      <c r="D199" s="24" t="str">
        <f aca="false">IF($A199="","",INDEX(Реестр!$T$2:$T$401,MATCH($A199,Реестр!$V$2:$V$401,0)))</f>
        <v/>
      </c>
      <c r="E199" s="21" t="str">
        <f aca="false">IF($A199="","",INDEX(Реестр!$R$2:$R$401,MATCH($A199,Реестр!$V$2:$V$401,0)))</f>
        <v/>
      </c>
      <c r="F199" s="24" t="str">
        <f aca="false">IF($A199="","",INDEX(Реестр!$U$2:$U$401,MATCH($A199,Реестр!$V$2:$V$401,0)))</f>
        <v/>
      </c>
    </row>
    <row r="200" customFormat="false" ht="15" hidden="false" customHeight="false" outlineLevel="0" collapsed="false">
      <c r="A200" s="21" t="str">
        <f aca="false">IF(ROWS(A$5:A200)&lt;=MAX(Реестр!$V$2:$V$401),ROWS(A$5:A200),"")</f>
        <v/>
      </c>
      <c r="B200" s="24" t="str">
        <f aca="false">IF($A200="","",INDEX(Реестр!$B$2:$B$401,MATCH($A200,Реестр!$V$2:$V$401,0)))</f>
        <v/>
      </c>
      <c r="C200" s="24" t="str">
        <f aca="false">IF($A200="","",INDEX(Реестр!$C$2:$C$401,MATCH($A200,Реестр!$V$2:$V$401,0)))</f>
        <v/>
      </c>
      <c r="D200" s="24" t="str">
        <f aca="false">IF($A200="","",INDEX(Реестр!$T$2:$T$401,MATCH($A200,Реестр!$V$2:$V$401,0)))</f>
        <v/>
      </c>
      <c r="E200" s="21" t="str">
        <f aca="false">IF($A200="","",INDEX(Реестр!$R$2:$R$401,MATCH($A200,Реестр!$V$2:$V$401,0)))</f>
        <v/>
      </c>
      <c r="F200" s="24" t="str">
        <f aca="false">IF($A200="","",INDEX(Реестр!$U$2:$U$401,MATCH($A200,Реестр!$V$2:$V$401,0)))</f>
        <v/>
      </c>
    </row>
    <row r="201" customFormat="false" ht="15" hidden="false" customHeight="false" outlineLevel="0" collapsed="false">
      <c r="A201" s="21" t="str">
        <f aca="false">IF(ROWS(A$5:A201)&lt;=MAX(Реестр!$V$2:$V$401),ROWS(A$5:A201),"")</f>
        <v/>
      </c>
      <c r="B201" s="24" t="str">
        <f aca="false">IF($A201="","",INDEX(Реестр!$B$2:$B$401,MATCH($A201,Реестр!$V$2:$V$401,0)))</f>
        <v/>
      </c>
      <c r="C201" s="24" t="str">
        <f aca="false">IF($A201="","",INDEX(Реестр!$C$2:$C$401,MATCH($A201,Реестр!$V$2:$V$401,0)))</f>
        <v/>
      </c>
      <c r="D201" s="24" t="str">
        <f aca="false">IF($A201="","",INDEX(Реестр!$T$2:$T$401,MATCH($A201,Реестр!$V$2:$V$401,0)))</f>
        <v/>
      </c>
      <c r="E201" s="21" t="str">
        <f aca="false">IF($A201="","",INDEX(Реестр!$R$2:$R$401,MATCH($A201,Реестр!$V$2:$V$401,0)))</f>
        <v/>
      </c>
      <c r="F201" s="24" t="str">
        <f aca="false">IF($A201="","",INDEX(Реестр!$U$2:$U$401,MATCH($A201,Реестр!$V$2:$V$401,0)))</f>
        <v/>
      </c>
    </row>
    <row r="202" customFormat="false" ht="15" hidden="false" customHeight="false" outlineLevel="0" collapsed="false">
      <c r="A202" s="21" t="str">
        <f aca="false">IF(ROWS(A$5:A202)&lt;=MAX(Реестр!$V$2:$V$401),ROWS(A$5:A202),"")</f>
        <v/>
      </c>
      <c r="B202" s="24" t="str">
        <f aca="false">IF($A202="","",INDEX(Реестр!$B$2:$B$401,MATCH($A202,Реестр!$V$2:$V$401,0)))</f>
        <v/>
      </c>
      <c r="C202" s="24" t="str">
        <f aca="false">IF($A202="","",INDEX(Реестр!$C$2:$C$401,MATCH($A202,Реестр!$V$2:$V$401,0)))</f>
        <v/>
      </c>
      <c r="D202" s="24" t="str">
        <f aca="false">IF($A202="","",INDEX(Реестр!$T$2:$T$401,MATCH($A202,Реестр!$V$2:$V$401,0)))</f>
        <v/>
      </c>
      <c r="E202" s="21" t="str">
        <f aca="false">IF($A202="","",INDEX(Реестр!$R$2:$R$401,MATCH($A202,Реестр!$V$2:$V$401,0)))</f>
        <v/>
      </c>
      <c r="F202" s="24" t="str">
        <f aca="false">IF($A202="","",INDEX(Реестр!$U$2:$U$401,MATCH($A202,Реестр!$V$2:$V$401,0)))</f>
        <v/>
      </c>
    </row>
    <row r="203" customFormat="false" ht="15" hidden="false" customHeight="false" outlineLevel="0" collapsed="false">
      <c r="A203" s="21" t="str">
        <f aca="false">IF(ROWS(A$5:A203)&lt;=MAX(Реестр!$V$2:$V$401),ROWS(A$5:A203),"")</f>
        <v/>
      </c>
      <c r="B203" s="24" t="str">
        <f aca="false">IF($A203="","",INDEX(Реестр!$B$2:$B$401,MATCH($A203,Реестр!$V$2:$V$401,0)))</f>
        <v/>
      </c>
      <c r="C203" s="24" t="str">
        <f aca="false">IF($A203="","",INDEX(Реестр!$C$2:$C$401,MATCH($A203,Реестр!$V$2:$V$401,0)))</f>
        <v/>
      </c>
      <c r="D203" s="24" t="str">
        <f aca="false">IF($A203="","",INDEX(Реестр!$T$2:$T$401,MATCH($A203,Реестр!$V$2:$V$401,0)))</f>
        <v/>
      </c>
      <c r="E203" s="21" t="str">
        <f aca="false">IF($A203="","",INDEX(Реестр!$R$2:$R$401,MATCH($A203,Реестр!$V$2:$V$401,0)))</f>
        <v/>
      </c>
      <c r="F203" s="24" t="str">
        <f aca="false">IF($A203="","",INDEX(Реестр!$U$2:$U$401,MATCH($A203,Реестр!$V$2:$V$401,0)))</f>
        <v/>
      </c>
    </row>
    <row r="204" customFormat="false" ht="15" hidden="false" customHeight="false" outlineLevel="0" collapsed="false">
      <c r="A204" s="21" t="str">
        <f aca="false">IF(ROWS(A$5:A204)&lt;=MAX(Реестр!$V$2:$V$401),ROWS(A$5:A204),"")</f>
        <v/>
      </c>
      <c r="B204" s="24" t="str">
        <f aca="false">IF($A204="","",INDEX(Реестр!$B$2:$B$401,MATCH($A204,Реестр!$V$2:$V$401,0)))</f>
        <v/>
      </c>
      <c r="C204" s="24" t="str">
        <f aca="false">IF($A204="","",INDEX(Реестр!$C$2:$C$401,MATCH($A204,Реестр!$V$2:$V$401,0)))</f>
        <v/>
      </c>
      <c r="D204" s="24" t="str">
        <f aca="false">IF($A204="","",INDEX(Реестр!$T$2:$T$401,MATCH($A204,Реестр!$V$2:$V$401,0)))</f>
        <v/>
      </c>
      <c r="E204" s="21" t="str">
        <f aca="false">IF($A204="","",INDEX(Реестр!$R$2:$R$401,MATCH($A204,Реестр!$V$2:$V$401,0)))</f>
        <v/>
      </c>
      <c r="F204" s="24" t="str">
        <f aca="false">IF($A204="","",INDEX(Реестр!$U$2:$U$401,MATCH($A204,Реестр!$V$2:$V$401,0)))</f>
        <v/>
      </c>
    </row>
    <row r="205" customFormat="false" ht="15" hidden="false" customHeight="false" outlineLevel="0" collapsed="false">
      <c r="A205" s="21" t="str">
        <f aca="false">IF(ROWS(A$5:A205)&lt;=MAX(Реестр!$V$2:$V$401),ROWS(A$5:A205),"")</f>
        <v/>
      </c>
      <c r="B205" s="24" t="str">
        <f aca="false">IF($A205="","",INDEX(Реестр!$B$2:$B$401,MATCH($A205,Реестр!$V$2:$V$401,0)))</f>
        <v/>
      </c>
      <c r="C205" s="24" t="str">
        <f aca="false">IF($A205="","",INDEX(Реестр!$C$2:$C$401,MATCH($A205,Реестр!$V$2:$V$401,0)))</f>
        <v/>
      </c>
      <c r="D205" s="24" t="str">
        <f aca="false">IF($A205="","",INDEX(Реестр!$T$2:$T$401,MATCH($A205,Реестр!$V$2:$V$401,0)))</f>
        <v/>
      </c>
      <c r="E205" s="21" t="str">
        <f aca="false">IF($A205="","",INDEX(Реестр!$R$2:$R$401,MATCH($A205,Реестр!$V$2:$V$401,0)))</f>
        <v/>
      </c>
      <c r="F205" s="24" t="str">
        <f aca="false">IF($A205="","",INDEX(Реестр!$U$2:$U$401,MATCH($A205,Реестр!$V$2:$V$401,0)))</f>
        <v/>
      </c>
    </row>
    <row r="206" customFormat="false" ht="15" hidden="false" customHeight="false" outlineLevel="0" collapsed="false">
      <c r="A206" s="21" t="str">
        <f aca="false">IF(ROWS(A$5:A206)&lt;=MAX(Реестр!$V$2:$V$401),ROWS(A$5:A206),"")</f>
        <v/>
      </c>
      <c r="B206" s="24" t="str">
        <f aca="false">IF($A206="","",INDEX(Реестр!$B$2:$B$401,MATCH($A206,Реестр!$V$2:$V$401,0)))</f>
        <v/>
      </c>
      <c r="C206" s="24" t="str">
        <f aca="false">IF($A206="","",INDEX(Реестр!$C$2:$C$401,MATCH($A206,Реестр!$V$2:$V$401,0)))</f>
        <v/>
      </c>
      <c r="D206" s="24" t="str">
        <f aca="false">IF($A206="","",INDEX(Реестр!$T$2:$T$401,MATCH($A206,Реестр!$V$2:$V$401,0)))</f>
        <v/>
      </c>
      <c r="E206" s="21" t="str">
        <f aca="false">IF($A206="","",INDEX(Реестр!$R$2:$R$401,MATCH($A206,Реестр!$V$2:$V$401,0)))</f>
        <v/>
      </c>
      <c r="F206" s="24" t="str">
        <f aca="false">IF($A206="","",INDEX(Реестр!$U$2:$U$401,MATCH($A206,Реестр!$V$2:$V$401,0)))</f>
        <v/>
      </c>
    </row>
    <row r="207" customFormat="false" ht="15" hidden="false" customHeight="false" outlineLevel="0" collapsed="false">
      <c r="A207" s="21" t="str">
        <f aca="false">IF(ROWS(A$5:A207)&lt;=MAX(Реестр!$V$2:$V$401),ROWS(A$5:A207),"")</f>
        <v/>
      </c>
      <c r="B207" s="24" t="str">
        <f aca="false">IF($A207="","",INDEX(Реестр!$B$2:$B$401,MATCH($A207,Реестр!$V$2:$V$401,0)))</f>
        <v/>
      </c>
      <c r="C207" s="24" t="str">
        <f aca="false">IF($A207="","",INDEX(Реестр!$C$2:$C$401,MATCH($A207,Реестр!$V$2:$V$401,0)))</f>
        <v/>
      </c>
      <c r="D207" s="24" t="str">
        <f aca="false">IF($A207="","",INDEX(Реестр!$T$2:$T$401,MATCH($A207,Реестр!$V$2:$V$401,0)))</f>
        <v/>
      </c>
      <c r="E207" s="21" t="str">
        <f aca="false">IF($A207="","",INDEX(Реестр!$R$2:$R$401,MATCH($A207,Реестр!$V$2:$V$401,0)))</f>
        <v/>
      </c>
      <c r="F207" s="24" t="str">
        <f aca="false">IF($A207="","",INDEX(Реестр!$U$2:$U$401,MATCH($A207,Реестр!$V$2:$V$401,0)))</f>
        <v/>
      </c>
    </row>
    <row r="208" customFormat="false" ht="15" hidden="false" customHeight="false" outlineLevel="0" collapsed="false">
      <c r="A208" s="21" t="str">
        <f aca="false">IF(ROWS(A$5:A208)&lt;=MAX(Реестр!$V$2:$V$401),ROWS(A$5:A208),"")</f>
        <v/>
      </c>
      <c r="B208" s="24" t="str">
        <f aca="false">IF($A208="","",INDEX(Реестр!$B$2:$B$401,MATCH($A208,Реестр!$V$2:$V$401,0)))</f>
        <v/>
      </c>
      <c r="C208" s="24" t="str">
        <f aca="false">IF($A208="","",INDEX(Реестр!$C$2:$C$401,MATCH($A208,Реестр!$V$2:$V$401,0)))</f>
        <v/>
      </c>
      <c r="D208" s="24" t="str">
        <f aca="false">IF($A208="","",INDEX(Реестр!$T$2:$T$401,MATCH($A208,Реестр!$V$2:$V$401,0)))</f>
        <v/>
      </c>
      <c r="E208" s="21" t="str">
        <f aca="false">IF($A208="","",INDEX(Реестр!$R$2:$R$401,MATCH($A208,Реестр!$V$2:$V$401,0)))</f>
        <v/>
      </c>
      <c r="F208" s="24" t="str">
        <f aca="false">IF($A208="","",INDEX(Реестр!$U$2:$U$401,MATCH($A208,Реестр!$V$2:$V$401,0)))</f>
        <v/>
      </c>
    </row>
    <row r="209" customFormat="false" ht="15" hidden="false" customHeight="false" outlineLevel="0" collapsed="false">
      <c r="A209" s="21" t="str">
        <f aca="false">IF(ROWS(A$5:A209)&lt;=MAX(Реестр!$V$2:$V$401),ROWS(A$5:A209),"")</f>
        <v/>
      </c>
      <c r="B209" s="24" t="str">
        <f aca="false">IF($A209="","",INDEX(Реестр!$B$2:$B$401,MATCH($A209,Реестр!$V$2:$V$401,0)))</f>
        <v/>
      </c>
      <c r="C209" s="24" t="str">
        <f aca="false">IF($A209="","",INDEX(Реестр!$C$2:$C$401,MATCH($A209,Реестр!$V$2:$V$401,0)))</f>
        <v/>
      </c>
      <c r="D209" s="24" t="str">
        <f aca="false">IF($A209="","",INDEX(Реестр!$T$2:$T$401,MATCH($A209,Реестр!$V$2:$V$401,0)))</f>
        <v/>
      </c>
      <c r="E209" s="21" t="str">
        <f aca="false">IF($A209="","",INDEX(Реестр!$R$2:$R$401,MATCH($A209,Реестр!$V$2:$V$401,0)))</f>
        <v/>
      </c>
      <c r="F209" s="24" t="str">
        <f aca="false">IF($A209="","",INDEX(Реестр!$U$2:$U$401,MATCH($A209,Реестр!$V$2:$V$401,0)))</f>
        <v/>
      </c>
    </row>
    <row r="210" customFormat="false" ht="15" hidden="false" customHeight="false" outlineLevel="0" collapsed="false">
      <c r="A210" s="21" t="str">
        <f aca="false">IF(ROWS(A$5:A210)&lt;=MAX(Реестр!$V$2:$V$401),ROWS(A$5:A210),"")</f>
        <v/>
      </c>
      <c r="B210" s="24" t="str">
        <f aca="false">IF($A210="","",INDEX(Реестр!$B$2:$B$401,MATCH($A210,Реестр!$V$2:$V$401,0)))</f>
        <v/>
      </c>
      <c r="C210" s="24" t="str">
        <f aca="false">IF($A210="","",INDEX(Реестр!$C$2:$C$401,MATCH($A210,Реестр!$V$2:$V$401,0)))</f>
        <v/>
      </c>
      <c r="D210" s="24" t="str">
        <f aca="false">IF($A210="","",INDEX(Реестр!$T$2:$T$401,MATCH($A210,Реестр!$V$2:$V$401,0)))</f>
        <v/>
      </c>
      <c r="E210" s="21" t="str">
        <f aca="false">IF($A210="","",INDEX(Реестр!$R$2:$R$401,MATCH($A210,Реестр!$V$2:$V$401,0)))</f>
        <v/>
      </c>
      <c r="F210" s="24" t="str">
        <f aca="false">IF($A210="","",INDEX(Реестр!$U$2:$U$401,MATCH($A210,Реестр!$V$2:$V$401,0)))</f>
        <v/>
      </c>
    </row>
    <row r="211" customFormat="false" ht="15" hidden="false" customHeight="false" outlineLevel="0" collapsed="false">
      <c r="A211" s="21" t="str">
        <f aca="false">IF(ROWS(A$5:A211)&lt;=MAX(Реестр!$V$2:$V$401),ROWS(A$5:A211),"")</f>
        <v/>
      </c>
      <c r="B211" s="24" t="str">
        <f aca="false">IF($A211="","",INDEX(Реестр!$B$2:$B$401,MATCH($A211,Реестр!$V$2:$V$401,0)))</f>
        <v/>
      </c>
      <c r="C211" s="24" t="str">
        <f aca="false">IF($A211="","",INDEX(Реестр!$C$2:$C$401,MATCH($A211,Реестр!$V$2:$V$401,0)))</f>
        <v/>
      </c>
      <c r="D211" s="24" t="str">
        <f aca="false">IF($A211="","",INDEX(Реестр!$T$2:$T$401,MATCH($A211,Реестр!$V$2:$V$401,0)))</f>
        <v/>
      </c>
      <c r="E211" s="21" t="str">
        <f aca="false">IF($A211="","",INDEX(Реестр!$R$2:$R$401,MATCH($A211,Реестр!$V$2:$V$401,0)))</f>
        <v/>
      </c>
      <c r="F211" s="24" t="str">
        <f aca="false">IF($A211="","",INDEX(Реестр!$U$2:$U$401,MATCH($A211,Реестр!$V$2:$V$401,0)))</f>
        <v/>
      </c>
    </row>
    <row r="212" customFormat="false" ht="15" hidden="false" customHeight="false" outlineLevel="0" collapsed="false">
      <c r="A212" s="21" t="str">
        <f aca="false">IF(ROWS(A$5:A212)&lt;=MAX(Реестр!$V$2:$V$401),ROWS(A$5:A212),"")</f>
        <v/>
      </c>
      <c r="B212" s="24" t="str">
        <f aca="false">IF($A212="","",INDEX(Реестр!$B$2:$B$401,MATCH($A212,Реестр!$V$2:$V$401,0)))</f>
        <v/>
      </c>
      <c r="C212" s="24" t="str">
        <f aca="false">IF($A212="","",INDEX(Реестр!$C$2:$C$401,MATCH($A212,Реестр!$V$2:$V$401,0)))</f>
        <v/>
      </c>
      <c r="D212" s="24" t="str">
        <f aca="false">IF($A212="","",INDEX(Реестр!$T$2:$T$401,MATCH($A212,Реестр!$V$2:$V$401,0)))</f>
        <v/>
      </c>
      <c r="E212" s="21" t="str">
        <f aca="false">IF($A212="","",INDEX(Реестр!$R$2:$R$401,MATCH($A212,Реестр!$V$2:$V$401,0)))</f>
        <v/>
      </c>
      <c r="F212" s="24" t="str">
        <f aca="false">IF($A212="","",INDEX(Реестр!$U$2:$U$401,MATCH($A212,Реестр!$V$2:$V$401,0)))</f>
        <v/>
      </c>
    </row>
    <row r="213" customFormat="false" ht="15" hidden="false" customHeight="false" outlineLevel="0" collapsed="false">
      <c r="A213" s="21" t="str">
        <f aca="false">IF(ROWS(A$5:A213)&lt;=MAX(Реестр!$V$2:$V$401),ROWS(A$5:A213),"")</f>
        <v/>
      </c>
      <c r="B213" s="24" t="str">
        <f aca="false">IF($A213="","",INDEX(Реестр!$B$2:$B$401,MATCH($A213,Реестр!$V$2:$V$401,0)))</f>
        <v/>
      </c>
      <c r="C213" s="24" t="str">
        <f aca="false">IF($A213="","",INDEX(Реестр!$C$2:$C$401,MATCH($A213,Реестр!$V$2:$V$401,0)))</f>
        <v/>
      </c>
      <c r="D213" s="24" t="str">
        <f aca="false">IF($A213="","",INDEX(Реестр!$T$2:$T$401,MATCH($A213,Реестр!$V$2:$V$401,0)))</f>
        <v/>
      </c>
      <c r="E213" s="21" t="str">
        <f aca="false">IF($A213="","",INDEX(Реестр!$R$2:$R$401,MATCH($A213,Реестр!$V$2:$V$401,0)))</f>
        <v/>
      </c>
      <c r="F213" s="24" t="str">
        <f aca="false">IF($A213="","",INDEX(Реестр!$U$2:$U$401,MATCH($A213,Реестр!$V$2:$V$401,0)))</f>
        <v/>
      </c>
    </row>
    <row r="214" customFormat="false" ht="15" hidden="false" customHeight="false" outlineLevel="0" collapsed="false">
      <c r="A214" s="21" t="str">
        <f aca="false">IF(ROWS(A$5:A214)&lt;=MAX(Реестр!$V$2:$V$401),ROWS(A$5:A214),"")</f>
        <v/>
      </c>
      <c r="B214" s="24" t="str">
        <f aca="false">IF($A214="","",INDEX(Реестр!$B$2:$B$401,MATCH($A214,Реестр!$V$2:$V$401,0)))</f>
        <v/>
      </c>
      <c r="C214" s="24" t="str">
        <f aca="false">IF($A214="","",INDEX(Реестр!$C$2:$C$401,MATCH($A214,Реестр!$V$2:$V$401,0)))</f>
        <v/>
      </c>
      <c r="D214" s="24" t="str">
        <f aca="false">IF($A214="","",INDEX(Реестр!$T$2:$T$401,MATCH($A214,Реестр!$V$2:$V$401,0)))</f>
        <v/>
      </c>
      <c r="E214" s="21" t="str">
        <f aca="false">IF($A214="","",INDEX(Реестр!$R$2:$R$401,MATCH($A214,Реестр!$V$2:$V$401,0)))</f>
        <v/>
      </c>
      <c r="F214" s="24" t="str">
        <f aca="false">IF($A214="","",INDEX(Реестр!$U$2:$U$401,MATCH($A214,Реестр!$V$2:$V$401,0)))</f>
        <v/>
      </c>
    </row>
    <row r="215" customFormat="false" ht="15" hidden="false" customHeight="false" outlineLevel="0" collapsed="false">
      <c r="A215" s="21" t="str">
        <f aca="false">IF(ROWS(A$5:A215)&lt;=MAX(Реестр!$V$2:$V$401),ROWS(A$5:A215),"")</f>
        <v/>
      </c>
      <c r="B215" s="24" t="str">
        <f aca="false">IF($A215="","",INDEX(Реестр!$B$2:$B$401,MATCH($A215,Реестр!$V$2:$V$401,0)))</f>
        <v/>
      </c>
      <c r="C215" s="24" t="str">
        <f aca="false">IF($A215="","",INDEX(Реестр!$C$2:$C$401,MATCH($A215,Реестр!$V$2:$V$401,0)))</f>
        <v/>
      </c>
      <c r="D215" s="24" t="str">
        <f aca="false">IF($A215="","",INDEX(Реестр!$T$2:$T$401,MATCH($A215,Реестр!$V$2:$V$401,0)))</f>
        <v/>
      </c>
      <c r="E215" s="21" t="str">
        <f aca="false">IF($A215="","",INDEX(Реестр!$R$2:$R$401,MATCH($A215,Реестр!$V$2:$V$401,0)))</f>
        <v/>
      </c>
      <c r="F215" s="24" t="str">
        <f aca="false">IF($A215="","",INDEX(Реестр!$U$2:$U$401,MATCH($A215,Реестр!$V$2:$V$401,0)))</f>
        <v/>
      </c>
    </row>
    <row r="216" customFormat="false" ht="15" hidden="false" customHeight="false" outlineLevel="0" collapsed="false">
      <c r="A216" s="21" t="str">
        <f aca="false">IF(ROWS(A$5:A216)&lt;=MAX(Реестр!$V$2:$V$401),ROWS(A$5:A216),"")</f>
        <v/>
      </c>
      <c r="B216" s="24" t="str">
        <f aca="false">IF($A216="","",INDEX(Реестр!$B$2:$B$401,MATCH($A216,Реестр!$V$2:$V$401,0)))</f>
        <v/>
      </c>
      <c r="C216" s="24" t="str">
        <f aca="false">IF($A216="","",INDEX(Реестр!$C$2:$C$401,MATCH($A216,Реестр!$V$2:$V$401,0)))</f>
        <v/>
      </c>
      <c r="D216" s="24" t="str">
        <f aca="false">IF($A216="","",INDEX(Реестр!$T$2:$T$401,MATCH($A216,Реестр!$V$2:$V$401,0)))</f>
        <v/>
      </c>
      <c r="E216" s="21" t="str">
        <f aca="false">IF($A216="","",INDEX(Реестр!$R$2:$R$401,MATCH($A216,Реестр!$V$2:$V$401,0)))</f>
        <v/>
      </c>
      <c r="F216" s="24" t="str">
        <f aca="false">IF($A216="","",INDEX(Реестр!$U$2:$U$401,MATCH($A216,Реестр!$V$2:$V$401,0)))</f>
        <v/>
      </c>
    </row>
    <row r="217" customFormat="false" ht="15" hidden="false" customHeight="false" outlineLevel="0" collapsed="false">
      <c r="A217" s="21" t="str">
        <f aca="false">IF(ROWS(A$5:A217)&lt;=MAX(Реестр!$V$2:$V$401),ROWS(A$5:A217),"")</f>
        <v/>
      </c>
      <c r="B217" s="24" t="str">
        <f aca="false">IF($A217="","",INDEX(Реестр!$B$2:$B$401,MATCH($A217,Реестр!$V$2:$V$401,0)))</f>
        <v/>
      </c>
      <c r="C217" s="24" t="str">
        <f aca="false">IF($A217="","",INDEX(Реестр!$C$2:$C$401,MATCH($A217,Реестр!$V$2:$V$401,0)))</f>
        <v/>
      </c>
      <c r="D217" s="24" t="str">
        <f aca="false">IF($A217="","",INDEX(Реестр!$T$2:$T$401,MATCH($A217,Реестр!$V$2:$V$401,0)))</f>
        <v/>
      </c>
      <c r="E217" s="21" t="str">
        <f aca="false">IF($A217="","",INDEX(Реестр!$R$2:$R$401,MATCH($A217,Реестр!$V$2:$V$401,0)))</f>
        <v/>
      </c>
      <c r="F217" s="24" t="str">
        <f aca="false">IF($A217="","",INDEX(Реестр!$U$2:$U$401,MATCH($A217,Реестр!$V$2:$V$401,0)))</f>
        <v/>
      </c>
    </row>
    <row r="218" customFormat="false" ht="15" hidden="false" customHeight="false" outlineLevel="0" collapsed="false">
      <c r="A218" s="21" t="str">
        <f aca="false">IF(ROWS(A$5:A218)&lt;=MAX(Реестр!$V$2:$V$401),ROWS(A$5:A218),"")</f>
        <v/>
      </c>
      <c r="B218" s="24" t="str">
        <f aca="false">IF($A218="","",INDEX(Реестр!$B$2:$B$401,MATCH($A218,Реестр!$V$2:$V$401,0)))</f>
        <v/>
      </c>
      <c r="C218" s="24" t="str">
        <f aca="false">IF($A218="","",INDEX(Реестр!$C$2:$C$401,MATCH($A218,Реестр!$V$2:$V$401,0)))</f>
        <v/>
      </c>
      <c r="D218" s="24" t="str">
        <f aca="false">IF($A218="","",INDEX(Реестр!$T$2:$T$401,MATCH($A218,Реестр!$V$2:$V$401,0)))</f>
        <v/>
      </c>
      <c r="E218" s="21" t="str">
        <f aca="false">IF($A218="","",INDEX(Реестр!$R$2:$R$401,MATCH($A218,Реестр!$V$2:$V$401,0)))</f>
        <v/>
      </c>
      <c r="F218" s="24" t="str">
        <f aca="false">IF($A218="","",INDEX(Реестр!$U$2:$U$401,MATCH($A218,Реестр!$V$2:$V$401,0)))</f>
        <v/>
      </c>
    </row>
    <row r="219" customFormat="false" ht="15" hidden="false" customHeight="false" outlineLevel="0" collapsed="false">
      <c r="A219" s="21" t="str">
        <f aca="false">IF(ROWS(A$5:A219)&lt;=MAX(Реестр!$V$2:$V$401),ROWS(A$5:A219),"")</f>
        <v/>
      </c>
      <c r="B219" s="24" t="str">
        <f aca="false">IF($A219="","",INDEX(Реестр!$B$2:$B$401,MATCH($A219,Реестр!$V$2:$V$401,0)))</f>
        <v/>
      </c>
      <c r="C219" s="24" t="str">
        <f aca="false">IF($A219="","",INDEX(Реестр!$C$2:$C$401,MATCH($A219,Реестр!$V$2:$V$401,0)))</f>
        <v/>
      </c>
      <c r="D219" s="24" t="str">
        <f aca="false">IF($A219="","",INDEX(Реестр!$T$2:$T$401,MATCH($A219,Реестр!$V$2:$V$401,0)))</f>
        <v/>
      </c>
      <c r="E219" s="21" t="str">
        <f aca="false">IF($A219="","",INDEX(Реестр!$R$2:$R$401,MATCH($A219,Реестр!$V$2:$V$401,0)))</f>
        <v/>
      </c>
      <c r="F219" s="24" t="str">
        <f aca="false">IF($A219="","",INDEX(Реестр!$U$2:$U$401,MATCH($A219,Реестр!$V$2:$V$401,0)))</f>
        <v/>
      </c>
    </row>
    <row r="220" customFormat="false" ht="15" hidden="false" customHeight="false" outlineLevel="0" collapsed="false">
      <c r="A220" s="21" t="str">
        <f aca="false">IF(ROWS(A$5:A220)&lt;=MAX(Реестр!$V$2:$V$401),ROWS(A$5:A220),"")</f>
        <v/>
      </c>
      <c r="B220" s="24" t="str">
        <f aca="false">IF($A220="","",INDEX(Реестр!$B$2:$B$401,MATCH($A220,Реестр!$V$2:$V$401,0)))</f>
        <v/>
      </c>
      <c r="C220" s="24" t="str">
        <f aca="false">IF($A220="","",INDEX(Реестр!$C$2:$C$401,MATCH($A220,Реестр!$V$2:$V$401,0)))</f>
        <v/>
      </c>
      <c r="D220" s="24" t="str">
        <f aca="false">IF($A220="","",INDEX(Реестр!$T$2:$T$401,MATCH($A220,Реестр!$V$2:$V$401,0)))</f>
        <v/>
      </c>
      <c r="E220" s="21" t="str">
        <f aca="false">IF($A220="","",INDEX(Реестр!$R$2:$R$401,MATCH($A220,Реестр!$V$2:$V$401,0)))</f>
        <v/>
      </c>
      <c r="F220" s="24" t="str">
        <f aca="false">IF($A220="","",INDEX(Реестр!$U$2:$U$401,MATCH($A220,Реестр!$V$2:$V$401,0)))</f>
        <v/>
      </c>
    </row>
    <row r="221" customFormat="false" ht="15" hidden="false" customHeight="false" outlineLevel="0" collapsed="false">
      <c r="A221" s="21" t="str">
        <f aca="false">IF(ROWS(A$5:A221)&lt;=MAX(Реестр!$V$2:$V$401),ROWS(A$5:A221),"")</f>
        <v/>
      </c>
      <c r="B221" s="24" t="str">
        <f aca="false">IF($A221="","",INDEX(Реестр!$B$2:$B$401,MATCH($A221,Реестр!$V$2:$V$401,0)))</f>
        <v/>
      </c>
      <c r="C221" s="24" t="str">
        <f aca="false">IF($A221="","",INDEX(Реестр!$C$2:$C$401,MATCH($A221,Реестр!$V$2:$V$401,0)))</f>
        <v/>
      </c>
      <c r="D221" s="24" t="str">
        <f aca="false">IF($A221="","",INDEX(Реестр!$T$2:$T$401,MATCH($A221,Реестр!$V$2:$V$401,0)))</f>
        <v/>
      </c>
      <c r="E221" s="21" t="str">
        <f aca="false">IF($A221="","",INDEX(Реестр!$R$2:$R$401,MATCH($A221,Реестр!$V$2:$V$401,0)))</f>
        <v/>
      </c>
      <c r="F221" s="24" t="str">
        <f aca="false">IF($A221="","",INDEX(Реестр!$U$2:$U$401,MATCH($A221,Реестр!$V$2:$V$401,0)))</f>
        <v/>
      </c>
    </row>
    <row r="222" customFormat="false" ht="15" hidden="false" customHeight="false" outlineLevel="0" collapsed="false">
      <c r="A222" s="21" t="str">
        <f aca="false">IF(ROWS(A$5:A222)&lt;=MAX(Реестр!$V$2:$V$401),ROWS(A$5:A222),"")</f>
        <v/>
      </c>
      <c r="B222" s="24" t="str">
        <f aca="false">IF($A222="","",INDEX(Реестр!$B$2:$B$401,MATCH($A222,Реестр!$V$2:$V$401,0)))</f>
        <v/>
      </c>
      <c r="C222" s="24" t="str">
        <f aca="false">IF($A222="","",INDEX(Реестр!$C$2:$C$401,MATCH($A222,Реестр!$V$2:$V$401,0)))</f>
        <v/>
      </c>
      <c r="D222" s="24" t="str">
        <f aca="false">IF($A222="","",INDEX(Реестр!$T$2:$T$401,MATCH($A222,Реестр!$V$2:$V$401,0)))</f>
        <v/>
      </c>
      <c r="E222" s="21" t="str">
        <f aca="false">IF($A222="","",INDEX(Реестр!$R$2:$R$401,MATCH($A222,Реестр!$V$2:$V$401,0)))</f>
        <v/>
      </c>
      <c r="F222" s="24" t="str">
        <f aca="false">IF($A222="","",INDEX(Реестр!$U$2:$U$401,MATCH($A222,Реестр!$V$2:$V$401,0)))</f>
        <v/>
      </c>
    </row>
    <row r="223" customFormat="false" ht="15" hidden="false" customHeight="false" outlineLevel="0" collapsed="false">
      <c r="A223" s="21" t="str">
        <f aca="false">IF(ROWS(A$5:A223)&lt;=MAX(Реестр!$V$2:$V$401),ROWS(A$5:A223),"")</f>
        <v/>
      </c>
      <c r="B223" s="24" t="str">
        <f aca="false">IF($A223="","",INDEX(Реестр!$B$2:$B$401,MATCH($A223,Реестр!$V$2:$V$401,0)))</f>
        <v/>
      </c>
      <c r="C223" s="24" t="str">
        <f aca="false">IF($A223="","",INDEX(Реестр!$C$2:$C$401,MATCH($A223,Реестр!$V$2:$V$401,0)))</f>
        <v/>
      </c>
      <c r="D223" s="24" t="str">
        <f aca="false">IF($A223="","",INDEX(Реестр!$T$2:$T$401,MATCH($A223,Реестр!$V$2:$V$401,0)))</f>
        <v/>
      </c>
      <c r="E223" s="21" t="str">
        <f aca="false">IF($A223="","",INDEX(Реестр!$R$2:$R$401,MATCH($A223,Реестр!$V$2:$V$401,0)))</f>
        <v/>
      </c>
      <c r="F223" s="24" t="str">
        <f aca="false">IF($A223="","",INDEX(Реестр!$U$2:$U$401,MATCH($A223,Реестр!$V$2:$V$401,0)))</f>
        <v/>
      </c>
    </row>
    <row r="224" customFormat="false" ht="15" hidden="false" customHeight="false" outlineLevel="0" collapsed="false">
      <c r="A224" s="21" t="str">
        <f aca="false">IF(ROWS(A$5:A224)&lt;=MAX(Реестр!$V$2:$V$401),ROWS(A$5:A224),"")</f>
        <v/>
      </c>
      <c r="B224" s="24" t="str">
        <f aca="false">IF($A224="","",INDEX(Реестр!$B$2:$B$401,MATCH($A224,Реестр!$V$2:$V$401,0)))</f>
        <v/>
      </c>
      <c r="C224" s="24" t="str">
        <f aca="false">IF($A224="","",INDEX(Реестр!$C$2:$C$401,MATCH($A224,Реестр!$V$2:$V$401,0)))</f>
        <v/>
      </c>
      <c r="D224" s="24" t="str">
        <f aca="false">IF($A224="","",INDEX(Реестр!$T$2:$T$401,MATCH($A224,Реестр!$V$2:$V$401,0)))</f>
        <v/>
      </c>
      <c r="E224" s="21" t="str">
        <f aca="false">IF($A224="","",INDEX(Реестр!$R$2:$R$401,MATCH($A224,Реестр!$V$2:$V$401,0)))</f>
        <v/>
      </c>
      <c r="F224" s="24" t="str">
        <f aca="false">IF($A224="","",INDEX(Реестр!$U$2:$U$401,MATCH($A224,Реестр!$V$2:$V$401,0)))</f>
        <v/>
      </c>
    </row>
    <row r="225" customFormat="false" ht="15" hidden="false" customHeight="false" outlineLevel="0" collapsed="false">
      <c r="A225" s="21" t="str">
        <f aca="false">IF(ROWS(A$5:A225)&lt;=MAX(Реестр!$V$2:$V$401),ROWS(A$5:A225),"")</f>
        <v/>
      </c>
      <c r="B225" s="24" t="str">
        <f aca="false">IF($A225="","",INDEX(Реестр!$B$2:$B$401,MATCH($A225,Реестр!$V$2:$V$401,0)))</f>
        <v/>
      </c>
      <c r="C225" s="24" t="str">
        <f aca="false">IF($A225="","",INDEX(Реестр!$C$2:$C$401,MATCH($A225,Реестр!$V$2:$V$401,0)))</f>
        <v/>
      </c>
      <c r="D225" s="24" t="str">
        <f aca="false">IF($A225="","",INDEX(Реестр!$T$2:$T$401,MATCH($A225,Реестр!$V$2:$V$401,0)))</f>
        <v/>
      </c>
      <c r="E225" s="21" t="str">
        <f aca="false">IF($A225="","",INDEX(Реестр!$R$2:$R$401,MATCH($A225,Реестр!$V$2:$V$401,0)))</f>
        <v/>
      </c>
      <c r="F225" s="24" t="str">
        <f aca="false">IF($A225="","",INDEX(Реестр!$U$2:$U$401,MATCH($A225,Реестр!$V$2:$V$401,0)))</f>
        <v/>
      </c>
    </row>
    <row r="226" customFormat="false" ht="15" hidden="false" customHeight="false" outlineLevel="0" collapsed="false">
      <c r="A226" s="21" t="str">
        <f aca="false">IF(ROWS(A$5:A226)&lt;=MAX(Реестр!$V$2:$V$401),ROWS(A$5:A226),"")</f>
        <v/>
      </c>
      <c r="B226" s="24" t="str">
        <f aca="false">IF($A226="","",INDEX(Реестр!$B$2:$B$401,MATCH($A226,Реестр!$V$2:$V$401,0)))</f>
        <v/>
      </c>
      <c r="C226" s="24" t="str">
        <f aca="false">IF($A226="","",INDEX(Реестр!$C$2:$C$401,MATCH($A226,Реестр!$V$2:$V$401,0)))</f>
        <v/>
      </c>
      <c r="D226" s="24" t="str">
        <f aca="false">IF($A226="","",INDEX(Реестр!$T$2:$T$401,MATCH($A226,Реестр!$V$2:$V$401,0)))</f>
        <v/>
      </c>
      <c r="E226" s="21" t="str">
        <f aca="false">IF($A226="","",INDEX(Реестр!$R$2:$R$401,MATCH($A226,Реестр!$V$2:$V$401,0)))</f>
        <v/>
      </c>
      <c r="F226" s="24" t="str">
        <f aca="false">IF($A226="","",INDEX(Реестр!$U$2:$U$401,MATCH($A226,Реестр!$V$2:$V$401,0)))</f>
        <v/>
      </c>
    </row>
    <row r="227" customFormat="false" ht="15" hidden="false" customHeight="false" outlineLevel="0" collapsed="false">
      <c r="A227" s="21" t="str">
        <f aca="false">IF(ROWS(A$5:A227)&lt;=MAX(Реестр!$V$2:$V$401),ROWS(A$5:A227),"")</f>
        <v/>
      </c>
      <c r="B227" s="24" t="str">
        <f aca="false">IF($A227="","",INDEX(Реестр!$B$2:$B$401,MATCH($A227,Реестр!$V$2:$V$401,0)))</f>
        <v/>
      </c>
      <c r="C227" s="24" t="str">
        <f aca="false">IF($A227="","",INDEX(Реестр!$C$2:$C$401,MATCH($A227,Реестр!$V$2:$V$401,0)))</f>
        <v/>
      </c>
      <c r="D227" s="24" t="str">
        <f aca="false">IF($A227="","",INDEX(Реестр!$T$2:$T$401,MATCH($A227,Реестр!$V$2:$V$401,0)))</f>
        <v/>
      </c>
      <c r="E227" s="21" t="str">
        <f aca="false">IF($A227="","",INDEX(Реестр!$R$2:$R$401,MATCH($A227,Реестр!$V$2:$V$401,0)))</f>
        <v/>
      </c>
      <c r="F227" s="24" t="str">
        <f aca="false">IF($A227="","",INDEX(Реестр!$U$2:$U$401,MATCH($A227,Реестр!$V$2:$V$401,0)))</f>
        <v/>
      </c>
    </row>
    <row r="228" customFormat="false" ht="15" hidden="false" customHeight="false" outlineLevel="0" collapsed="false">
      <c r="A228" s="21" t="str">
        <f aca="false">IF(ROWS(A$5:A228)&lt;=MAX(Реестр!$V$2:$V$401),ROWS(A$5:A228),"")</f>
        <v/>
      </c>
      <c r="B228" s="24" t="str">
        <f aca="false">IF($A228="","",INDEX(Реестр!$B$2:$B$401,MATCH($A228,Реестр!$V$2:$V$401,0)))</f>
        <v/>
      </c>
      <c r="C228" s="24" t="str">
        <f aca="false">IF($A228="","",INDEX(Реестр!$C$2:$C$401,MATCH($A228,Реестр!$V$2:$V$401,0)))</f>
        <v/>
      </c>
      <c r="D228" s="24" t="str">
        <f aca="false">IF($A228="","",INDEX(Реестр!$T$2:$T$401,MATCH($A228,Реестр!$V$2:$V$401,0)))</f>
        <v/>
      </c>
      <c r="E228" s="21" t="str">
        <f aca="false">IF($A228="","",INDEX(Реестр!$R$2:$R$401,MATCH($A228,Реестр!$V$2:$V$401,0)))</f>
        <v/>
      </c>
      <c r="F228" s="24" t="str">
        <f aca="false">IF($A228="","",INDEX(Реестр!$U$2:$U$401,MATCH($A228,Реестр!$V$2:$V$401,0)))</f>
        <v/>
      </c>
    </row>
    <row r="229" customFormat="false" ht="15" hidden="false" customHeight="false" outlineLevel="0" collapsed="false">
      <c r="A229" s="21" t="str">
        <f aca="false">IF(ROWS(A$5:A229)&lt;=MAX(Реестр!$V$2:$V$401),ROWS(A$5:A229),"")</f>
        <v/>
      </c>
      <c r="B229" s="24" t="str">
        <f aca="false">IF($A229="","",INDEX(Реестр!$B$2:$B$401,MATCH($A229,Реестр!$V$2:$V$401,0)))</f>
        <v/>
      </c>
      <c r="C229" s="24" t="str">
        <f aca="false">IF($A229="","",INDEX(Реестр!$C$2:$C$401,MATCH($A229,Реестр!$V$2:$V$401,0)))</f>
        <v/>
      </c>
      <c r="D229" s="24" t="str">
        <f aca="false">IF($A229="","",INDEX(Реестр!$T$2:$T$401,MATCH($A229,Реестр!$V$2:$V$401,0)))</f>
        <v/>
      </c>
      <c r="E229" s="21" t="str">
        <f aca="false">IF($A229="","",INDEX(Реестр!$R$2:$R$401,MATCH($A229,Реестр!$V$2:$V$401,0)))</f>
        <v/>
      </c>
      <c r="F229" s="24" t="str">
        <f aca="false">IF($A229="","",INDEX(Реестр!$U$2:$U$401,MATCH($A229,Реестр!$V$2:$V$401,0)))</f>
        <v/>
      </c>
    </row>
    <row r="230" customFormat="false" ht="15" hidden="false" customHeight="false" outlineLevel="0" collapsed="false">
      <c r="A230" s="21" t="str">
        <f aca="false">IF(ROWS(A$5:A230)&lt;=MAX(Реестр!$V$2:$V$401),ROWS(A$5:A230),"")</f>
        <v/>
      </c>
      <c r="B230" s="24" t="str">
        <f aca="false">IF($A230="","",INDEX(Реестр!$B$2:$B$401,MATCH($A230,Реестр!$V$2:$V$401,0)))</f>
        <v/>
      </c>
      <c r="C230" s="24" t="str">
        <f aca="false">IF($A230="","",INDEX(Реестр!$C$2:$C$401,MATCH($A230,Реестр!$V$2:$V$401,0)))</f>
        <v/>
      </c>
      <c r="D230" s="24" t="str">
        <f aca="false">IF($A230="","",INDEX(Реестр!$T$2:$T$401,MATCH($A230,Реестр!$V$2:$V$401,0)))</f>
        <v/>
      </c>
      <c r="E230" s="21" t="str">
        <f aca="false">IF($A230="","",INDEX(Реестр!$R$2:$R$401,MATCH($A230,Реестр!$V$2:$V$401,0)))</f>
        <v/>
      </c>
      <c r="F230" s="24" t="str">
        <f aca="false">IF($A230="","",INDEX(Реестр!$U$2:$U$401,MATCH($A230,Реестр!$V$2:$V$401,0)))</f>
        <v/>
      </c>
    </row>
    <row r="231" customFormat="false" ht="15" hidden="false" customHeight="false" outlineLevel="0" collapsed="false">
      <c r="A231" s="21" t="str">
        <f aca="false">IF(ROWS(A$5:A231)&lt;=MAX(Реестр!$V$2:$V$401),ROWS(A$5:A231),"")</f>
        <v/>
      </c>
      <c r="B231" s="24" t="str">
        <f aca="false">IF($A231="","",INDEX(Реестр!$B$2:$B$401,MATCH($A231,Реестр!$V$2:$V$401,0)))</f>
        <v/>
      </c>
      <c r="C231" s="24" t="str">
        <f aca="false">IF($A231="","",INDEX(Реестр!$C$2:$C$401,MATCH($A231,Реестр!$V$2:$V$401,0)))</f>
        <v/>
      </c>
      <c r="D231" s="24" t="str">
        <f aca="false">IF($A231="","",INDEX(Реестр!$T$2:$T$401,MATCH($A231,Реестр!$V$2:$V$401,0)))</f>
        <v/>
      </c>
      <c r="E231" s="21" t="str">
        <f aca="false">IF($A231="","",INDEX(Реестр!$R$2:$R$401,MATCH($A231,Реестр!$V$2:$V$401,0)))</f>
        <v/>
      </c>
      <c r="F231" s="24" t="str">
        <f aca="false">IF($A231="","",INDEX(Реестр!$U$2:$U$401,MATCH($A231,Реестр!$V$2:$V$401,0)))</f>
        <v/>
      </c>
    </row>
    <row r="232" customFormat="false" ht="15" hidden="false" customHeight="false" outlineLevel="0" collapsed="false">
      <c r="A232" s="21" t="str">
        <f aca="false">IF(ROWS(A$5:A232)&lt;=MAX(Реестр!$V$2:$V$401),ROWS(A$5:A232),"")</f>
        <v/>
      </c>
      <c r="B232" s="24" t="str">
        <f aca="false">IF($A232="","",INDEX(Реестр!$B$2:$B$401,MATCH($A232,Реестр!$V$2:$V$401,0)))</f>
        <v/>
      </c>
      <c r="C232" s="24" t="str">
        <f aca="false">IF($A232="","",INDEX(Реестр!$C$2:$C$401,MATCH($A232,Реестр!$V$2:$V$401,0)))</f>
        <v/>
      </c>
      <c r="D232" s="24" t="str">
        <f aca="false">IF($A232="","",INDEX(Реестр!$T$2:$T$401,MATCH($A232,Реестр!$V$2:$V$401,0)))</f>
        <v/>
      </c>
      <c r="E232" s="21" t="str">
        <f aca="false">IF($A232="","",INDEX(Реестр!$R$2:$R$401,MATCH($A232,Реестр!$V$2:$V$401,0)))</f>
        <v/>
      </c>
      <c r="F232" s="24" t="str">
        <f aca="false">IF($A232="","",INDEX(Реестр!$U$2:$U$401,MATCH($A232,Реестр!$V$2:$V$401,0)))</f>
        <v/>
      </c>
    </row>
    <row r="233" customFormat="false" ht="15" hidden="false" customHeight="false" outlineLevel="0" collapsed="false">
      <c r="A233" s="21" t="str">
        <f aca="false">IF(ROWS(A$5:A233)&lt;=MAX(Реестр!$V$2:$V$401),ROWS(A$5:A233),"")</f>
        <v/>
      </c>
      <c r="B233" s="24" t="str">
        <f aca="false">IF($A233="","",INDEX(Реестр!$B$2:$B$401,MATCH($A233,Реестр!$V$2:$V$401,0)))</f>
        <v/>
      </c>
      <c r="C233" s="24" t="str">
        <f aca="false">IF($A233="","",INDEX(Реестр!$C$2:$C$401,MATCH($A233,Реестр!$V$2:$V$401,0)))</f>
        <v/>
      </c>
      <c r="D233" s="24" t="str">
        <f aca="false">IF($A233="","",INDEX(Реестр!$T$2:$T$401,MATCH($A233,Реестр!$V$2:$V$401,0)))</f>
        <v/>
      </c>
      <c r="E233" s="21" t="str">
        <f aca="false">IF($A233="","",INDEX(Реестр!$R$2:$R$401,MATCH($A233,Реестр!$V$2:$V$401,0)))</f>
        <v/>
      </c>
      <c r="F233" s="24" t="str">
        <f aca="false">IF($A233="","",INDEX(Реестр!$U$2:$U$401,MATCH($A233,Реестр!$V$2:$V$401,0)))</f>
        <v/>
      </c>
    </row>
    <row r="234" customFormat="false" ht="15" hidden="false" customHeight="false" outlineLevel="0" collapsed="false">
      <c r="A234" s="21" t="str">
        <f aca="false">IF(ROWS(A$5:A234)&lt;=MAX(Реестр!$V$2:$V$401),ROWS(A$5:A234),"")</f>
        <v/>
      </c>
      <c r="B234" s="24" t="str">
        <f aca="false">IF($A234="","",INDEX(Реестр!$B$2:$B$401,MATCH($A234,Реестр!$V$2:$V$401,0)))</f>
        <v/>
      </c>
      <c r="C234" s="24" t="str">
        <f aca="false">IF($A234="","",INDEX(Реестр!$C$2:$C$401,MATCH($A234,Реестр!$V$2:$V$401,0)))</f>
        <v/>
      </c>
      <c r="D234" s="24" t="str">
        <f aca="false">IF($A234="","",INDEX(Реестр!$T$2:$T$401,MATCH($A234,Реестр!$V$2:$V$401,0)))</f>
        <v/>
      </c>
      <c r="E234" s="21" t="str">
        <f aca="false">IF($A234="","",INDEX(Реестр!$R$2:$R$401,MATCH($A234,Реестр!$V$2:$V$401,0)))</f>
        <v/>
      </c>
      <c r="F234" s="24" t="str">
        <f aca="false">IF($A234="","",INDEX(Реестр!$U$2:$U$401,MATCH($A234,Реестр!$V$2:$V$401,0)))</f>
        <v/>
      </c>
    </row>
    <row r="235" customFormat="false" ht="15" hidden="false" customHeight="false" outlineLevel="0" collapsed="false">
      <c r="A235" s="21" t="str">
        <f aca="false">IF(ROWS(A$5:A235)&lt;=MAX(Реестр!$V$2:$V$401),ROWS(A$5:A235),"")</f>
        <v/>
      </c>
      <c r="B235" s="24" t="str">
        <f aca="false">IF($A235="","",INDEX(Реестр!$B$2:$B$401,MATCH($A235,Реестр!$V$2:$V$401,0)))</f>
        <v/>
      </c>
      <c r="C235" s="24" t="str">
        <f aca="false">IF($A235="","",INDEX(Реестр!$C$2:$C$401,MATCH($A235,Реестр!$V$2:$V$401,0)))</f>
        <v/>
      </c>
      <c r="D235" s="24" t="str">
        <f aca="false">IF($A235="","",INDEX(Реестр!$T$2:$T$401,MATCH($A235,Реестр!$V$2:$V$401,0)))</f>
        <v/>
      </c>
      <c r="E235" s="21" t="str">
        <f aca="false">IF($A235="","",INDEX(Реестр!$R$2:$R$401,MATCH($A235,Реестр!$V$2:$V$401,0)))</f>
        <v/>
      </c>
      <c r="F235" s="24" t="str">
        <f aca="false">IF($A235="","",INDEX(Реестр!$U$2:$U$401,MATCH($A235,Реестр!$V$2:$V$401,0)))</f>
        <v/>
      </c>
    </row>
    <row r="236" customFormat="false" ht="15" hidden="false" customHeight="false" outlineLevel="0" collapsed="false">
      <c r="A236" s="21" t="str">
        <f aca="false">IF(ROWS(A$5:A236)&lt;=MAX(Реестр!$V$2:$V$401),ROWS(A$5:A236),"")</f>
        <v/>
      </c>
      <c r="B236" s="24" t="str">
        <f aca="false">IF($A236="","",INDEX(Реестр!$B$2:$B$401,MATCH($A236,Реестр!$V$2:$V$401,0)))</f>
        <v/>
      </c>
      <c r="C236" s="24" t="str">
        <f aca="false">IF($A236="","",INDEX(Реестр!$C$2:$C$401,MATCH($A236,Реестр!$V$2:$V$401,0)))</f>
        <v/>
      </c>
      <c r="D236" s="24" t="str">
        <f aca="false">IF($A236="","",INDEX(Реестр!$T$2:$T$401,MATCH($A236,Реестр!$V$2:$V$401,0)))</f>
        <v/>
      </c>
      <c r="E236" s="21" t="str">
        <f aca="false">IF($A236="","",INDEX(Реестр!$R$2:$R$401,MATCH($A236,Реестр!$V$2:$V$401,0)))</f>
        <v/>
      </c>
      <c r="F236" s="24" t="str">
        <f aca="false">IF($A236="","",INDEX(Реестр!$U$2:$U$401,MATCH($A236,Реестр!$V$2:$V$401,0)))</f>
        <v/>
      </c>
    </row>
    <row r="237" customFormat="false" ht="15" hidden="false" customHeight="false" outlineLevel="0" collapsed="false">
      <c r="A237" s="21" t="str">
        <f aca="false">IF(ROWS(A$5:A237)&lt;=MAX(Реестр!$V$2:$V$401),ROWS(A$5:A237),"")</f>
        <v/>
      </c>
      <c r="B237" s="24" t="str">
        <f aca="false">IF($A237="","",INDEX(Реестр!$B$2:$B$401,MATCH($A237,Реестр!$V$2:$V$401,0)))</f>
        <v/>
      </c>
      <c r="C237" s="24" t="str">
        <f aca="false">IF($A237="","",INDEX(Реестр!$C$2:$C$401,MATCH($A237,Реестр!$V$2:$V$401,0)))</f>
        <v/>
      </c>
      <c r="D237" s="24" t="str">
        <f aca="false">IF($A237="","",INDEX(Реестр!$T$2:$T$401,MATCH($A237,Реестр!$V$2:$V$401,0)))</f>
        <v/>
      </c>
      <c r="E237" s="21" t="str">
        <f aca="false">IF($A237="","",INDEX(Реестр!$R$2:$R$401,MATCH($A237,Реестр!$V$2:$V$401,0)))</f>
        <v/>
      </c>
      <c r="F237" s="24" t="str">
        <f aca="false">IF($A237="","",INDEX(Реестр!$U$2:$U$401,MATCH($A237,Реестр!$V$2:$V$401,0)))</f>
        <v/>
      </c>
    </row>
    <row r="238" customFormat="false" ht="15" hidden="false" customHeight="false" outlineLevel="0" collapsed="false">
      <c r="A238" s="21" t="str">
        <f aca="false">IF(ROWS(A$5:A238)&lt;=MAX(Реестр!$V$2:$V$401),ROWS(A$5:A238),"")</f>
        <v/>
      </c>
      <c r="B238" s="24" t="str">
        <f aca="false">IF($A238="","",INDEX(Реестр!$B$2:$B$401,MATCH($A238,Реестр!$V$2:$V$401,0)))</f>
        <v/>
      </c>
      <c r="C238" s="24" t="str">
        <f aca="false">IF($A238="","",INDEX(Реестр!$C$2:$C$401,MATCH($A238,Реестр!$V$2:$V$401,0)))</f>
        <v/>
      </c>
      <c r="D238" s="24" t="str">
        <f aca="false">IF($A238="","",INDEX(Реестр!$T$2:$T$401,MATCH($A238,Реестр!$V$2:$V$401,0)))</f>
        <v/>
      </c>
      <c r="E238" s="21" t="str">
        <f aca="false">IF($A238="","",INDEX(Реестр!$R$2:$R$401,MATCH($A238,Реестр!$V$2:$V$401,0)))</f>
        <v/>
      </c>
      <c r="F238" s="24" t="str">
        <f aca="false">IF($A238="","",INDEX(Реестр!$U$2:$U$401,MATCH($A238,Реестр!$V$2:$V$401,0)))</f>
        <v/>
      </c>
    </row>
    <row r="239" customFormat="false" ht="15" hidden="false" customHeight="false" outlineLevel="0" collapsed="false">
      <c r="A239" s="21" t="str">
        <f aca="false">IF(ROWS(A$5:A239)&lt;=MAX(Реестр!$V$2:$V$401),ROWS(A$5:A239),"")</f>
        <v/>
      </c>
      <c r="B239" s="24" t="str">
        <f aca="false">IF($A239="","",INDEX(Реестр!$B$2:$B$401,MATCH($A239,Реестр!$V$2:$V$401,0)))</f>
        <v/>
      </c>
      <c r="C239" s="24" t="str">
        <f aca="false">IF($A239="","",INDEX(Реестр!$C$2:$C$401,MATCH($A239,Реестр!$V$2:$V$401,0)))</f>
        <v/>
      </c>
      <c r="D239" s="24" t="str">
        <f aca="false">IF($A239="","",INDEX(Реестр!$T$2:$T$401,MATCH($A239,Реестр!$V$2:$V$401,0)))</f>
        <v/>
      </c>
      <c r="E239" s="21" t="str">
        <f aca="false">IF($A239="","",INDEX(Реестр!$R$2:$R$401,MATCH($A239,Реестр!$V$2:$V$401,0)))</f>
        <v/>
      </c>
      <c r="F239" s="24" t="str">
        <f aca="false">IF($A239="","",INDEX(Реестр!$U$2:$U$401,MATCH($A239,Реестр!$V$2:$V$401,0)))</f>
        <v/>
      </c>
    </row>
    <row r="240" customFormat="false" ht="15" hidden="false" customHeight="false" outlineLevel="0" collapsed="false">
      <c r="A240" s="21" t="str">
        <f aca="false">IF(ROWS(A$5:A240)&lt;=MAX(Реестр!$V$2:$V$401),ROWS(A$5:A240),"")</f>
        <v/>
      </c>
      <c r="B240" s="24" t="str">
        <f aca="false">IF($A240="","",INDEX(Реестр!$B$2:$B$401,MATCH($A240,Реестр!$V$2:$V$401,0)))</f>
        <v/>
      </c>
      <c r="C240" s="24" t="str">
        <f aca="false">IF($A240="","",INDEX(Реестр!$C$2:$C$401,MATCH($A240,Реестр!$V$2:$V$401,0)))</f>
        <v/>
      </c>
      <c r="D240" s="24" t="str">
        <f aca="false">IF($A240="","",INDEX(Реестр!$T$2:$T$401,MATCH($A240,Реестр!$V$2:$V$401,0)))</f>
        <v/>
      </c>
      <c r="E240" s="21" t="str">
        <f aca="false">IF($A240="","",INDEX(Реестр!$R$2:$R$401,MATCH($A240,Реестр!$V$2:$V$401,0)))</f>
        <v/>
      </c>
      <c r="F240" s="24" t="str">
        <f aca="false">IF($A240="","",INDEX(Реестр!$U$2:$U$401,MATCH($A240,Реестр!$V$2:$V$401,0)))</f>
        <v/>
      </c>
    </row>
    <row r="241" customFormat="false" ht="15" hidden="false" customHeight="false" outlineLevel="0" collapsed="false">
      <c r="A241" s="21" t="str">
        <f aca="false">IF(ROWS(A$5:A241)&lt;=MAX(Реестр!$V$2:$V$401),ROWS(A$5:A241),"")</f>
        <v/>
      </c>
      <c r="B241" s="24" t="str">
        <f aca="false">IF($A241="","",INDEX(Реестр!$B$2:$B$401,MATCH($A241,Реестр!$V$2:$V$401,0)))</f>
        <v/>
      </c>
      <c r="C241" s="24" t="str">
        <f aca="false">IF($A241="","",INDEX(Реестр!$C$2:$C$401,MATCH($A241,Реестр!$V$2:$V$401,0)))</f>
        <v/>
      </c>
      <c r="D241" s="24" t="str">
        <f aca="false">IF($A241="","",INDEX(Реестр!$T$2:$T$401,MATCH($A241,Реестр!$V$2:$V$401,0)))</f>
        <v/>
      </c>
      <c r="E241" s="21" t="str">
        <f aca="false">IF($A241="","",INDEX(Реестр!$R$2:$R$401,MATCH($A241,Реестр!$V$2:$V$401,0)))</f>
        <v/>
      </c>
      <c r="F241" s="24" t="str">
        <f aca="false">IF($A241="","",INDEX(Реестр!$U$2:$U$401,MATCH($A241,Реестр!$V$2:$V$401,0)))</f>
        <v/>
      </c>
    </row>
    <row r="242" customFormat="false" ht="15" hidden="false" customHeight="false" outlineLevel="0" collapsed="false">
      <c r="A242" s="21" t="str">
        <f aca="false">IF(ROWS(A$5:A242)&lt;=MAX(Реестр!$V$2:$V$401),ROWS(A$5:A242),"")</f>
        <v/>
      </c>
      <c r="B242" s="24" t="str">
        <f aca="false">IF($A242="","",INDEX(Реестр!$B$2:$B$401,MATCH($A242,Реестр!$V$2:$V$401,0)))</f>
        <v/>
      </c>
      <c r="C242" s="24" t="str">
        <f aca="false">IF($A242="","",INDEX(Реестр!$C$2:$C$401,MATCH($A242,Реестр!$V$2:$V$401,0)))</f>
        <v/>
      </c>
      <c r="D242" s="24" t="str">
        <f aca="false">IF($A242="","",INDEX(Реестр!$T$2:$T$401,MATCH($A242,Реестр!$V$2:$V$401,0)))</f>
        <v/>
      </c>
      <c r="E242" s="21" t="str">
        <f aca="false">IF($A242="","",INDEX(Реестр!$R$2:$R$401,MATCH($A242,Реестр!$V$2:$V$401,0)))</f>
        <v/>
      </c>
      <c r="F242" s="24" t="str">
        <f aca="false">IF($A242="","",INDEX(Реестр!$U$2:$U$401,MATCH($A242,Реестр!$V$2:$V$401,0)))</f>
        <v/>
      </c>
    </row>
    <row r="243" customFormat="false" ht="15" hidden="false" customHeight="false" outlineLevel="0" collapsed="false">
      <c r="A243" s="21" t="str">
        <f aca="false">IF(ROWS(A$5:A243)&lt;=MAX(Реестр!$V$2:$V$401),ROWS(A$5:A243),"")</f>
        <v/>
      </c>
      <c r="B243" s="24" t="str">
        <f aca="false">IF($A243="","",INDEX(Реестр!$B$2:$B$401,MATCH($A243,Реестр!$V$2:$V$401,0)))</f>
        <v/>
      </c>
      <c r="C243" s="24" t="str">
        <f aca="false">IF($A243="","",INDEX(Реестр!$C$2:$C$401,MATCH($A243,Реестр!$V$2:$V$401,0)))</f>
        <v/>
      </c>
      <c r="D243" s="24" t="str">
        <f aca="false">IF($A243="","",INDEX(Реестр!$T$2:$T$401,MATCH($A243,Реестр!$V$2:$V$401,0)))</f>
        <v/>
      </c>
      <c r="E243" s="21" t="str">
        <f aca="false">IF($A243="","",INDEX(Реестр!$R$2:$R$401,MATCH($A243,Реестр!$V$2:$V$401,0)))</f>
        <v/>
      </c>
      <c r="F243" s="24" t="str">
        <f aca="false">IF($A243="","",INDEX(Реестр!$U$2:$U$401,MATCH($A243,Реестр!$V$2:$V$401,0)))</f>
        <v/>
      </c>
    </row>
    <row r="244" customFormat="false" ht="15" hidden="false" customHeight="false" outlineLevel="0" collapsed="false">
      <c r="A244" s="21" t="str">
        <f aca="false">IF(ROWS(A$5:A244)&lt;=MAX(Реестр!$V$2:$V$401),ROWS(A$5:A244),"")</f>
        <v/>
      </c>
      <c r="B244" s="24" t="str">
        <f aca="false">IF($A244="","",INDEX(Реестр!$B$2:$B$401,MATCH($A244,Реестр!$V$2:$V$401,0)))</f>
        <v/>
      </c>
      <c r="C244" s="24" t="str">
        <f aca="false">IF($A244="","",INDEX(Реестр!$C$2:$C$401,MATCH($A244,Реестр!$V$2:$V$401,0)))</f>
        <v/>
      </c>
      <c r="D244" s="24" t="str">
        <f aca="false">IF($A244="","",INDEX(Реестр!$T$2:$T$401,MATCH($A244,Реестр!$V$2:$V$401,0)))</f>
        <v/>
      </c>
      <c r="E244" s="21" t="str">
        <f aca="false">IF($A244="","",INDEX(Реестр!$R$2:$R$401,MATCH($A244,Реестр!$V$2:$V$401,0)))</f>
        <v/>
      </c>
      <c r="F244" s="24" t="str">
        <f aca="false">IF($A244="","",INDEX(Реестр!$U$2:$U$401,MATCH($A244,Реестр!$V$2:$V$401,0)))</f>
        <v/>
      </c>
    </row>
    <row r="245" customFormat="false" ht="15" hidden="false" customHeight="false" outlineLevel="0" collapsed="false">
      <c r="A245" s="21" t="str">
        <f aca="false">IF(ROWS(A$5:A245)&lt;=MAX(Реестр!$V$2:$V$401),ROWS(A$5:A245),"")</f>
        <v/>
      </c>
      <c r="B245" s="24" t="str">
        <f aca="false">IF($A245="","",INDEX(Реестр!$B$2:$B$401,MATCH($A245,Реестр!$V$2:$V$401,0)))</f>
        <v/>
      </c>
      <c r="C245" s="24" t="str">
        <f aca="false">IF($A245="","",INDEX(Реестр!$C$2:$C$401,MATCH($A245,Реестр!$V$2:$V$401,0)))</f>
        <v/>
      </c>
      <c r="D245" s="24" t="str">
        <f aca="false">IF($A245="","",INDEX(Реестр!$T$2:$T$401,MATCH($A245,Реестр!$V$2:$V$401,0)))</f>
        <v/>
      </c>
      <c r="E245" s="21" t="str">
        <f aca="false">IF($A245="","",INDEX(Реестр!$R$2:$R$401,MATCH($A245,Реестр!$V$2:$V$401,0)))</f>
        <v/>
      </c>
      <c r="F245" s="24" t="str">
        <f aca="false">IF($A245="","",INDEX(Реестр!$U$2:$U$401,MATCH($A245,Реестр!$V$2:$V$401,0)))</f>
        <v/>
      </c>
    </row>
    <row r="246" customFormat="false" ht="15" hidden="false" customHeight="false" outlineLevel="0" collapsed="false">
      <c r="A246" s="21" t="str">
        <f aca="false">IF(ROWS(A$5:A246)&lt;=MAX(Реестр!$V$2:$V$401),ROWS(A$5:A246),"")</f>
        <v/>
      </c>
      <c r="B246" s="24" t="str">
        <f aca="false">IF($A246="","",INDEX(Реестр!$B$2:$B$401,MATCH($A246,Реестр!$V$2:$V$401,0)))</f>
        <v/>
      </c>
      <c r="C246" s="24" t="str">
        <f aca="false">IF($A246="","",INDEX(Реестр!$C$2:$C$401,MATCH($A246,Реестр!$V$2:$V$401,0)))</f>
        <v/>
      </c>
      <c r="D246" s="24" t="str">
        <f aca="false">IF($A246="","",INDEX(Реестр!$T$2:$T$401,MATCH($A246,Реестр!$V$2:$V$401,0)))</f>
        <v/>
      </c>
      <c r="E246" s="21" t="str">
        <f aca="false">IF($A246="","",INDEX(Реестр!$R$2:$R$401,MATCH($A246,Реестр!$V$2:$V$401,0)))</f>
        <v/>
      </c>
      <c r="F246" s="24" t="str">
        <f aca="false">IF($A246="","",INDEX(Реестр!$U$2:$U$401,MATCH($A246,Реестр!$V$2:$V$401,0)))</f>
        <v/>
      </c>
    </row>
    <row r="247" customFormat="false" ht="15" hidden="false" customHeight="false" outlineLevel="0" collapsed="false">
      <c r="A247" s="21" t="str">
        <f aca="false">IF(ROWS(A$5:A247)&lt;=MAX(Реестр!$V$2:$V$401),ROWS(A$5:A247),"")</f>
        <v/>
      </c>
      <c r="B247" s="24" t="str">
        <f aca="false">IF($A247="","",INDEX(Реестр!$B$2:$B$401,MATCH($A247,Реестр!$V$2:$V$401,0)))</f>
        <v/>
      </c>
      <c r="C247" s="24" t="str">
        <f aca="false">IF($A247="","",INDEX(Реестр!$C$2:$C$401,MATCH($A247,Реестр!$V$2:$V$401,0)))</f>
        <v/>
      </c>
      <c r="D247" s="24" t="str">
        <f aca="false">IF($A247="","",INDEX(Реестр!$T$2:$T$401,MATCH($A247,Реестр!$V$2:$V$401,0)))</f>
        <v/>
      </c>
      <c r="E247" s="21" t="str">
        <f aca="false">IF($A247="","",INDEX(Реестр!$R$2:$R$401,MATCH($A247,Реестр!$V$2:$V$401,0)))</f>
        <v/>
      </c>
      <c r="F247" s="24" t="str">
        <f aca="false">IF($A247="","",INDEX(Реестр!$U$2:$U$401,MATCH($A247,Реестр!$V$2:$V$401,0)))</f>
        <v/>
      </c>
    </row>
    <row r="248" customFormat="false" ht="15" hidden="false" customHeight="false" outlineLevel="0" collapsed="false">
      <c r="A248" s="21" t="str">
        <f aca="false">IF(ROWS(A$5:A248)&lt;=MAX(Реестр!$V$2:$V$401),ROWS(A$5:A248),"")</f>
        <v/>
      </c>
      <c r="B248" s="24" t="str">
        <f aca="false">IF($A248="","",INDEX(Реестр!$B$2:$B$401,MATCH($A248,Реестр!$V$2:$V$401,0)))</f>
        <v/>
      </c>
      <c r="C248" s="24" t="str">
        <f aca="false">IF($A248="","",INDEX(Реестр!$C$2:$C$401,MATCH($A248,Реестр!$V$2:$V$401,0)))</f>
        <v/>
      </c>
      <c r="D248" s="24" t="str">
        <f aca="false">IF($A248="","",INDEX(Реестр!$T$2:$T$401,MATCH($A248,Реестр!$V$2:$V$401,0)))</f>
        <v/>
      </c>
      <c r="E248" s="21" t="str">
        <f aca="false">IF($A248="","",INDEX(Реестр!$R$2:$R$401,MATCH($A248,Реестр!$V$2:$V$401,0)))</f>
        <v/>
      </c>
      <c r="F248" s="24" t="str">
        <f aca="false">IF($A248="","",INDEX(Реестр!$U$2:$U$401,MATCH($A248,Реестр!$V$2:$V$401,0)))</f>
        <v/>
      </c>
    </row>
    <row r="249" customFormat="false" ht="15" hidden="false" customHeight="false" outlineLevel="0" collapsed="false">
      <c r="A249" s="21" t="str">
        <f aca="false">IF(ROWS(A$5:A249)&lt;=MAX(Реестр!$V$2:$V$401),ROWS(A$5:A249),"")</f>
        <v/>
      </c>
      <c r="B249" s="24" t="str">
        <f aca="false">IF($A249="","",INDEX(Реестр!$B$2:$B$401,MATCH($A249,Реестр!$V$2:$V$401,0)))</f>
        <v/>
      </c>
      <c r="C249" s="24" t="str">
        <f aca="false">IF($A249="","",INDEX(Реестр!$C$2:$C$401,MATCH($A249,Реестр!$V$2:$V$401,0)))</f>
        <v/>
      </c>
      <c r="D249" s="24" t="str">
        <f aca="false">IF($A249="","",INDEX(Реестр!$T$2:$T$401,MATCH($A249,Реестр!$V$2:$V$401,0)))</f>
        <v/>
      </c>
      <c r="E249" s="21" t="str">
        <f aca="false">IF($A249="","",INDEX(Реестр!$R$2:$R$401,MATCH($A249,Реестр!$V$2:$V$401,0)))</f>
        <v/>
      </c>
      <c r="F249" s="24" t="str">
        <f aca="false">IF($A249="","",INDEX(Реестр!$U$2:$U$401,MATCH($A249,Реестр!$V$2:$V$401,0)))</f>
        <v/>
      </c>
    </row>
    <row r="250" customFormat="false" ht="15" hidden="false" customHeight="false" outlineLevel="0" collapsed="false">
      <c r="A250" s="21" t="str">
        <f aca="false">IF(ROWS(A$5:A250)&lt;=MAX(Реестр!$V$2:$V$401),ROWS(A$5:A250),"")</f>
        <v/>
      </c>
      <c r="B250" s="24" t="str">
        <f aca="false">IF($A250="","",INDEX(Реестр!$B$2:$B$401,MATCH($A250,Реестр!$V$2:$V$401,0)))</f>
        <v/>
      </c>
      <c r="C250" s="24" t="str">
        <f aca="false">IF($A250="","",INDEX(Реестр!$C$2:$C$401,MATCH($A250,Реестр!$V$2:$V$401,0)))</f>
        <v/>
      </c>
      <c r="D250" s="24" t="str">
        <f aca="false">IF($A250="","",INDEX(Реестр!$T$2:$T$401,MATCH($A250,Реестр!$V$2:$V$401,0)))</f>
        <v/>
      </c>
      <c r="E250" s="21" t="str">
        <f aca="false">IF($A250="","",INDEX(Реестр!$R$2:$R$401,MATCH($A250,Реестр!$V$2:$V$401,0)))</f>
        <v/>
      </c>
      <c r="F250" s="24" t="str">
        <f aca="false">IF($A250="","",INDEX(Реестр!$U$2:$U$401,MATCH($A250,Реестр!$V$2:$V$401,0)))</f>
        <v/>
      </c>
    </row>
    <row r="251" customFormat="false" ht="15" hidden="false" customHeight="false" outlineLevel="0" collapsed="false">
      <c r="A251" s="21" t="str">
        <f aca="false">IF(ROWS(A$5:A251)&lt;=MAX(Реестр!$V$2:$V$401),ROWS(A$5:A251),"")</f>
        <v/>
      </c>
      <c r="B251" s="24" t="str">
        <f aca="false">IF($A251="","",INDEX(Реестр!$B$2:$B$401,MATCH($A251,Реестр!$V$2:$V$401,0)))</f>
        <v/>
      </c>
      <c r="C251" s="24" t="str">
        <f aca="false">IF($A251="","",INDEX(Реестр!$C$2:$C$401,MATCH($A251,Реестр!$V$2:$V$401,0)))</f>
        <v/>
      </c>
      <c r="D251" s="24" t="str">
        <f aca="false">IF($A251="","",INDEX(Реестр!$T$2:$T$401,MATCH($A251,Реестр!$V$2:$V$401,0)))</f>
        <v/>
      </c>
      <c r="E251" s="21" t="str">
        <f aca="false">IF($A251="","",INDEX(Реестр!$R$2:$R$401,MATCH($A251,Реестр!$V$2:$V$401,0)))</f>
        <v/>
      </c>
      <c r="F251" s="24" t="str">
        <f aca="false">IF($A251="","",INDEX(Реестр!$U$2:$U$401,MATCH($A251,Реестр!$V$2:$V$401,0)))</f>
        <v/>
      </c>
    </row>
    <row r="252" customFormat="false" ht="15" hidden="false" customHeight="false" outlineLevel="0" collapsed="false">
      <c r="A252" s="21" t="str">
        <f aca="false">IF(ROWS(A$5:A252)&lt;=MAX(Реестр!$V$2:$V$401),ROWS(A$5:A252),"")</f>
        <v/>
      </c>
      <c r="B252" s="24" t="str">
        <f aca="false">IF($A252="","",INDEX(Реестр!$B$2:$B$401,MATCH($A252,Реестр!$V$2:$V$401,0)))</f>
        <v/>
      </c>
      <c r="C252" s="24" t="str">
        <f aca="false">IF($A252="","",INDEX(Реестр!$C$2:$C$401,MATCH($A252,Реестр!$V$2:$V$401,0)))</f>
        <v/>
      </c>
      <c r="D252" s="24" t="str">
        <f aca="false">IF($A252="","",INDEX(Реестр!$T$2:$T$401,MATCH($A252,Реестр!$V$2:$V$401,0)))</f>
        <v/>
      </c>
      <c r="E252" s="21" t="str">
        <f aca="false">IF($A252="","",INDEX(Реестр!$R$2:$R$401,MATCH($A252,Реестр!$V$2:$V$401,0)))</f>
        <v/>
      </c>
      <c r="F252" s="24" t="str">
        <f aca="false">IF($A252="","",INDEX(Реестр!$U$2:$U$401,MATCH($A252,Реестр!$V$2:$V$401,0)))</f>
        <v/>
      </c>
    </row>
    <row r="253" customFormat="false" ht="15" hidden="false" customHeight="false" outlineLevel="0" collapsed="false">
      <c r="A253" s="21" t="str">
        <f aca="false">IF(ROWS(A$5:A253)&lt;=MAX(Реестр!$V$2:$V$401),ROWS(A$5:A253),"")</f>
        <v/>
      </c>
      <c r="B253" s="24" t="str">
        <f aca="false">IF($A253="","",INDEX(Реестр!$B$2:$B$401,MATCH($A253,Реестр!$V$2:$V$401,0)))</f>
        <v/>
      </c>
      <c r="C253" s="24" t="str">
        <f aca="false">IF($A253="","",INDEX(Реестр!$C$2:$C$401,MATCH($A253,Реестр!$V$2:$V$401,0)))</f>
        <v/>
      </c>
      <c r="D253" s="24" t="str">
        <f aca="false">IF($A253="","",INDEX(Реестр!$T$2:$T$401,MATCH($A253,Реестр!$V$2:$V$401,0)))</f>
        <v/>
      </c>
      <c r="E253" s="21" t="str">
        <f aca="false">IF($A253="","",INDEX(Реестр!$R$2:$R$401,MATCH($A253,Реестр!$V$2:$V$401,0)))</f>
        <v/>
      </c>
      <c r="F253" s="24" t="str">
        <f aca="false">IF($A253="","",INDEX(Реестр!$U$2:$U$401,MATCH($A253,Реестр!$V$2:$V$401,0)))</f>
        <v/>
      </c>
    </row>
    <row r="254" customFormat="false" ht="15" hidden="false" customHeight="false" outlineLevel="0" collapsed="false">
      <c r="A254" s="21" t="str">
        <f aca="false">IF(ROWS(A$5:A254)&lt;=MAX(Реестр!$V$2:$V$401),ROWS(A$5:A254),"")</f>
        <v/>
      </c>
      <c r="B254" s="24" t="str">
        <f aca="false">IF($A254="","",INDEX(Реестр!$B$2:$B$401,MATCH($A254,Реестр!$V$2:$V$401,0)))</f>
        <v/>
      </c>
      <c r="C254" s="24" t="str">
        <f aca="false">IF($A254="","",INDEX(Реестр!$C$2:$C$401,MATCH($A254,Реестр!$V$2:$V$401,0)))</f>
        <v/>
      </c>
      <c r="D254" s="24" t="str">
        <f aca="false">IF($A254="","",INDEX(Реестр!$T$2:$T$401,MATCH($A254,Реестр!$V$2:$V$401,0)))</f>
        <v/>
      </c>
      <c r="E254" s="21" t="str">
        <f aca="false">IF($A254="","",INDEX(Реестр!$R$2:$R$401,MATCH($A254,Реестр!$V$2:$V$401,0)))</f>
        <v/>
      </c>
      <c r="F254" s="24" t="str">
        <f aca="false">IF($A254="","",INDEX(Реестр!$U$2:$U$401,MATCH($A254,Реестр!$V$2:$V$401,0)))</f>
        <v/>
      </c>
    </row>
    <row r="255" customFormat="false" ht="15" hidden="false" customHeight="false" outlineLevel="0" collapsed="false">
      <c r="A255" s="21" t="str">
        <f aca="false">IF(ROWS(A$5:A255)&lt;=MAX(Реестр!$V$2:$V$401),ROWS(A$5:A255),"")</f>
        <v/>
      </c>
      <c r="B255" s="24" t="str">
        <f aca="false">IF($A255="","",INDEX(Реестр!$B$2:$B$401,MATCH($A255,Реестр!$V$2:$V$401,0)))</f>
        <v/>
      </c>
      <c r="C255" s="24" t="str">
        <f aca="false">IF($A255="","",INDEX(Реестр!$C$2:$C$401,MATCH($A255,Реестр!$V$2:$V$401,0)))</f>
        <v/>
      </c>
      <c r="D255" s="24" t="str">
        <f aca="false">IF($A255="","",INDEX(Реестр!$T$2:$T$401,MATCH($A255,Реестр!$V$2:$V$401,0)))</f>
        <v/>
      </c>
      <c r="E255" s="21" t="str">
        <f aca="false">IF($A255="","",INDEX(Реестр!$R$2:$R$401,MATCH($A255,Реестр!$V$2:$V$401,0)))</f>
        <v/>
      </c>
      <c r="F255" s="24" t="str">
        <f aca="false">IF($A255="","",INDEX(Реестр!$U$2:$U$401,MATCH($A255,Реестр!$V$2:$V$401,0)))</f>
        <v/>
      </c>
    </row>
    <row r="256" customFormat="false" ht="15" hidden="false" customHeight="false" outlineLevel="0" collapsed="false">
      <c r="A256" s="21" t="str">
        <f aca="false">IF(ROWS(A$5:A256)&lt;=MAX(Реестр!$V$2:$V$401),ROWS(A$5:A256),"")</f>
        <v/>
      </c>
      <c r="B256" s="24" t="str">
        <f aca="false">IF($A256="","",INDEX(Реестр!$B$2:$B$401,MATCH($A256,Реестр!$V$2:$V$401,0)))</f>
        <v/>
      </c>
      <c r="C256" s="24" t="str">
        <f aca="false">IF($A256="","",INDEX(Реестр!$C$2:$C$401,MATCH($A256,Реестр!$V$2:$V$401,0)))</f>
        <v/>
      </c>
      <c r="D256" s="24" t="str">
        <f aca="false">IF($A256="","",INDEX(Реестр!$T$2:$T$401,MATCH($A256,Реестр!$V$2:$V$401,0)))</f>
        <v/>
      </c>
      <c r="E256" s="21" t="str">
        <f aca="false">IF($A256="","",INDEX(Реестр!$R$2:$R$401,MATCH($A256,Реестр!$V$2:$V$401,0)))</f>
        <v/>
      </c>
      <c r="F256" s="24" t="str">
        <f aca="false">IF($A256="","",INDEX(Реестр!$U$2:$U$401,MATCH($A256,Реестр!$V$2:$V$401,0)))</f>
        <v/>
      </c>
    </row>
    <row r="257" customFormat="false" ht="15" hidden="false" customHeight="false" outlineLevel="0" collapsed="false">
      <c r="A257" s="21" t="str">
        <f aca="false">IF(ROWS(A$5:A257)&lt;=MAX(Реестр!$V$2:$V$401),ROWS(A$5:A257),"")</f>
        <v/>
      </c>
      <c r="B257" s="24" t="str">
        <f aca="false">IF($A257="","",INDEX(Реестр!$B$2:$B$401,MATCH($A257,Реестр!$V$2:$V$401,0)))</f>
        <v/>
      </c>
      <c r="C257" s="24" t="str">
        <f aca="false">IF($A257="","",INDEX(Реестр!$C$2:$C$401,MATCH($A257,Реестр!$V$2:$V$401,0)))</f>
        <v/>
      </c>
      <c r="D257" s="24" t="str">
        <f aca="false">IF($A257="","",INDEX(Реестр!$T$2:$T$401,MATCH($A257,Реестр!$V$2:$V$401,0)))</f>
        <v/>
      </c>
      <c r="E257" s="21" t="str">
        <f aca="false">IF($A257="","",INDEX(Реестр!$R$2:$R$401,MATCH($A257,Реестр!$V$2:$V$401,0)))</f>
        <v/>
      </c>
      <c r="F257" s="24" t="str">
        <f aca="false">IF($A257="","",INDEX(Реестр!$U$2:$U$401,MATCH($A257,Реестр!$V$2:$V$401,0)))</f>
        <v/>
      </c>
    </row>
    <row r="258" customFormat="false" ht="15" hidden="false" customHeight="false" outlineLevel="0" collapsed="false">
      <c r="A258" s="21" t="str">
        <f aca="false">IF(ROWS(A$5:A258)&lt;=MAX(Реестр!$V$2:$V$401),ROWS(A$5:A258),"")</f>
        <v/>
      </c>
      <c r="B258" s="24" t="str">
        <f aca="false">IF($A258="","",INDEX(Реестр!$B$2:$B$401,MATCH($A258,Реестр!$V$2:$V$401,0)))</f>
        <v/>
      </c>
      <c r="C258" s="24" t="str">
        <f aca="false">IF($A258="","",INDEX(Реестр!$C$2:$C$401,MATCH($A258,Реестр!$V$2:$V$401,0)))</f>
        <v/>
      </c>
      <c r="D258" s="24" t="str">
        <f aca="false">IF($A258="","",INDEX(Реестр!$T$2:$T$401,MATCH($A258,Реестр!$V$2:$V$401,0)))</f>
        <v/>
      </c>
      <c r="E258" s="21" t="str">
        <f aca="false">IF($A258="","",INDEX(Реестр!$R$2:$R$401,MATCH($A258,Реестр!$V$2:$V$401,0)))</f>
        <v/>
      </c>
      <c r="F258" s="24" t="str">
        <f aca="false">IF($A258="","",INDEX(Реестр!$U$2:$U$401,MATCH($A258,Реестр!$V$2:$V$401,0)))</f>
        <v/>
      </c>
    </row>
    <row r="259" customFormat="false" ht="15" hidden="false" customHeight="false" outlineLevel="0" collapsed="false">
      <c r="A259" s="21" t="str">
        <f aca="false">IF(ROWS(A$5:A259)&lt;=MAX(Реестр!$V$2:$V$401),ROWS(A$5:A259),"")</f>
        <v/>
      </c>
      <c r="B259" s="24" t="str">
        <f aca="false">IF($A259="","",INDEX(Реестр!$B$2:$B$401,MATCH($A259,Реестр!$V$2:$V$401,0)))</f>
        <v/>
      </c>
      <c r="C259" s="24" t="str">
        <f aca="false">IF($A259="","",INDEX(Реестр!$C$2:$C$401,MATCH($A259,Реестр!$V$2:$V$401,0)))</f>
        <v/>
      </c>
      <c r="D259" s="24" t="str">
        <f aca="false">IF($A259="","",INDEX(Реестр!$T$2:$T$401,MATCH($A259,Реестр!$V$2:$V$401,0)))</f>
        <v/>
      </c>
      <c r="E259" s="21" t="str">
        <f aca="false">IF($A259="","",INDEX(Реестр!$R$2:$R$401,MATCH($A259,Реестр!$V$2:$V$401,0)))</f>
        <v/>
      </c>
      <c r="F259" s="24" t="str">
        <f aca="false">IF($A259="","",INDEX(Реестр!$U$2:$U$401,MATCH($A259,Реестр!$V$2:$V$401,0)))</f>
        <v/>
      </c>
    </row>
    <row r="260" customFormat="false" ht="15" hidden="false" customHeight="false" outlineLevel="0" collapsed="false">
      <c r="A260" s="21" t="str">
        <f aca="false">IF(ROWS(A$5:A260)&lt;=MAX(Реестр!$V$2:$V$401),ROWS(A$5:A260),"")</f>
        <v/>
      </c>
      <c r="B260" s="24" t="str">
        <f aca="false">IF($A260="","",INDEX(Реестр!$B$2:$B$401,MATCH($A260,Реестр!$V$2:$V$401,0)))</f>
        <v/>
      </c>
      <c r="C260" s="24" t="str">
        <f aca="false">IF($A260="","",INDEX(Реестр!$C$2:$C$401,MATCH($A260,Реестр!$V$2:$V$401,0)))</f>
        <v/>
      </c>
      <c r="D260" s="24" t="str">
        <f aca="false">IF($A260="","",INDEX(Реестр!$T$2:$T$401,MATCH($A260,Реестр!$V$2:$V$401,0)))</f>
        <v/>
      </c>
      <c r="E260" s="21" t="str">
        <f aca="false">IF($A260="","",INDEX(Реестр!$R$2:$R$401,MATCH($A260,Реестр!$V$2:$V$401,0)))</f>
        <v/>
      </c>
      <c r="F260" s="24" t="str">
        <f aca="false">IF($A260="","",INDEX(Реестр!$U$2:$U$401,MATCH($A260,Реестр!$V$2:$V$401,0)))</f>
        <v/>
      </c>
    </row>
    <row r="261" customFormat="false" ht="15" hidden="false" customHeight="false" outlineLevel="0" collapsed="false">
      <c r="A261" s="21" t="str">
        <f aca="false">IF(ROWS(A$5:A261)&lt;=MAX(Реестр!$V$2:$V$401),ROWS(A$5:A261),"")</f>
        <v/>
      </c>
      <c r="B261" s="24" t="str">
        <f aca="false">IF($A261="","",INDEX(Реестр!$B$2:$B$401,MATCH($A261,Реестр!$V$2:$V$401,0)))</f>
        <v/>
      </c>
      <c r="C261" s="24" t="str">
        <f aca="false">IF($A261="","",INDEX(Реестр!$C$2:$C$401,MATCH($A261,Реестр!$V$2:$V$401,0)))</f>
        <v/>
      </c>
      <c r="D261" s="24" t="str">
        <f aca="false">IF($A261="","",INDEX(Реестр!$T$2:$T$401,MATCH($A261,Реестр!$V$2:$V$401,0)))</f>
        <v/>
      </c>
      <c r="E261" s="21" t="str">
        <f aca="false">IF($A261="","",INDEX(Реестр!$R$2:$R$401,MATCH($A261,Реестр!$V$2:$V$401,0)))</f>
        <v/>
      </c>
      <c r="F261" s="24" t="str">
        <f aca="false">IF($A261="","",INDEX(Реестр!$U$2:$U$401,MATCH($A261,Реестр!$V$2:$V$401,0)))</f>
        <v/>
      </c>
    </row>
    <row r="262" customFormat="false" ht="15" hidden="false" customHeight="false" outlineLevel="0" collapsed="false">
      <c r="A262" s="21" t="str">
        <f aca="false">IF(ROWS(A$5:A262)&lt;=MAX(Реестр!$V$2:$V$401),ROWS(A$5:A262),"")</f>
        <v/>
      </c>
      <c r="B262" s="24" t="str">
        <f aca="false">IF($A262="","",INDEX(Реестр!$B$2:$B$401,MATCH($A262,Реестр!$V$2:$V$401,0)))</f>
        <v/>
      </c>
      <c r="C262" s="24" t="str">
        <f aca="false">IF($A262="","",INDEX(Реестр!$C$2:$C$401,MATCH($A262,Реестр!$V$2:$V$401,0)))</f>
        <v/>
      </c>
      <c r="D262" s="24" t="str">
        <f aca="false">IF($A262="","",INDEX(Реестр!$T$2:$T$401,MATCH($A262,Реестр!$V$2:$V$401,0)))</f>
        <v/>
      </c>
      <c r="E262" s="21" t="str">
        <f aca="false">IF($A262="","",INDEX(Реестр!$R$2:$R$401,MATCH($A262,Реестр!$V$2:$V$401,0)))</f>
        <v/>
      </c>
      <c r="F262" s="24" t="str">
        <f aca="false">IF($A262="","",INDEX(Реестр!$U$2:$U$401,MATCH($A262,Реестр!$V$2:$V$401,0)))</f>
        <v/>
      </c>
    </row>
    <row r="263" customFormat="false" ht="15" hidden="false" customHeight="false" outlineLevel="0" collapsed="false">
      <c r="A263" s="21" t="str">
        <f aca="false">IF(ROWS(A$5:A263)&lt;=MAX(Реестр!$V$2:$V$401),ROWS(A$5:A263),"")</f>
        <v/>
      </c>
      <c r="B263" s="24" t="str">
        <f aca="false">IF($A263="","",INDEX(Реестр!$B$2:$B$401,MATCH($A263,Реестр!$V$2:$V$401,0)))</f>
        <v/>
      </c>
      <c r="C263" s="24" t="str">
        <f aca="false">IF($A263="","",INDEX(Реестр!$C$2:$C$401,MATCH($A263,Реестр!$V$2:$V$401,0)))</f>
        <v/>
      </c>
      <c r="D263" s="24" t="str">
        <f aca="false">IF($A263="","",INDEX(Реестр!$T$2:$T$401,MATCH($A263,Реестр!$V$2:$V$401,0)))</f>
        <v/>
      </c>
      <c r="E263" s="21" t="str">
        <f aca="false">IF($A263="","",INDEX(Реестр!$R$2:$R$401,MATCH($A263,Реестр!$V$2:$V$401,0)))</f>
        <v/>
      </c>
      <c r="F263" s="24" t="str">
        <f aca="false">IF($A263="","",INDEX(Реестр!$U$2:$U$401,MATCH($A263,Реестр!$V$2:$V$401,0)))</f>
        <v/>
      </c>
    </row>
    <row r="264" customFormat="false" ht="15" hidden="false" customHeight="false" outlineLevel="0" collapsed="false">
      <c r="A264" s="21" t="str">
        <f aca="false">IF(ROWS(A$5:A264)&lt;=MAX(Реестр!$V$2:$V$401),ROWS(A$5:A264),"")</f>
        <v/>
      </c>
      <c r="B264" s="24" t="str">
        <f aca="false">IF($A264="","",INDEX(Реестр!$B$2:$B$401,MATCH($A264,Реестр!$V$2:$V$401,0)))</f>
        <v/>
      </c>
      <c r="C264" s="24" t="str">
        <f aca="false">IF($A264="","",INDEX(Реестр!$C$2:$C$401,MATCH($A264,Реестр!$V$2:$V$401,0)))</f>
        <v/>
      </c>
      <c r="D264" s="24" t="str">
        <f aca="false">IF($A264="","",INDEX(Реестр!$T$2:$T$401,MATCH($A264,Реестр!$V$2:$V$401,0)))</f>
        <v/>
      </c>
      <c r="E264" s="21" t="str">
        <f aca="false">IF($A264="","",INDEX(Реестр!$R$2:$R$401,MATCH($A264,Реестр!$V$2:$V$401,0)))</f>
        <v/>
      </c>
      <c r="F264" s="24" t="str">
        <f aca="false">IF($A264="","",INDEX(Реестр!$U$2:$U$401,MATCH($A264,Реестр!$V$2:$V$401,0)))</f>
        <v/>
      </c>
    </row>
    <row r="265" customFormat="false" ht="15" hidden="false" customHeight="false" outlineLevel="0" collapsed="false">
      <c r="A265" s="21" t="str">
        <f aca="false">IF(ROWS(A$5:A265)&lt;=MAX(Реестр!$V$2:$V$401),ROWS(A$5:A265),"")</f>
        <v/>
      </c>
      <c r="B265" s="24" t="str">
        <f aca="false">IF($A265="","",INDEX(Реестр!$B$2:$B$401,MATCH($A265,Реестр!$V$2:$V$401,0)))</f>
        <v/>
      </c>
      <c r="C265" s="24" t="str">
        <f aca="false">IF($A265="","",INDEX(Реестр!$C$2:$C$401,MATCH($A265,Реестр!$V$2:$V$401,0)))</f>
        <v/>
      </c>
      <c r="D265" s="24" t="str">
        <f aca="false">IF($A265="","",INDEX(Реестр!$T$2:$T$401,MATCH($A265,Реестр!$V$2:$V$401,0)))</f>
        <v/>
      </c>
      <c r="E265" s="21" t="str">
        <f aca="false">IF($A265="","",INDEX(Реестр!$R$2:$R$401,MATCH($A265,Реестр!$V$2:$V$401,0)))</f>
        <v/>
      </c>
      <c r="F265" s="24" t="str">
        <f aca="false">IF($A265="","",INDEX(Реестр!$U$2:$U$401,MATCH($A265,Реестр!$V$2:$V$401,0)))</f>
        <v/>
      </c>
    </row>
    <row r="266" customFormat="false" ht="15" hidden="false" customHeight="false" outlineLevel="0" collapsed="false">
      <c r="A266" s="21" t="str">
        <f aca="false">IF(ROWS(A$5:A266)&lt;=MAX(Реестр!$V$2:$V$401),ROWS(A$5:A266),"")</f>
        <v/>
      </c>
      <c r="B266" s="24" t="str">
        <f aca="false">IF($A266="","",INDEX(Реестр!$B$2:$B$401,MATCH($A266,Реестр!$V$2:$V$401,0)))</f>
        <v/>
      </c>
      <c r="C266" s="24" t="str">
        <f aca="false">IF($A266="","",INDEX(Реестр!$C$2:$C$401,MATCH($A266,Реестр!$V$2:$V$401,0)))</f>
        <v/>
      </c>
      <c r="D266" s="24" t="str">
        <f aca="false">IF($A266="","",INDEX(Реестр!$T$2:$T$401,MATCH($A266,Реестр!$V$2:$V$401,0)))</f>
        <v/>
      </c>
      <c r="E266" s="21" t="str">
        <f aca="false">IF($A266="","",INDEX(Реестр!$R$2:$R$401,MATCH($A266,Реестр!$V$2:$V$401,0)))</f>
        <v/>
      </c>
      <c r="F266" s="24" t="str">
        <f aca="false">IF($A266="","",INDEX(Реестр!$U$2:$U$401,MATCH($A266,Реестр!$V$2:$V$401,0)))</f>
        <v/>
      </c>
    </row>
    <row r="267" customFormat="false" ht="15" hidden="false" customHeight="false" outlineLevel="0" collapsed="false">
      <c r="A267" s="21" t="str">
        <f aca="false">IF(ROWS(A$5:A267)&lt;=MAX(Реестр!$V$2:$V$401),ROWS(A$5:A267),"")</f>
        <v/>
      </c>
      <c r="B267" s="24" t="str">
        <f aca="false">IF($A267="","",INDEX(Реестр!$B$2:$B$401,MATCH($A267,Реестр!$V$2:$V$401,0)))</f>
        <v/>
      </c>
      <c r="C267" s="24" t="str">
        <f aca="false">IF($A267="","",INDEX(Реестр!$C$2:$C$401,MATCH($A267,Реестр!$V$2:$V$401,0)))</f>
        <v/>
      </c>
      <c r="D267" s="24" t="str">
        <f aca="false">IF($A267="","",INDEX(Реестр!$T$2:$T$401,MATCH($A267,Реестр!$V$2:$V$401,0)))</f>
        <v/>
      </c>
      <c r="E267" s="21" t="str">
        <f aca="false">IF($A267="","",INDEX(Реестр!$R$2:$R$401,MATCH($A267,Реестр!$V$2:$V$401,0)))</f>
        <v/>
      </c>
      <c r="F267" s="24" t="str">
        <f aca="false">IF($A267="","",INDEX(Реестр!$U$2:$U$401,MATCH($A267,Реестр!$V$2:$V$401,0)))</f>
        <v/>
      </c>
    </row>
    <row r="268" customFormat="false" ht="15" hidden="false" customHeight="false" outlineLevel="0" collapsed="false">
      <c r="A268" s="21" t="str">
        <f aca="false">IF(ROWS(A$5:A268)&lt;=MAX(Реестр!$V$2:$V$401),ROWS(A$5:A268),"")</f>
        <v/>
      </c>
      <c r="B268" s="24" t="str">
        <f aca="false">IF($A268="","",INDEX(Реестр!$B$2:$B$401,MATCH($A268,Реестр!$V$2:$V$401,0)))</f>
        <v/>
      </c>
      <c r="C268" s="24" t="str">
        <f aca="false">IF($A268="","",INDEX(Реестр!$C$2:$C$401,MATCH($A268,Реестр!$V$2:$V$401,0)))</f>
        <v/>
      </c>
      <c r="D268" s="24" t="str">
        <f aca="false">IF($A268="","",INDEX(Реестр!$T$2:$T$401,MATCH($A268,Реестр!$V$2:$V$401,0)))</f>
        <v/>
      </c>
      <c r="E268" s="21" t="str">
        <f aca="false">IF($A268="","",INDEX(Реестр!$R$2:$R$401,MATCH($A268,Реестр!$V$2:$V$401,0)))</f>
        <v/>
      </c>
      <c r="F268" s="24" t="str">
        <f aca="false">IF($A268="","",INDEX(Реестр!$U$2:$U$401,MATCH($A268,Реестр!$V$2:$V$401,0)))</f>
        <v/>
      </c>
    </row>
    <row r="269" customFormat="false" ht="15" hidden="false" customHeight="false" outlineLevel="0" collapsed="false">
      <c r="A269" s="21" t="str">
        <f aca="false">IF(ROWS(A$5:A269)&lt;=MAX(Реестр!$V$2:$V$401),ROWS(A$5:A269),"")</f>
        <v/>
      </c>
      <c r="B269" s="24" t="str">
        <f aca="false">IF($A269="","",INDEX(Реестр!$B$2:$B$401,MATCH($A269,Реестр!$V$2:$V$401,0)))</f>
        <v/>
      </c>
      <c r="C269" s="24" t="str">
        <f aca="false">IF($A269="","",INDEX(Реестр!$C$2:$C$401,MATCH($A269,Реестр!$V$2:$V$401,0)))</f>
        <v/>
      </c>
      <c r="D269" s="24" t="str">
        <f aca="false">IF($A269="","",INDEX(Реестр!$T$2:$T$401,MATCH($A269,Реестр!$V$2:$V$401,0)))</f>
        <v/>
      </c>
      <c r="E269" s="21" t="str">
        <f aca="false">IF($A269="","",INDEX(Реестр!$R$2:$R$401,MATCH($A269,Реестр!$V$2:$V$401,0)))</f>
        <v/>
      </c>
      <c r="F269" s="24" t="str">
        <f aca="false">IF($A269="","",INDEX(Реестр!$U$2:$U$401,MATCH($A269,Реестр!$V$2:$V$401,0)))</f>
        <v/>
      </c>
    </row>
    <row r="270" customFormat="false" ht="15" hidden="false" customHeight="false" outlineLevel="0" collapsed="false">
      <c r="A270" s="21" t="str">
        <f aca="false">IF(ROWS(A$5:A270)&lt;=MAX(Реестр!$V$2:$V$401),ROWS(A$5:A270),"")</f>
        <v/>
      </c>
      <c r="B270" s="24" t="str">
        <f aca="false">IF($A270="","",INDEX(Реестр!$B$2:$B$401,MATCH($A270,Реестр!$V$2:$V$401,0)))</f>
        <v/>
      </c>
      <c r="C270" s="24" t="str">
        <f aca="false">IF($A270="","",INDEX(Реестр!$C$2:$C$401,MATCH($A270,Реестр!$V$2:$V$401,0)))</f>
        <v/>
      </c>
      <c r="D270" s="24" t="str">
        <f aca="false">IF($A270="","",INDEX(Реестр!$T$2:$T$401,MATCH($A270,Реестр!$V$2:$V$401,0)))</f>
        <v/>
      </c>
      <c r="E270" s="21" t="str">
        <f aca="false">IF($A270="","",INDEX(Реестр!$R$2:$R$401,MATCH($A270,Реестр!$V$2:$V$401,0)))</f>
        <v/>
      </c>
      <c r="F270" s="24" t="str">
        <f aca="false">IF($A270="","",INDEX(Реестр!$U$2:$U$401,MATCH($A270,Реестр!$V$2:$V$401,0)))</f>
        <v/>
      </c>
    </row>
    <row r="271" customFormat="false" ht="15" hidden="false" customHeight="false" outlineLevel="0" collapsed="false">
      <c r="A271" s="21" t="str">
        <f aca="false">IF(ROWS(A$5:A271)&lt;=MAX(Реестр!$V$2:$V$401),ROWS(A$5:A271),"")</f>
        <v/>
      </c>
      <c r="B271" s="24" t="str">
        <f aca="false">IF($A271="","",INDEX(Реестр!$B$2:$B$401,MATCH($A271,Реестр!$V$2:$V$401,0)))</f>
        <v/>
      </c>
      <c r="C271" s="24" t="str">
        <f aca="false">IF($A271="","",INDEX(Реестр!$C$2:$C$401,MATCH($A271,Реестр!$V$2:$V$401,0)))</f>
        <v/>
      </c>
      <c r="D271" s="24" t="str">
        <f aca="false">IF($A271="","",INDEX(Реестр!$T$2:$T$401,MATCH($A271,Реестр!$V$2:$V$401,0)))</f>
        <v/>
      </c>
      <c r="E271" s="21" t="str">
        <f aca="false">IF($A271="","",INDEX(Реестр!$R$2:$R$401,MATCH($A271,Реестр!$V$2:$V$401,0)))</f>
        <v/>
      </c>
      <c r="F271" s="24" t="str">
        <f aca="false">IF($A271="","",INDEX(Реестр!$U$2:$U$401,MATCH($A271,Реестр!$V$2:$V$401,0)))</f>
        <v/>
      </c>
    </row>
    <row r="272" customFormat="false" ht="15" hidden="false" customHeight="false" outlineLevel="0" collapsed="false">
      <c r="A272" s="21" t="str">
        <f aca="false">IF(ROWS(A$5:A272)&lt;=MAX(Реестр!$V$2:$V$401),ROWS(A$5:A272),"")</f>
        <v/>
      </c>
      <c r="B272" s="24" t="str">
        <f aca="false">IF($A272="","",INDEX(Реестр!$B$2:$B$401,MATCH($A272,Реестр!$V$2:$V$401,0)))</f>
        <v/>
      </c>
      <c r="C272" s="24" t="str">
        <f aca="false">IF($A272="","",INDEX(Реестр!$C$2:$C$401,MATCH($A272,Реестр!$V$2:$V$401,0)))</f>
        <v/>
      </c>
      <c r="D272" s="24" t="str">
        <f aca="false">IF($A272="","",INDEX(Реестр!$T$2:$T$401,MATCH($A272,Реестр!$V$2:$V$401,0)))</f>
        <v/>
      </c>
      <c r="E272" s="21" t="str">
        <f aca="false">IF($A272="","",INDEX(Реестр!$R$2:$R$401,MATCH($A272,Реестр!$V$2:$V$401,0)))</f>
        <v/>
      </c>
      <c r="F272" s="24" t="str">
        <f aca="false">IF($A272="","",INDEX(Реестр!$U$2:$U$401,MATCH($A272,Реестр!$V$2:$V$401,0)))</f>
        <v/>
      </c>
    </row>
    <row r="273" customFormat="false" ht="15" hidden="false" customHeight="false" outlineLevel="0" collapsed="false">
      <c r="A273" s="21" t="str">
        <f aca="false">IF(ROWS(A$5:A273)&lt;=MAX(Реестр!$V$2:$V$401),ROWS(A$5:A273),"")</f>
        <v/>
      </c>
      <c r="B273" s="24" t="str">
        <f aca="false">IF($A273="","",INDEX(Реестр!$B$2:$B$401,MATCH($A273,Реестр!$V$2:$V$401,0)))</f>
        <v/>
      </c>
      <c r="C273" s="24" t="str">
        <f aca="false">IF($A273="","",INDEX(Реестр!$C$2:$C$401,MATCH($A273,Реестр!$V$2:$V$401,0)))</f>
        <v/>
      </c>
      <c r="D273" s="24" t="str">
        <f aca="false">IF($A273="","",INDEX(Реестр!$T$2:$T$401,MATCH($A273,Реестр!$V$2:$V$401,0)))</f>
        <v/>
      </c>
      <c r="E273" s="21" t="str">
        <f aca="false">IF($A273="","",INDEX(Реестр!$R$2:$R$401,MATCH($A273,Реестр!$V$2:$V$401,0)))</f>
        <v/>
      </c>
      <c r="F273" s="24" t="str">
        <f aca="false">IF($A273="","",INDEX(Реестр!$U$2:$U$401,MATCH($A273,Реестр!$V$2:$V$401,0)))</f>
        <v/>
      </c>
    </row>
    <row r="274" customFormat="false" ht="15" hidden="false" customHeight="false" outlineLevel="0" collapsed="false">
      <c r="A274" s="21" t="str">
        <f aca="false">IF(ROWS(A$5:A274)&lt;=MAX(Реестр!$V$2:$V$401),ROWS(A$5:A274),"")</f>
        <v/>
      </c>
      <c r="B274" s="24" t="str">
        <f aca="false">IF($A274="","",INDEX(Реестр!$B$2:$B$401,MATCH($A274,Реестр!$V$2:$V$401,0)))</f>
        <v/>
      </c>
      <c r="C274" s="24" t="str">
        <f aca="false">IF($A274="","",INDEX(Реестр!$C$2:$C$401,MATCH($A274,Реестр!$V$2:$V$401,0)))</f>
        <v/>
      </c>
      <c r="D274" s="24" t="str">
        <f aca="false">IF($A274="","",INDEX(Реестр!$T$2:$T$401,MATCH($A274,Реестр!$V$2:$V$401,0)))</f>
        <v/>
      </c>
      <c r="E274" s="21" t="str">
        <f aca="false">IF($A274="","",INDEX(Реестр!$R$2:$R$401,MATCH($A274,Реестр!$V$2:$V$401,0)))</f>
        <v/>
      </c>
      <c r="F274" s="24" t="str">
        <f aca="false">IF($A274="","",INDEX(Реестр!$U$2:$U$401,MATCH($A274,Реестр!$V$2:$V$401,0)))</f>
        <v/>
      </c>
    </row>
    <row r="275" customFormat="false" ht="15" hidden="false" customHeight="false" outlineLevel="0" collapsed="false">
      <c r="A275" s="21" t="str">
        <f aca="false">IF(ROWS(A$5:A275)&lt;=MAX(Реестр!$V$2:$V$401),ROWS(A$5:A275),"")</f>
        <v/>
      </c>
      <c r="B275" s="24" t="str">
        <f aca="false">IF($A275="","",INDEX(Реестр!$B$2:$B$401,MATCH($A275,Реестр!$V$2:$V$401,0)))</f>
        <v/>
      </c>
      <c r="C275" s="24" t="str">
        <f aca="false">IF($A275="","",INDEX(Реестр!$C$2:$C$401,MATCH($A275,Реестр!$V$2:$V$401,0)))</f>
        <v/>
      </c>
      <c r="D275" s="24" t="str">
        <f aca="false">IF($A275="","",INDEX(Реестр!$T$2:$T$401,MATCH($A275,Реестр!$V$2:$V$401,0)))</f>
        <v/>
      </c>
      <c r="E275" s="21" t="str">
        <f aca="false">IF($A275="","",INDEX(Реестр!$R$2:$R$401,MATCH($A275,Реестр!$V$2:$V$401,0)))</f>
        <v/>
      </c>
      <c r="F275" s="24" t="str">
        <f aca="false">IF($A275="","",INDEX(Реестр!$U$2:$U$401,MATCH($A275,Реестр!$V$2:$V$401,0)))</f>
        <v/>
      </c>
    </row>
    <row r="276" customFormat="false" ht="15" hidden="false" customHeight="false" outlineLevel="0" collapsed="false">
      <c r="A276" s="21" t="str">
        <f aca="false">IF(ROWS(A$5:A276)&lt;=MAX(Реестр!$V$2:$V$401),ROWS(A$5:A276),"")</f>
        <v/>
      </c>
      <c r="B276" s="24" t="str">
        <f aca="false">IF($A276="","",INDEX(Реестр!$B$2:$B$401,MATCH($A276,Реестр!$V$2:$V$401,0)))</f>
        <v/>
      </c>
      <c r="C276" s="24" t="str">
        <f aca="false">IF($A276="","",INDEX(Реестр!$C$2:$C$401,MATCH($A276,Реестр!$V$2:$V$401,0)))</f>
        <v/>
      </c>
      <c r="D276" s="24" t="str">
        <f aca="false">IF($A276="","",INDEX(Реестр!$T$2:$T$401,MATCH($A276,Реестр!$V$2:$V$401,0)))</f>
        <v/>
      </c>
      <c r="E276" s="21" t="str">
        <f aca="false">IF($A276="","",INDEX(Реестр!$R$2:$R$401,MATCH($A276,Реестр!$V$2:$V$401,0)))</f>
        <v/>
      </c>
      <c r="F276" s="24" t="str">
        <f aca="false">IF($A276="","",INDEX(Реестр!$U$2:$U$401,MATCH($A276,Реестр!$V$2:$V$401,0)))</f>
        <v/>
      </c>
    </row>
    <row r="277" customFormat="false" ht="15" hidden="false" customHeight="false" outlineLevel="0" collapsed="false">
      <c r="A277" s="21" t="str">
        <f aca="false">IF(ROWS(A$5:A277)&lt;=MAX(Реестр!$V$2:$V$401),ROWS(A$5:A277),"")</f>
        <v/>
      </c>
      <c r="B277" s="24" t="str">
        <f aca="false">IF($A277="","",INDEX(Реестр!$B$2:$B$401,MATCH($A277,Реестр!$V$2:$V$401,0)))</f>
        <v/>
      </c>
      <c r="C277" s="24" t="str">
        <f aca="false">IF($A277="","",INDEX(Реестр!$C$2:$C$401,MATCH($A277,Реестр!$V$2:$V$401,0)))</f>
        <v/>
      </c>
      <c r="D277" s="24" t="str">
        <f aca="false">IF($A277="","",INDEX(Реестр!$T$2:$T$401,MATCH($A277,Реестр!$V$2:$V$401,0)))</f>
        <v/>
      </c>
      <c r="E277" s="21" t="str">
        <f aca="false">IF($A277="","",INDEX(Реестр!$R$2:$R$401,MATCH($A277,Реестр!$V$2:$V$401,0)))</f>
        <v/>
      </c>
      <c r="F277" s="24" t="str">
        <f aca="false">IF($A277="","",INDEX(Реестр!$U$2:$U$401,MATCH($A277,Реестр!$V$2:$V$401,0)))</f>
        <v/>
      </c>
    </row>
    <row r="278" customFormat="false" ht="15" hidden="false" customHeight="false" outlineLevel="0" collapsed="false">
      <c r="A278" s="21" t="str">
        <f aca="false">IF(ROWS(A$5:A278)&lt;=MAX(Реестр!$V$2:$V$401),ROWS(A$5:A278),"")</f>
        <v/>
      </c>
      <c r="B278" s="24" t="str">
        <f aca="false">IF($A278="","",INDEX(Реестр!$B$2:$B$401,MATCH($A278,Реестр!$V$2:$V$401,0)))</f>
        <v/>
      </c>
      <c r="C278" s="24" t="str">
        <f aca="false">IF($A278="","",INDEX(Реестр!$C$2:$C$401,MATCH($A278,Реестр!$V$2:$V$401,0)))</f>
        <v/>
      </c>
      <c r="D278" s="24" t="str">
        <f aca="false">IF($A278="","",INDEX(Реестр!$T$2:$T$401,MATCH($A278,Реестр!$V$2:$V$401,0)))</f>
        <v/>
      </c>
      <c r="E278" s="21" t="str">
        <f aca="false">IF($A278="","",INDEX(Реестр!$R$2:$R$401,MATCH($A278,Реестр!$V$2:$V$401,0)))</f>
        <v/>
      </c>
      <c r="F278" s="24" t="str">
        <f aca="false">IF($A278="","",INDEX(Реестр!$U$2:$U$401,MATCH($A278,Реестр!$V$2:$V$401,0)))</f>
        <v/>
      </c>
    </row>
    <row r="279" customFormat="false" ht="15" hidden="false" customHeight="false" outlineLevel="0" collapsed="false">
      <c r="A279" s="21" t="str">
        <f aca="false">IF(ROWS(A$5:A279)&lt;=MAX(Реестр!$V$2:$V$401),ROWS(A$5:A279),"")</f>
        <v/>
      </c>
      <c r="B279" s="24" t="str">
        <f aca="false">IF($A279="","",INDEX(Реестр!$B$2:$B$401,MATCH($A279,Реестр!$V$2:$V$401,0)))</f>
        <v/>
      </c>
      <c r="C279" s="24" t="str">
        <f aca="false">IF($A279="","",INDEX(Реестр!$C$2:$C$401,MATCH($A279,Реестр!$V$2:$V$401,0)))</f>
        <v/>
      </c>
      <c r="D279" s="24" t="str">
        <f aca="false">IF($A279="","",INDEX(Реестр!$T$2:$T$401,MATCH($A279,Реестр!$V$2:$V$401,0)))</f>
        <v/>
      </c>
      <c r="E279" s="21" t="str">
        <f aca="false">IF($A279="","",INDEX(Реестр!$R$2:$R$401,MATCH($A279,Реестр!$V$2:$V$401,0)))</f>
        <v/>
      </c>
      <c r="F279" s="24" t="str">
        <f aca="false">IF($A279="","",INDEX(Реестр!$U$2:$U$401,MATCH($A279,Реестр!$V$2:$V$401,0)))</f>
        <v/>
      </c>
    </row>
    <row r="280" customFormat="false" ht="15" hidden="false" customHeight="false" outlineLevel="0" collapsed="false">
      <c r="A280" s="21" t="str">
        <f aca="false">IF(ROWS(A$5:A280)&lt;=MAX(Реестр!$V$2:$V$401),ROWS(A$5:A280),"")</f>
        <v/>
      </c>
      <c r="B280" s="24" t="str">
        <f aca="false">IF($A280="","",INDEX(Реестр!$B$2:$B$401,MATCH($A280,Реестр!$V$2:$V$401,0)))</f>
        <v/>
      </c>
      <c r="C280" s="24" t="str">
        <f aca="false">IF($A280="","",INDEX(Реестр!$C$2:$C$401,MATCH($A280,Реестр!$V$2:$V$401,0)))</f>
        <v/>
      </c>
      <c r="D280" s="24" t="str">
        <f aca="false">IF($A280="","",INDEX(Реестр!$T$2:$T$401,MATCH($A280,Реестр!$V$2:$V$401,0)))</f>
        <v/>
      </c>
      <c r="E280" s="21" t="str">
        <f aca="false">IF($A280="","",INDEX(Реестр!$R$2:$R$401,MATCH($A280,Реестр!$V$2:$V$401,0)))</f>
        <v/>
      </c>
      <c r="F280" s="24" t="str">
        <f aca="false">IF($A280="","",INDEX(Реестр!$U$2:$U$401,MATCH($A280,Реестр!$V$2:$V$401,0)))</f>
        <v/>
      </c>
    </row>
    <row r="281" customFormat="false" ht="15" hidden="false" customHeight="false" outlineLevel="0" collapsed="false">
      <c r="A281" s="21" t="str">
        <f aca="false">IF(ROWS(A$5:A281)&lt;=MAX(Реестр!$V$2:$V$401),ROWS(A$5:A281),"")</f>
        <v/>
      </c>
      <c r="B281" s="24" t="str">
        <f aca="false">IF($A281="","",INDEX(Реестр!$B$2:$B$401,MATCH($A281,Реестр!$V$2:$V$401,0)))</f>
        <v/>
      </c>
      <c r="C281" s="24" t="str">
        <f aca="false">IF($A281="","",INDEX(Реестр!$C$2:$C$401,MATCH($A281,Реестр!$V$2:$V$401,0)))</f>
        <v/>
      </c>
      <c r="D281" s="24" t="str">
        <f aca="false">IF($A281="","",INDEX(Реестр!$T$2:$T$401,MATCH($A281,Реестр!$V$2:$V$401,0)))</f>
        <v/>
      </c>
      <c r="E281" s="21" t="str">
        <f aca="false">IF($A281="","",INDEX(Реестр!$R$2:$R$401,MATCH($A281,Реестр!$V$2:$V$401,0)))</f>
        <v/>
      </c>
      <c r="F281" s="24" t="str">
        <f aca="false">IF($A281="","",INDEX(Реестр!$U$2:$U$401,MATCH($A281,Реестр!$V$2:$V$401,0)))</f>
        <v/>
      </c>
    </row>
    <row r="282" customFormat="false" ht="15" hidden="false" customHeight="false" outlineLevel="0" collapsed="false">
      <c r="A282" s="21" t="str">
        <f aca="false">IF(ROWS(A$5:A282)&lt;=MAX(Реестр!$V$2:$V$401),ROWS(A$5:A282),"")</f>
        <v/>
      </c>
      <c r="B282" s="24" t="str">
        <f aca="false">IF($A282="","",INDEX(Реестр!$B$2:$B$401,MATCH($A282,Реестр!$V$2:$V$401,0)))</f>
        <v/>
      </c>
      <c r="C282" s="24" t="str">
        <f aca="false">IF($A282="","",INDEX(Реестр!$C$2:$C$401,MATCH($A282,Реестр!$V$2:$V$401,0)))</f>
        <v/>
      </c>
      <c r="D282" s="24" t="str">
        <f aca="false">IF($A282="","",INDEX(Реестр!$T$2:$T$401,MATCH($A282,Реестр!$V$2:$V$401,0)))</f>
        <v/>
      </c>
      <c r="E282" s="21" t="str">
        <f aca="false">IF($A282="","",INDEX(Реестр!$R$2:$R$401,MATCH($A282,Реестр!$V$2:$V$401,0)))</f>
        <v/>
      </c>
      <c r="F282" s="24" t="str">
        <f aca="false">IF($A282="","",INDEX(Реестр!$U$2:$U$401,MATCH($A282,Реестр!$V$2:$V$401,0)))</f>
        <v/>
      </c>
    </row>
    <row r="283" customFormat="false" ht="15" hidden="false" customHeight="false" outlineLevel="0" collapsed="false">
      <c r="A283" s="21" t="str">
        <f aca="false">IF(ROWS(A$5:A283)&lt;=MAX(Реестр!$V$2:$V$401),ROWS(A$5:A283),"")</f>
        <v/>
      </c>
      <c r="B283" s="24" t="str">
        <f aca="false">IF($A283="","",INDEX(Реестр!$B$2:$B$401,MATCH($A283,Реестр!$V$2:$V$401,0)))</f>
        <v/>
      </c>
      <c r="C283" s="24" t="str">
        <f aca="false">IF($A283="","",INDEX(Реестр!$C$2:$C$401,MATCH($A283,Реестр!$V$2:$V$401,0)))</f>
        <v/>
      </c>
      <c r="D283" s="24" t="str">
        <f aca="false">IF($A283="","",INDEX(Реестр!$T$2:$T$401,MATCH($A283,Реестр!$V$2:$V$401,0)))</f>
        <v/>
      </c>
      <c r="E283" s="21" t="str">
        <f aca="false">IF($A283="","",INDEX(Реестр!$R$2:$R$401,MATCH($A283,Реестр!$V$2:$V$401,0)))</f>
        <v/>
      </c>
      <c r="F283" s="24" t="str">
        <f aca="false">IF($A283="","",INDEX(Реестр!$U$2:$U$401,MATCH($A283,Реестр!$V$2:$V$401,0)))</f>
        <v/>
      </c>
    </row>
    <row r="284" customFormat="false" ht="15" hidden="false" customHeight="false" outlineLevel="0" collapsed="false">
      <c r="A284" s="21" t="str">
        <f aca="false">IF(ROWS(A$5:A284)&lt;=MAX(Реестр!$V$2:$V$401),ROWS(A$5:A284),"")</f>
        <v/>
      </c>
      <c r="B284" s="24" t="str">
        <f aca="false">IF($A284="","",INDEX(Реестр!$B$2:$B$401,MATCH($A284,Реестр!$V$2:$V$401,0)))</f>
        <v/>
      </c>
      <c r="C284" s="24" t="str">
        <f aca="false">IF($A284="","",INDEX(Реестр!$C$2:$C$401,MATCH($A284,Реестр!$V$2:$V$401,0)))</f>
        <v/>
      </c>
      <c r="D284" s="24" t="str">
        <f aca="false">IF($A284="","",INDEX(Реестр!$T$2:$T$401,MATCH($A284,Реестр!$V$2:$V$401,0)))</f>
        <v/>
      </c>
      <c r="E284" s="21" t="str">
        <f aca="false">IF($A284="","",INDEX(Реестр!$R$2:$R$401,MATCH($A284,Реестр!$V$2:$V$401,0)))</f>
        <v/>
      </c>
      <c r="F284" s="24" t="str">
        <f aca="false">IF($A284="","",INDEX(Реестр!$U$2:$U$401,MATCH($A284,Реестр!$V$2:$V$401,0)))</f>
        <v/>
      </c>
    </row>
    <row r="285" customFormat="false" ht="15" hidden="false" customHeight="false" outlineLevel="0" collapsed="false">
      <c r="A285" s="21" t="str">
        <f aca="false">IF(ROWS(A$5:A285)&lt;=MAX(Реестр!$V$2:$V$401),ROWS(A$5:A285),"")</f>
        <v/>
      </c>
      <c r="B285" s="24" t="str">
        <f aca="false">IF($A285="","",INDEX(Реестр!$B$2:$B$401,MATCH($A285,Реестр!$V$2:$V$401,0)))</f>
        <v/>
      </c>
      <c r="C285" s="24" t="str">
        <f aca="false">IF($A285="","",INDEX(Реестр!$C$2:$C$401,MATCH($A285,Реестр!$V$2:$V$401,0)))</f>
        <v/>
      </c>
      <c r="D285" s="24" t="str">
        <f aca="false">IF($A285="","",INDEX(Реестр!$T$2:$T$401,MATCH($A285,Реестр!$V$2:$V$401,0)))</f>
        <v/>
      </c>
      <c r="E285" s="21" t="str">
        <f aca="false">IF($A285="","",INDEX(Реестр!$R$2:$R$401,MATCH($A285,Реестр!$V$2:$V$401,0)))</f>
        <v/>
      </c>
      <c r="F285" s="24" t="str">
        <f aca="false">IF($A285="","",INDEX(Реестр!$U$2:$U$401,MATCH($A285,Реестр!$V$2:$V$401,0)))</f>
        <v/>
      </c>
    </row>
    <row r="286" customFormat="false" ht="15" hidden="false" customHeight="false" outlineLevel="0" collapsed="false">
      <c r="A286" s="21" t="str">
        <f aca="false">IF(ROWS(A$5:A286)&lt;=MAX(Реестр!$V$2:$V$401),ROWS(A$5:A286),"")</f>
        <v/>
      </c>
      <c r="B286" s="24" t="str">
        <f aca="false">IF($A286="","",INDEX(Реестр!$B$2:$B$401,MATCH($A286,Реестр!$V$2:$V$401,0)))</f>
        <v/>
      </c>
      <c r="C286" s="24" t="str">
        <f aca="false">IF($A286="","",INDEX(Реестр!$C$2:$C$401,MATCH($A286,Реестр!$V$2:$V$401,0)))</f>
        <v/>
      </c>
      <c r="D286" s="24" t="str">
        <f aca="false">IF($A286="","",INDEX(Реестр!$T$2:$T$401,MATCH($A286,Реестр!$V$2:$V$401,0)))</f>
        <v/>
      </c>
      <c r="E286" s="21" t="str">
        <f aca="false">IF($A286="","",INDEX(Реестр!$R$2:$R$401,MATCH($A286,Реестр!$V$2:$V$401,0)))</f>
        <v/>
      </c>
      <c r="F286" s="24" t="str">
        <f aca="false">IF($A286="","",INDEX(Реестр!$U$2:$U$401,MATCH($A286,Реестр!$V$2:$V$401,0)))</f>
        <v/>
      </c>
    </row>
    <row r="287" customFormat="false" ht="15" hidden="false" customHeight="false" outlineLevel="0" collapsed="false">
      <c r="A287" s="21" t="str">
        <f aca="false">IF(ROWS(A$5:A287)&lt;=MAX(Реестр!$V$2:$V$401),ROWS(A$5:A287),"")</f>
        <v/>
      </c>
      <c r="B287" s="24" t="str">
        <f aca="false">IF($A287="","",INDEX(Реестр!$B$2:$B$401,MATCH($A287,Реестр!$V$2:$V$401,0)))</f>
        <v/>
      </c>
      <c r="C287" s="24" t="str">
        <f aca="false">IF($A287="","",INDEX(Реестр!$C$2:$C$401,MATCH($A287,Реестр!$V$2:$V$401,0)))</f>
        <v/>
      </c>
      <c r="D287" s="24" t="str">
        <f aca="false">IF($A287="","",INDEX(Реестр!$T$2:$T$401,MATCH($A287,Реестр!$V$2:$V$401,0)))</f>
        <v/>
      </c>
      <c r="E287" s="21" t="str">
        <f aca="false">IF($A287="","",INDEX(Реестр!$R$2:$R$401,MATCH($A287,Реестр!$V$2:$V$401,0)))</f>
        <v/>
      </c>
      <c r="F287" s="24" t="str">
        <f aca="false">IF($A287="","",INDEX(Реестр!$U$2:$U$401,MATCH($A287,Реестр!$V$2:$V$401,0)))</f>
        <v/>
      </c>
    </row>
    <row r="288" customFormat="false" ht="15" hidden="false" customHeight="false" outlineLevel="0" collapsed="false">
      <c r="A288" s="21" t="str">
        <f aca="false">IF(ROWS(A$5:A288)&lt;=MAX(Реестр!$V$2:$V$401),ROWS(A$5:A288),"")</f>
        <v/>
      </c>
      <c r="B288" s="24" t="str">
        <f aca="false">IF($A288="","",INDEX(Реестр!$B$2:$B$401,MATCH($A288,Реестр!$V$2:$V$401,0)))</f>
        <v/>
      </c>
      <c r="C288" s="24" t="str">
        <f aca="false">IF($A288="","",INDEX(Реестр!$C$2:$C$401,MATCH($A288,Реестр!$V$2:$V$401,0)))</f>
        <v/>
      </c>
      <c r="D288" s="24" t="str">
        <f aca="false">IF($A288="","",INDEX(Реестр!$T$2:$T$401,MATCH($A288,Реестр!$V$2:$V$401,0)))</f>
        <v/>
      </c>
      <c r="E288" s="21" t="str">
        <f aca="false">IF($A288="","",INDEX(Реестр!$R$2:$R$401,MATCH($A288,Реестр!$V$2:$V$401,0)))</f>
        <v/>
      </c>
      <c r="F288" s="24" t="str">
        <f aca="false">IF($A288="","",INDEX(Реестр!$U$2:$U$401,MATCH($A288,Реестр!$V$2:$V$401,0)))</f>
        <v/>
      </c>
    </row>
    <row r="289" customFormat="false" ht="15" hidden="false" customHeight="false" outlineLevel="0" collapsed="false">
      <c r="A289" s="21" t="str">
        <f aca="false">IF(ROWS(A$5:A289)&lt;=MAX(Реестр!$V$2:$V$401),ROWS(A$5:A289),"")</f>
        <v/>
      </c>
      <c r="B289" s="24" t="str">
        <f aca="false">IF($A289="","",INDEX(Реестр!$B$2:$B$401,MATCH($A289,Реестр!$V$2:$V$401,0)))</f>
        <v/>
      </c>
      <c r="C289" s="24" t="str">
        <f aca="false">IF($A289="","",INDEX(Реестр!$C$2:$C$401,MATCH($A289,Реестр!$V$2:$V$401,0)))</f>
        <v/>
      </c>
      <c r="D289" s="24" t="str">
        <f aca="false">IF($A289="","",INDEX(Реестр!$T$2:$T$401,MATCH($A289,Реестр!$V$2:$V$401,0)))</f>
        <v/>
      </c>
      <c r="E289" s="21" t="str">
        <f aca="false">IF($A289="","",INDEX(Реестр!$R$2:$R$401,MATCH($A289,Реестр!$V$2:$V$401,0)))</f>
        <v/>
      </c>
      <c r="F289" s="24" t="str">
        <f aca="false">IF($A289="","",INDEX(Реестр!$U$2:$U$401,MATCH($A289,Реестр!$V$2:$V$401,0)))</f>
        <v/>
      </c>
    </row>
    <row r="290" customFormat="false" ht="15" hidden="false" customHeight="false" outlineLevel="0" collapsed="false">
      <c r="A290" s="21" t="str">
        <f aca="false">IF(ROWS(A$5:A290)&lt;=MAX(Реестр!$V$2:$V$401),ROWS(A$5:A290),"")</f>
        <v/>
      </c>
      <c r="B290" s="24" t="str">
        <f aca="false">IF($A290="","",INDEX(Реестр!$B$2:$B$401,MATCH($A290,Реестр!$V$2:$V$401,0)))</f>
        <v/>
      </c>
      <c r="C290" s="24" t="str">
        <f aca="false">IF($A290="","",INDEX(Реестр!$C$2:$C$401,MATCH($A290,Реестр!$V$2:$V$401,0)))</f>
        <v/>
      </c>
      <c r="D290" s="24" t="str">
        <f aca="false">IF($A290="","",INDEX(Реестр!$T$2:$T$401,MATCH($A290,Реестр!$V$2:$V$401,0)))</f>
        <v/>
      </c>
      <c r="E290" s="21" t="str">
        <f aca="false">IF($A290="","",INDEX(Реестр!$R$2:$R$401,MATCH($A290,Реестр!$V$2:$V$401,0)))</f>
        <v/>
      </c>
      <c r="F290" s="24" t="str">
        <f aca="false">IF($A290="","",INDEX(Реестр!$U$2:$U$401,MATCH($A290,Реестр!$V$2:$V$401,0)))</f>
        <v/>
      </c>
    </row>
    <row r="291" customFormat="false" ht="15" hidden="false" customHeight="false" outlineLevel="0" collapsed="false">
      <c r="A291" s="21" t="str">
        <f aca="false">IF(ROWS(A$5:A291)&lt;=MAX(Реестр!$V$2:$V$401),ROWS(A$5:A291),"")</f>
        <v/>
      </c>
      <c r="B291" s="24" t="str">
        <f aca="false">IF($A291="","",INDEX(Реестр!$B$2:$B$401,MATCH($A291,Реестр!$V$2:$V$401,0)))</f>
        <v/>
      </c>
      <c r="C291" s="24" t="str">
        <f aca="false">IF($A291="","",INDEX(Реестр!$C$2:$C$401,MATCH($A291,Реестр!$V$2:$V$401,0)))</f>
        <v/>
      </c>
      <c r="D291" s="24" t="str">
        <f aca="false">IF($A291="","",INDEX(Реестр!$T$2:$T$401,MATCH($A291,Реестр!$V$2:$V$401,0)))</f>
        <v/>
      </c>
      <c r="E291" s="21" t="str">
        <f aca="false">IF($A291="","",INDEX(Реестр!$R$2:$R$401,MATCH($A291,Реестр!$V$2:$V$401,0)))</f>
        <v/>
      </c>
      <c r="F291" s="24" t="str">
        <f aca="false">IF($A291="","",INDEX(Реестр!$U$2:$U$401,MATCH($A291,Реестр!$V$2:$V$401,0)))</f>
        <v/>
      </c>
    </row>
    <row r="292" customFormat="false" ht="15" hidden="false" customHeight="false" outlineLevel="0" collapsed="false">
      <c r="A292" s="21" t="str">
        <f aca="false">IF(ROWS(A$5:A292)&lt;=MAX(Реестр!$V$2:$V$401),ROWS(A$5:A292),"")</f>
        <v/>
      </c>
      <c r="B292" s="24" t="str">
        <f aca="false">IF($A292="","",INDEX(Реестр!$B$2:$B$401,MATCH($A292,Реестр!$V$2:$V$401,0)))</f>
        <v/>
      </c>
      <c r="C292" s="24" t="str">
        <f aca="false">IF($A292="","",INDEX(Реестр!$C$2:$C$401,MATCH($A292,Реестр!$V$2:$V$401,0)))</f>
        <v/>
      </c>
      <c r="D292" s="24" t="str">
        <f aca="false">IF($A292="","",INDEX(Реестр!$T$2:$T$401,MATCH($A292,Реестр!$V$2:$V$401,0)))</f>
        <v/>
      </c>
      <c r="E292" s="21" t="str">
        <f aca="false">IF($A292="","",INDEX(Реестр!$R$2:$R$401,MATCH($A292,Реестр!$V$2:$V$401,0)))</f>
        <v/>
      </c>
      <c r="F292" s="24" t="str">
        <f aca="false">IF($A292="","",INDEX(Реестр!$U$2:$U$401,MATCH($A292,Реестр!$V$2:$V$401,0)))</f>
        <v/>
      </c>
    </row>
    <row r="293" customFormat="false" ht="15" hidden="false" customHeight="false" outlineLevel="0" collapsed="false">
      <c r="A293" s="21" t="str">
        <f aca="false">IF(ROWS(A$5:A293)&lt;=MAX(Реестр!$V$2:$V$401),ROWS(A$5:A293),"")</f>
        <v/>
      </c>
      <c r="B293" s="24" t="str">
        <f aca="false">IF($A293="","",INDEX(Реестр!$B$2:$B$401,MATCH($A293,Реестр!$V$2:$V$401,0)))</f>
        <v/>
      </c>
      <c r="C293" s="24" t="str">
        <f aca="false">IF($A293="","",INDEX(Реестр!$C$2:$C$401,MATCH($A293,Реестр!$V$2:$V$401,0)))</f>
        <v/>
      </c>
      <c r="D293" s="24" t="str">
        <f aca="false">IF($A293="","",INDEX(Реестр!$T$2:$T$401,MATCH($A293,Реестр!$V$2:$V$401,0)))</f>
        <v/>
      </c>
      <c r="E293" s="21" t="str">
        <f aca="false">IF($A293="","",INDEX(Реестр!$R$2:$R$401,MATCH($A293,Реестр!$V$2:$V$401,0)))</f>
        <v/>
      </c>
      <c r="F293" s="24" t="str">
        <f aca="false">IF($A293="","",INDEX(Реестр!$U$2:$U$401,MATCH($A293,Реестр!$V$2:$V$401,0)))</f>
        <v/>
      </c>
    </row>
    <row r="294" customFormat="false" ht="15" hidden="false" customHeight="false" outlineLevel="0" collapsed="false">
      <c r="A294" s="21" t="str">
        <f aca="false">IF(ROWS(A$5:A294)&lt;=MAX(Реестр!$V$2:$V$401),ROWS(A$5:A294),"")</f>
        <v/>
      </c>
      <c r="B294" s="24" t="str">
        <f aca="false">IF($A294="","",INDEX(Реестр!$B$2:$B$401,MATCH($A294,Реестр!$V$2:$V$401,0)))</f>
        <v/>
      </c>
      <c r="C294" s="24" t="str">
        <f aca="false">IF($A294="","",INDEX(Реестр!$C$2:$C$401,MATCH($A294,Реестр!$V$2:$V$401,0)))</f>
        <v/>
      </c>
      <c r="D294" s="24" t="str">
        <f aca="false">IF($A294="","",INDEX(Реестр!$T$2:$T$401,MATCH($A294,Реестр!$V$2:$V$401,0)))</f>
        <v/>
      </c>
      <c r="E294" s="21" t="str">
        <f aca="false">IF($A294="","",INDEX(Реестр!$R$2:$R$401,MATCH($A294,Реестр!$V$2:$V$401,0)))</f>
        <v/>
      </c>
      <c r="F294" s="24" t="str">
        <f aca="false">IF($A294="","",INDEX(Реестр!$U$2:$U$401,MATCH($A294,Реестр!$V$2:$V$401,0)))</f>
        <v/>
      </c>
    </row>
    <row r="295" customFormat="false" ht="15" hidden="false" customHeight="false" outlineLevel="0" collapsed="false">
      <c r="A295" s="21" t="str">
        <f aca="false">IF(ROWS(A$5:A295)&lt;=MAX(Реестр!$V$2:$V$401),ROWS(A$5:A295),"")</f>
        <v/>
      </c>
      <c r="B295" s="24" t="str">
        <f aca="false">IF($A295="","",INDEX(Реестр!$B$2:$B$401,MATCH($A295,Реестр!$V$2:$V$401,0)))</f>
        <v/>
      </c>
      <c r="C295" s="24" t="str">
        <f aca="false">IF($A295="","",INDEX(Реестр!$C$2:$C$401,MATCH($A295,Реестр!$V$2:$V$401,0)))</f>
        <v/>
      </c>
      <c r="D295" s="24" t="str">
        <f aca="false">IF($A295="","",INDEX(Реестр!$T$2:$T$401,MATCH($A295,Реестр!$V$2:$V$401,0)))</f>
        <v/>
      </c>
      <c r="E295" s="21" t="str">
        <f aca="false">IF($A295="","",INDEX(Реестр!$R$2:$R$401,MATCH($A295,Реестр!$V$2:$V$401,0)))</f>
        <v/>
      </c>
      <c r="F295" s="24" t="str">
        <f aca="false">IF($A295="","",INDEX(Реестр!$U$2:$U$401,MATCH($A295,Реестр!$V$2:$V$401,0)))</f>
        <v/>
      </c>
    </row>
    <row r="296" customFormat="false" ht="15" hidden="false" customHeight="false" outlineLevel="0" collapsed="false">
      <c r="A296" s="21" t="str">
        <f aca="false">IF(ROWS(A$5:A296)&lt;=MAX(Реестр!$V$2:$V$401),ROWS(A$5:A296),"")</f>
        <v/>
      </c>
      <c r="B296" s="24" t="str">
        <f aca="false">IF($A296="","",INDEX(Реестр!$B$2:$B$401,MATCH($A296,Реестр!$V$2:$V$401,0)))</f>
        <v/>
      </c>
      <c r="C296" s="24" t="str">
        <f aca="false">IF($A296="","",INDEX(Реестр!$C$2:$C$401,MATCH($A296,Реестр!$V$2:$V$401,0)))</f>
        <v/>
      </c>
      <c r="D296" s="24" t="str">
        <f aca="false">IF($A296="","",INDEX(Реестр!$T$2:$T$401,MATCH($A296,Реестр!$V$2:$V$401,0)))</f>
        <v/>
      </c>
      <c r="E296" s="21" t="str">
        <f aca="false">IF($A296="","",INDEX(Реестр!$R$2:$R$401,MATCH($A296,Реестр!$V$2:$V$401,0)))</f>
        <v/>
      </c>
      <c r="F296" s="24" t="str">
        <f aca="false">IF($A296="","",INDEX(Реестр!$U$2:$U$401,MATCH($A296,Реестр!$V$2:$V$401,0)))</f>
        <v/>
      </c>
    </row>
    <row r="297" customFormat="false" ht="15" hidden="false" customHeight="false" outlineLevel="0" collapsed="false">
      <c r="A297" s="21" t="str">
        <f aca="false">IF(ROWS(A$5:A297)&lt;=MAX(Реестр!$V$2:$V$401),ROWS(A$5:A297),"")</f>
        <v/>
      </c>
      <c r="B297" s="24" t="str">
        <f aca="false">IF($A297="","",INDEX(Реестр!$B$2:$B$401,MATCH($A297,Реестр!$V$2:$V$401,0)))</f>
        <v/>
      </c>
      <c r="C297" s="24" t="str">
        <f aca="false">IF($A297="","",INDEX(Реестр!$C$2:$C$401,MATCH($A297,Реестр!$V$2:$V$401,0)))</f>
        <v/>
      </c>
      <c r="D297" s="24" t="str">
        <f aca="false">IF($A297="","",INDEX(Реестр!$T$2:$T$401,MATCH($A297,Реестр!$V$2:$V$401,0)))</f>
        <v/>
      </c>
      <c r="E297" s="21" t="str">
        <f aca="false">IF($A297="","",INDEX(Реестр!$R$2:$R$401,MATCH($A297,Реестр!$V$2:$V$401,0)))</f>
        <v/>
      </c>
      <c r="F297" s="24" t="str">
        <f aca="false">IF($A297="","",INDEX(Реестр!$U$2:$U$401,MATCH($A297,Реестр!$V$2:$V$401,0)))</f>
        <v/>
      </c>
    </row>
    <row r="298" customFormat="false" ht="15" hidden="false" customHeight="false" outlineLevel="0" collapsed="false">
      <c r="A298" s="21" t="str">
        <f aca="false">IF(ROWS(A$5:A298)&lt;=MAX(Реестр!$V$2:$V$401),ROWS(A$5:A298),"")</f>
        <v/>
      </c>
      <c r="B298" s="24" t="str">
        <f aca="false">IF($A298="","",INDEX(Реестр!$B$2:$B$401,MATCH($A298,Реестр!$V$2:$V$401,0)))</f>
        <v/>
      </c>
      <c r="C298" s="24" t="str">
        <f aca="false">IF($A298="","",INDEX(Реестр!$C$2:$C$401,MATCH($A298,Реестр!$V$2:$V$401,0)))</f>
        <v/>
      </c>
      <c r="D298" s="24" t="str">
        <f aca="false">IF($A298="","",INDEX(Реестр!$T$2:$T$401,MATCH($A298,Реестр!$V$2:$V$401,0)))</f>
        <v/>
      </c>
      <c r="E298" s="21" t="str">
        <f aca="false">IF($A298="","",INDEX(Реестр!$R$2:$R$401,MATCH($A298,Реестр!$V$2:$V$401,0)))</f>
        <v/>
      </c>
      <c r="F298" s="24" t="str">
        <f aca="false">IF($A298="","",INDEX(Реестр!$U$2:$U$401,MATCH($A298,Реестр!$V$2:$V$401,0)))</f>
        <v/>
      </c>
    </row>
    <row r="299" customFormat="false" ht="15" hidden="false" customHeight="false" outlineLevel="0" collapsed="false">
      <c r="A299" s="21" t="str">
        <f aca="false">IF(ROWS(A$5:A299)&lt;=MAX(Реестр!$V$2:$V$401),ROWS(A$5:A299),"")</f>
        <v/>
      </c>
      <c r="B299" s="24" t="str">
        <f aca="false">IF($A299="","",INDEX(Реестр!$B$2:$B$401,MATCH($A299,Реестр!$V$2:$V$401,0)))</f>
        <v/>
      </c>
      <c r="C299" s="24" t="str">
        <f aca="false">IF($A299="","",INDEX(Реестр!$C$2:$C$401,MATCH($A299,Реестр!$V$2:$V$401,0)))</f>
        <v/>
      </c>
      <c r="D299" s="24" t="str">
        <f aca="false">IF($A299="","",INDEX(Реестр!$T$2:$T$401,MATCH($A299,Реестр!$V$2:$V$401,0)))</f>
        <v/>
      </c>
      <c r="E299" s="21" t="str">
        <f aca="false">IF($A299="","",INDEX(Реестр!$R$2:$R$401,MATCH($A299,Реестр!$V$2:$V$401,0)))</f>
        <v/>
      </c>
      <c r="F299" s="24" t="str">
        <f aca="false">IF($A299="","",INDEX(Реестр!$U$2:$U$401,MATCH($A299,Реестр!$V$2:$V$401,0)))</f>
        <v/>
      </c>
    </row>
    <row r="300" customFormat="false" ht="15" hidden="false" customHeight="false" outlineLevel="0" collapsed="false">
      <c r="A300" s="21" t="str">
        <f aca="false">IF(ROWS(A$5:A300)&lt;=MAX(Реестр!$V$2:$V$401),ROWS(A$5:A300),"")</f>
        <v/>
      </c>
      <c r="B300" s="24" t="str">
        <f aca="false">IF($A300="","",INDEX(Реестр!$B$2:$B$401,MATCH($A300,Реестр!$V$2:$V$401,0)))</f>
        <v/>
      </c>
      <c r="C300" s="24" t="str">
        <f aca="false">IF($A300="","",INDEX(Реестр!$C$2:$C$401,MATCH($A300,Реестр!$V$2:$V$401,0)))</f>
        <v/>
      </c>
      <c r="D300" s="24" t="str">
        <f aca="false">IF($A300="","",INDEX(Реестр!$T$2:$T$401,MATCH($A300,Реестр!$V$2:$V$401,0)))</f>
        <v/>
      </c>
      <c r="E300" s="21" t="str">
        <f aca="false">IF($A300="","",INDEX(Реестр!$R$2:$R$401,MATCH($A300,Реестр!$V$2:$V$401,0)))</f>
        <v/>
      </c>
      <c r="F300" s="24" t="str">
        <f aca="false">IF($A300="","",INDEX(Реестр!$U$2:$U$401,MATCH($A300,Реестр!$V$2:$V$401,0)))</f>
        <v/>
      </c>
    </row>
    <row r="301" customFormat="false" ht="15" hidden="false" customHeight="false" outlineLevel="0" collapsed="false">
      <c r="A301" s="21" t="str">
        <f aca="false">IF(ROWS(A$5:A301)&lt;=MAX(Реестр!$V$2:$V$401),ROWS(A$5:A301),"")</f>
        <v/>
      </c>
      <c r="B301" s="24" t="str">
        <f aca="false">IF($A301="","",INDEX(Реестр!$B$2:$B$401,MATCH($A301,Реестр!$V$2:$V$401,0)))</f>
        <v/>
      </c>
      <c r="C301" s="24" t="str">
        <f aca="false">IF($A301="","",INDEX(Реестр!$C$2:$C$401,MATCH($A301,Реестр!$V$2:$V$401,0)))</f>
        <v/>
      </c>
      <c r="D301" s="24" t="str">
        <f aca="false">IF($A301="","",INDEX(Реестр!$T$2:$T$401,MATCH($A301,Реестр!$V$2:$V$401,0)))</f>
        <v/>
      </c>
      <c r="E301" s="21" t="str">
        <f aca="false">IF($A301="","",INDEX(Реестр!$R$2:$R$401,MATCH($A301,Реестр!$V$2:$V$401,0)))</f>
        <v/>
      </c>
      <c r="F301" s="24" t="str">
        <f aca="false">IF($A301="","",INDEX(Реестр!$U$2:$U$401,MATCH($A301,Реестр!$V$2:$V$401,0)))</f>
        <v/>
      </c>
    </row>
    <row r="302" customFormat="false" ht="15" hidden="false" customHeight="false" outlineLevel="0" collapsed="false">
      <c r="A302" s="21" t="str">
        <f aca="false">IF(ROWS(A$5:A302)&lt;=MAX(Реестр!$V$2:$V$401),ROWS(A$5:A302),"")</f>
        <v/>
      </c>
      <c r="B302" s="24" t="str">
        <f aca="false">IF($A302="","",INDEX(Реестр!$B$2:$B$401,MATCH($A302,Реестр!$V$2:$V$401,0)))</f>
        <v/>
      </c>
      <c r="C302" s="24" t="str">
        <f aca="false">IF($A302="","",INDEX(Реестр!$C$2:$C$401,MATCH($A302,Реестр!$V$2:$V$401,0)))</f>
        <v/>
      </c>
      <c r="D302" s="24" t="str">
        <f aca="false">IF($A302="","",INDEX(Реестр!$T$2:$T$401,MATCH($A302,Реестр!$V$2:$V$401,0)))</f>
        <v/>
      </c>
      <c r="E302" s="21" t="str">
        <f aca="false">IF($A302="","",INDEX(Реестр!$R$2:$R$401,MATCH($A302,Реестр!$V$2:$V$401,0)))</f>
        <v/>
      </c>
      <c r="F302" s="24" t="str">
        <f aca="false">IF($A302="","",INDEX(Реестр!$U$2:$U$401,MATCH($A302,Реестр!$V$2:$V$401,0)))</f>
        <v/>
      </c>
    </row>
    <row r="303" customFormat="false" ht="15" hidden="false" customHeight="false" outlineLevel="0" collapsed="false">
      <c r="A303" s="21" t="str">
        <f aca="false">IF(ROWS(A$5:A303)&lt;=MAX(Реестр!$V$2:$V$401),ROWS(A$5:A303),"")</f>
        <v/>
      </c>
      <c r="B303" s="24" t="str">
        <f aca="false">IF($A303="","",INDEX(Реестр!$B$2:$B$401,MATCH($A303,Реестр!$V$2:$V$401,0)))</f>
        <v/>
      </c>
      <c r="C303" s="24" t="str">
        <f aca="false">IF($A303="","",INDEX(Реестр!$C$2:$C$401,MATCH($A303,Реестр!$V$2:$V$401,0)))</f>
        <v/>
      </c>
      <c r="D303" s="24" t="str">
        <f aca="false">IF($A303="","",INDEX(Реестр!$T$2:$T$401,MATCH($A303,Реестр!$V$2:$V$401,0)))</f>
        <v/>
      </c>
      <c r="E303" s="21" t="str">
        <f aca="false">IF($A303="","",INDEX(Реестр!$R$2:$R$401,MATCH($A303,Реестр!$V$2:$V$401,0)))</f>
        <v/>
      </c>
      <c r="F303" s="24" t="str">
        <f aca="false">IF($A303="","",INDEX(Реестр!$U$2:$U$401,MATCH($A303,Реестр!$V$2:$V$401,0)))</f>
        <v/>
      </c>
    </row>
    <row r="304" customFormat="false" ht="15" hidden="false" customHeight="false" outlineLevel="0" collapsed="false">
      <c r="A304" s="21" t="str">
        <f aca="false">IF(ROWS(A$5:A304)&lt;=MAX(Реестр!$V$2:$V$401),ROWS(A$5:A304),"")</f>
        <v/>
      </c>
      <c r="B304" s="24" t="str">
        <f aca="false">IF($A304="","",INDEX(Реестр!$B$2:$B$401,MATCH($A304,Реестр!$V$2:$V$401,0)))</f>
        <v/>
      </c>
      <c r="C304" s="24" t="str">
        <f aca="false">IF($A304="","",INDEX(Реестр!$C$2:$C$401,MATCH($A304,Реестр!$V$2:$V$401,0)))</f>
        <v/>
      </c>
      <c r="D304" s="24" t="str">
        <f aca="false">IF($A304="","",INDEX(Реестр!$T$2:$T$401,MATCH($A304,Реестр!$V$2:$V$401,0)))</f>
        <v/>
      </c>
      <c r="E304" s="21" t="str">
        <f aca="false">IF($A304="","",INDEX(Реестр!$R$2:$R$401,MATCH($A304,Реестр!$V$2:$V$401,0)))</f>
        <v/>
      </c>
      <c r="F304" s="24" t="str">
        <f aca="false">IF($A304="","",INDEX(Реестр!$U$2:$U$401,MATCH($A304,Реестр!$V$2:$V$401,0)))</f>
        <v/>
      </c>
    </row>
    <row r="305" customFormat="false" ht="15" hidden="false" customHeight="false" outlineLevel="0" collapsed="false">
      <c r="A305" s="21" t="str">
        <f aca="false">IF(ROWS(A$5:A305)&lt;=MAX(Реестр!$V$2:$V$401),ROWS(A$5:A305),"")</f>
        <v/>
      </c>
      <c r="B305" s="24" t="str">
        <f aca="false">IF($A305="","",INDEX(Реестр!$B$2:$B$401,MATCH($A305,Реестр!$V$2:$V$401,0)))</f>
        <v/>
      </c>
      <c r="C305" s="24" t="str">
        <f aca="false">IF($A305="","",INDEX(Реестр!$C$2:$C$401,MATCH($A305,Реестр!$V$2:$V$401,0)))</f>
        <v/>
      </c>
      <c r="D305" s="24" t="str">
        <f aca="false">IF($A305="","",INDEX(Реестр!$T$2:$T$401,MATCH($A305,Реестр!$V$2:$V$401,0)))</f>
        <v/>
      </c>
      <c r="E305" s="21" t="str">
        <f aca="false">IF($A305="","",INDEX(Реестр!$R$2:$R$401,MATCH($A305,Реестр!$V$2:$V$401,0)))</f>
        <v/>
      </c>
      <c r="F305" s="24" t="str">
        <f aca="false">IF($A305="","",INDEX(Реестр!$U$2:$U$401,MATCH($A305,Реестр!$V$2:$V$401,0)))</f>
        <v/>
      </c>
    </row>
    <row r="306" customFormat="false" ht="15" hidden="false" customHeight="false" outlineLevel="0" collapsed="false">
      <c r="A306" s="21" t="str">
        <f aca="false">IF(ROWS(A$5:A306)&lt;=MAX(Реестр!$V$2:$V$401),ROWS(A$5:A306),"")</f>
        <v/>
      </c>
      <c r="B306" s="24" t="str">
        <f aca="false">IF($A306="","",INDEX(Реестр!$B$2:$B$401,MATCH($A306,Реестр!$V$2:$V$401,0)))</f>
        <v/>
      </c>
      <c r="C306" s="24" t="str">
        <f aca="false">IF($A306="","",INDEX(Реестр!$C$2:$C$401,MATCH($A306,Реестр!$V$2:$V$401,0)))</f>
        <v/>
      </c>
      <c r="D306" s="24" t="str">
        <f aca="false">IF($A306="","",INDEX(Реестр!$T$2:$T$401,MATCH($A306,Реестр!$V$2:$V$401,0)))</f>
        <v/>
      </c>
      <c r="E306" s="21" t="str">
        <f aca="false">IF($A306="","",INDEX(Реестр!$R$2:$R$401,MATCH($A306,Реестр!$V$2:$V$401,0)))</f>
        <v/>
      </c>
      <c r="F306" s="24" t="str">
        <f aca="false">IF($A306="","",INDEX(Реестр!$U$2:$U$401,MATCH($A306,Реестр!$V$2:$V$401,0)))</f>
        <v/>
      </c>
    </row>
    <row r="307" customFormat="false" ht="15" hidden="false" customHeight="false" outlineLevel="0" collapsed="false">
      <c r="A307" s="21" t="str">
        <f aca="false">IF(ROWS(A$5:A307)&lt;=MAX(Реестр!$V$2:$V$401),ROWS(A$5:A307),"")</f>
        <v/>
      </c>
      <c r="B307" s="24" t="str">
        <f aca="false">IF($A307="","",INDEX(Реестр!$B$2:$B$401,MATCH($A307,Реестр!$V$2:$V$401,0)))</f>
        <v/>
      </c>
      <c r="C307" s="24" t="str">
        <f aca="false">IF($A307="","",INDEX(Реестр!$C$2:$C$401,MATCH($A307,Реестр!$V$2:$V$401,0)))</f>
        <v/>
      </c>
      <c r="D307" s="24" t="str">
        <f aca="false">IF($A307="","",INDEX(Реестр!$T$2:$T$401,MATCH($A307,Реестр!$V$2:$V$401,0)))</f>
        <v/>
      </c>
      <c r="E307" s="21" t="str">
        <f aca="false">IF($A307="","",INDEX(Реестр!$R$2:$R$401,MATCH($A307,Реестр!$V$2:$V$401,0)))</f>
        <v/>
      </c>
      <c r="F307" s="24" t="str">
        <f aca="false">IF($A307="","",INDEX(Реестр!$U$2:$U$401,MATCH($A307,Реестр!$V$2:$V$401,0)))</f>
        <v/>
      </c>
    </row>
    <row r="308" customFormat="false" ht="15" hidden="false" customHeight="false" outlineLevel="0" collapsed="false">
      <c r="A308" s="21" t="str">
        <f aca="false">IF(ROWS(A$5:A308)&lt;=MAX(Реестр!$V$2:$V$401),ROWS(A$5:A308),"")</f>
        <v/>
      </c>
      <c r="B308" s="24" t="str">
        <f aca="false">IF($A308="","",INDEX(Реестр!$B$2:$B$401,MATCH($A308,Реестр!$V$2:$V$401,0)))</f>
        <v/>
      </c>
      <c r="C308" s="24" t="str">
        <f aca="false">IF($A308="","",INDEX(Реестр!$C$2:$C$401,MATCH($A308,Реестр!$V$2:$V$401,0)))</f>
        <v/>
      </c>
      <c r="D308" s="24" t="str">
        <f aca="false">IF($A308="","",INDEX(Реестр!$T$2:$T$401,MATCH($A308,Реестр!$V$2:$V$401,0)))</f>
        <v/>
      </c>
      <c r="E308" s="21" t="str">
        <f aca="false">IF($A308="","",INDEX(Реестр!$R$2:$R$401,MATCH($A308,Реестр!$V$2:$V$401,0)))</f>
        <v/>
      </c>
      <c r="F308" s="24" t="str">
        <f aca="false">IF($A308="","",INDEX(Реестр!$U$2:$U$401,MATCH($A308,Реестр!$V$2:$V$401,0)))</f>
        <v/>
      </c>
    </row>
    <row r="309" customFormat="false" ht="15" hidden="false" customHeight="false" outlineLevel="0" collapsed="false">
      <c r="A309" s="21" t="str">
        <f aca="false">IF(ROWS(A$5:A309)&lt;=MAX(Реестр!$V$2:$V$401),ROWS(A$5:A309),"")</f>
        <v/>
      </c>
      <c r="B309" s="24" t="str">
        <f aca="false">IF($A309="","",INDEX(Реестр!$B$2:$B$401,MATCH($A309,Реестр!$V$2:$V$401,0)))</f>
        <v/>
      </c>
      <c r="C309" s="24" t="str">
        <f aca="false">IF($A309="","",INDEX(Реестр!$C$2:$C$401,MATCH($A309,Реестр!$V$2:$V$401,0)))</f>
        <v/>
      </c>
      <c r="D309" s="24" t="str">
        <f aca="false">IF($A309="","",INDEX(Реестр!$T$2:$T$401,MATCH($A309,Реестр!$V$2:$V$401,0)))</f>
        <v/>
      </c>
      <c r="E309" s="21" t="str">
        <f aca="false">IF($A309="","",INDEX(Реестр!$R$2:$R$401,MATCH($A309,Реестр!$V$2:$V$401,0)))</f>
        <v/>
      </c>
      <c r="F309" s="24" t="str">
        <f aca="false">IF($A309="","",INDEX(Реестр!$U$2:$U$401,MATCH($A309,Реестр!$V$2:$V$401,0)))</f>
        <v/>
      </c>
    </row>
    <row r="310" customFormat="false" ht="15" hidden="false" customHeight="false" outlineLevel="0" collapsed="false">
      <c r="A310" s="21" t="str">
        <f aca="false">IF(ROWS(A$5:A310)&lt;=MAX(Реестр!$V$2:$V$401),ROWS(A$5:A310),"")</f>
        <v/>
      </c>
      <c r="B310" s="24" t="str">
        <f aca="false">IF($A310="","",INDEX(Реестр!$B$2:$B$401,MATCH($A310,Реестр!$V$2:$V$401,0)))</f>
        <v/>
      </c>
      <c r="C310" s="24" t="str">
        <f aca="false">IF($A310="","",INDEX(Реестр!$C$2:$C$401,MATCH($A310,Реестр!$V$2:$V$401,0)))</f>
        <v/>
      </c>
      <c r="D310" s="24" t="str">
        <f aca="false">IF($A310="","",INDEX(Реестр!$T$2:$T$401,MATCH($A310,Реестр!$V$2:$V$401,0)))</f>
        <v/>
      </c>
      <c r="E310" s="21" t="str">
        <f aca="false">IF($A310="","",INDEX(Реестр!$R$2:$R$401,MATCH($A310,Реестр!$V$2:$V$401,0)))</f>
        <v/>
      </c>
      <c r="F310" s="24" t="str">
        <f aca="false">IF($A310="","",INDEX(Реестр!$U$2:$U$401,MATCH($A310,Реестр!$V$2:$V$401,0)))</f>
        <v/>
      </c>
    </row>
    <row r="311" customFormat="false" ht="15" hidden="false" customHeight="false" outlineLevel="0" collapsed="false">
      <c r="A311" s="21" t="str">
        <f aca="false">IF(ROWS(A$5:A311)&lt;=MAX(Реестр!$V$2:$V$401),ROWS(A$5:A311),"")</f>
        <v/>
      </c>
      <c r="B311" s="24" t="str">
        <f aca="false">IF($A311="","",INDEX(Реестр!$B$2:$B$401,MATCH($A311,Реестр!$V$2:$V$401,0)))</f>
        <v/>
      </c>
      <c r="C311" s="24" t="str">
        <f aca="false">IF($A311="","",INDEX(Реестр!$C$2:$C$401,MATCH($A311,Реестр!$V$2:$V$401,0)))</f>
        <v/>
      </c>
      <c r="D311" s="24" t="str">
        <f aca="false">IF($A311="","",INDEX(Реестр!$T$2:$T$401,MATCH($A311,Реестр!$V$2:$V$401,0)))</f>
        <v/>
      </c>
      <c r="E311" s="21" t="str">
        <f aca="false">IF($A311="","",INDEX(Реестр!$R$2:$R$401,MATCH($A311,Реестр!$V$2:$V$401,0)))</f>
        <v/>
      </c>
      <c r="F311" s="24" t="str">
        <f aca="false">IF($A311="","",INDEX(Реестр!$U$2:$U$401,MATCH($A311,Реестр!$V$2:$V$401,0)))</f>
        <v/>
      </c>
    </row>
    <row r="312" customFormat="false" ht="15" hidden="false" customHeight="false" outlineLevel="0" collapsed="false">
      <c r="A312" s="21" t="str">
        <f aca="false">IF(ROWS(A$5:A312)&lt;=MAX(Реестр!$V$2:$V$401),ROWS(A$5:A312),"")</f>
        <v/>
      </c>
      <c r="B312" s="24" t="str">
        <f aca="false">IF($A312="","",INDEX(Реестр!$B$2:$B$401,MATCH($A312,Реестр!$V$2:$V$401,0)))</f>
        <v/>
      </c>
      <c r="C312" s="24" t="str">
        <f aca="false">IF($A312="","",INDEX(Реестр!$C$2:$C$401,MATCH($A312,Реестр!$V$2:$V$401,0)))</f>
        <v/>
      </c>
      <c r="D312" s="24" t="str">
        <f aca="false">IF($A312="","",INDEX(Реестр!$T$2:$T$401,MATCH($A312,Реестр!$V$2:$V$401,0)))</f>
        <v/>
      </c>
      <c r="E312" s="21" t="str">
        <f aca="false">IF($A312="","",INDEX(Реестр!$R$2:$R$401,MATCH($A312,Реестр!$V$2:$V$401,0)))</f>
        <v/>
      </c>
      <c r="F312" s="24" t="str">
        <f aca="false">IF($A312="","",INDEX(Реестр!$U$2:$U$401,MATCH($A312,Реестр!$V$2:$V$401,0)))</f>
        <v/>
      </c>
    </row>
    <row r="313" customFormat="false" ht="15" hidden="false" customHeight="false" outlineLevel="0" collapsed="false">
      <c r="A313" s="21" t="str">
        <f aca="false">IF(ROWS(A$5:A313)&lt;=MAX(Реестр!$V$2:$V$401),ROWS(A$5:A313),"")</f>
        <v/>
      </c>
      <c r="B313" s="24" t="str">
        <f aca="false">IF($A313="","",INDEX(Реестр!$B$2:$B$401,MATCH($A313,Реестр!$V$2:$V$401,0)))</f>
        <v/>
      </c>
      <c r="C313" s="24" t="str">
        <f aca="false">IF($A313="","",INDEX(Реестр!$C$2:$C$401,MATCH($A313,Реестр!$V$2:$V$401,0)))</f>
        <v/>
      </c>
      <c r="D313" s="24" t="str">
        <f aca="false">IF($A313="","",INDEX(Реестр!$T$2:$T$401,MATCH($A313,Реестр!$V$2:$V$401,0)))</f>
        <v/>
      </c>
      <c r="E313" s="21" t="str">
        <f aca="false">IF($A313="","",INDEX(Реестр!$R$2:$R$401,MATCH($A313,Реестр!$V$2:$V$401,0)))</f>
        <v/>
      </c>
      <c r="F313" s="24" t="str">
        <f aca="false">IF($A313="","",INDEX(Реестр!$U$2:$U$401,MATCH($A313,Реестр!$V$2:$V$401,0)))</f>
        <v/>
      </c>
    </row>
    <row r="314" customFormat="false" ht="15" hidden="false" customHeight="false" outlineLevel="0" collapsed="false">
      <c r="A314" s="21" t="str">
        <f aca="false">IF(ROWS(A$5:A314)&lt;=MAX(Реестр!$V$2:$V$401),ROWS(A$5:A314),"")</f>
        <v/>
      </c>
      <c r="B314" s="24" t="str">
        <f aca="false">IF($A314="","",INDEX(Реестр!$B$2:$B$401,MATCH($A314,Реестр!$V$2:$V$401,0)))</f>
        <v/>
      </c>
      <c r="C314" s="24" t="str">
        <f aca="false">IF($A314="","",INDEX(Реестр!$C$2:$C$401,MATCH($A314,Реестр!$V$2:$V$401,0)))</f>
        <v/>
      </c>
      <c r="D314" s="24" t="str">
        <f aca="false">IF($A314="","",INDEX(Реестр!$T$2:$T$401,MATCH($A314,Реестр!$V$2:$V$401,0)))</f>
        <v/>
      </c>
      <c r="E314" s="21" t="str">
        <f aca="false">IF($A314="","",INDEX(Реестр!$R$2:$R$401,MATCH($A314,Реестр!$V$2:$V$401,0)))</f>
        <v/>
      </c>
      <c r="F314" s="24" t="str">
        <f aca="false">IF($A314="","",INDEX(Реестр!$U$2:$U$401,MATCH($A314,Реестр!$V$2:$V$401,0)))</f>
        <v/>
      </c>
    </row>
    <row r="315" customFormat="false" ht="15" hidden="false" customHeight="false" outlineLevel="0" collapsed="false">
      <c r="A315" s="21" t="str">
        <f aca="false">IF(ROWS(A$5:A315)&lt;=MAX(Реестр!$V$2:$V$401),ROWS(A$5:A315),"")</f>
        <v/>
      </c>
      <c r="B315" s="24" t="str">
        <f aca="false">IF($A315="","",INDEX(Реестр!$B$2:$B$401,MATCH($A315,Реестр!$V$2:$V$401,0)))</f>
        <v/>
      </c>
      <c r="C315" s="24" t="str">
        <f aca="false">IF($A315="","",INDEX(Реестр!$C$2:$C$401,MATCH($A315,Реестр!$V$2:$V$401,0)))</f>
        <v/>
      </c>
      <c r="D315" s="24" t="str">
        <f aca="false">IF($A315="","",INDEX(Реестр!$T$2:$T$401,MATCH($A315,Реестр!$V$2:$V$401,0)))</f>
        <v/>
      </c>
      <c r="E315" s="21" t="str">
        <f aca="false">IF($A315="","",INDEX(Реестр!$R$2:$R$401,MATCH($A315,Реестр!$V$2:$V$401,0)))</f>
        <v/>
      </c>
      <c r="F315" s="24" t="str">
        <f aca="false">IF($A315="","",INDEX(Реестр!$U$2:$U$401,MATCH($A315,Реестр!$V$2:$V$401,0)))</f>
        <v/>
      </c>
    </row>
    <row r="316" customFormat="false" ht="15" hidden="false" customHeight="false" outlineLevel="0" collapsed="false">
      <c r="A316" s="21" t="str">
        <f aca="false">IF(ROWS(A$5:A316)&lt;=MAX(Реестр!$V$2:$V$401),ROWS(A$5:A316),"")</f>
        <v/>
      </c>
      <c r="B316" s="24" t="str">
        <f aca="false">IF($A316="","",INDEX(Реестр!$B$2:$B$401,MATCH($A316,Реестр!$V$2:$V$401,0)))</f>
        <v/>
      </c>
      <c r="C316" s="24" t="str">
        <f aca="false">IF($A316="","",INDEX(Реестр!$C$2:$C$401,MATCH($A316,Реестр!$V$2:$V$401,0)))</f>
        <v/>
      </c>
      <c r="D316" s="24" t="str">
        <f aca="false">IF($A316="","",INDEX(Реестр!$T$2:$T$401,MATCH($A316,Реестр!$V$2:$V$401,0)))</f>
        <v/>
      </c>
      <c r="E316" s="21" t="str">
        <f aca="false">IF($A316="","",INDEX(Реестр!$R$2:$R$401,MATCH($A316,Реестр!$V$2:$V$401,0)))</f>
        <v/>
      </c>
      <c r="F316" s="24" t="str">
        <f aca="false">IF($A316="","",INDEX(Реестр!$U$2:$U$401,MATCH($A316,Реестр!$V$2:$V$401,0)))</f>
        <v/>
      </c>
    </row>
    <row r="317" customFormat="false" ht="15" hidden="false" customHeight="false" outlineLevel="0" collapsed="false">
      <c r="A317" s="21" t="str">
        <f aca="false">IF(ROWS(A$5:A317)&lt;=MAX(Реестр!$V$2:$V$401),ROWS(A$5:A317),"")</f>
        <v/>
      </c>
      <c r="B317" s="24" t="str">
        <f aca="false">IF($A317="","",INDEX(Реестр!$B$2:$B$401,MATCH($A317,Реестр!$V$2:$V$401,0)))</f>
        <v/>
      </c>
      <c r="C317" s="24" t="str">
        <f aca="false">IF($A317="","",INDEX(Реестр!$C$2:$C$401,MATCH($A317,Реестр!$V$2:$V$401,0)))</f>
        <v/>
      </c>
      <c r="D317" s="24" t="str">
        <f aca="false">IF($A317="","",INDEX(Реестр!$T$2:$T$401,MATCH($A317,Реестр!$V$2:$V$401,0)))</f>
        <v/>
      </c>
      <c r="E317" s="21" t="str">
        <f aca="false">IF($A317="","",INDEX(Реестр!$R$2:$R$401,MATCH($A317,Реестр!$V$2:$V$401,0)))</f>
        <v/>
      </c>
      <c r="F317" s="24" t="str">
        <f aca="false">IF($A317="","",INDEX(Реестр!$U$2:$U$401,MATCH($A317,Реестр!$V$2:$V$401,0)))</f>
        <v/>
      </c>
    </row>
    <row r="318" customFormat="false" ht="15" hidden="false" customHeight="false" outlineLevel="0" collapsed="false">
      <c r="A318" s="21" t="str">
        <f aca="false">IF(ROWS(A$5:A318)&lt;=MAX(Реестр!$V$2:$V$401),ROWS(A$5:A318),"")</f>
        <v/>
      </c>
      <c r="B318" s="24" t="str">
        <f aca="false">IF($A318="","",INDEX(Реестр!$B$2:$B$401,MATCH($A318,Реестр!$V$2:$V$401,0)))</f>
        <v/>
      </c>
      <c r="C318" s="24" t="str">
        <f aca="false">IF($A318="","",INDEX(Реестр!$C$2:$C$401,MATCH($A318,Реестр!$V$2:$V$401,0)))</f>
        <v/>
      </c>
      <c r="D318" s="24" t="str">
        <f aca="false">IF($A318="","",INDEX(Реестр!$T$2:$T$401,MATCH($A318,Реестр!$V$2:$V$401,0)))</f>
        <v/>
      </c>
      <c r="E318" s="21" t="str">
        <f aca="false">IF($A318="","",INDEX(Реестр!$R$2:$R$401,MATCH($A318,Реестр!$V$2:$V$401,0)))</f>
        <v/>
      </c>
      <c r="F318" s="24" t="str">
        <f aca="false">IF($A318="","",INDEX(Реестр!$U$2:$U$401,MATCH($A318,Реестр!$V$2:$V$401,0)))</f>
        <v/>
      </c>
    </row>
    <row r="319" customFormat="false" ht="15" hidden="false" customHeight="false" outlineLevel="0" collapsed="false">
      <c r="A319" s="21" t="str">
        <f aca="false">IF(ROWS(A$5:A319)&lt;=MAX(Реестр!$V$2:$V$401),ROWS(A$5:A319),"")</f>
        <v/>
      </c>
      <c r="B319" s="24" t="str">
        <f aca="false">IF($A319="","",INDEX(Реестр!$B$2:$B$401,MATCH($A319,Реестр!$V$2:$V$401,0)))</f>
        <v/>
      </c>
      <c r="C319" s="24" t="str">
        <f aca="false">IF($A319="","",INDEX(Реестр!$C$2:$C$401,MATCH($A319,Реестр!$V$2:$V$401,0)))</f>
        <v/>
      </c>
      <c r="D319" s="24" t="str">
        <f aca="false">IF($A319="","",INDEX(Реестр!$T$2:$T$401,MATCH($A319,Реестр!$V$2:$V$401,0)))</f>
        <v/>
      </c>
      <c r="E319" s="21" t="str">
        <f aca="false">IF($A319="","",INDEX(Реестр!$R$2:$R$401,MATCH($A319,Реестр!$V$2:$V$401,0)))</f>
        <v/>
      </c>
      <c r="F319" s="24" t="str">
        <f aca="false">IF($A319="","",INDEX(Реестр!$U$2:$U$401,MATCH($A319,Реестр!$V$2:$V$401,0)))</f>
        <v/>
      </c>
    </row>
    <row r="320" customFormat="false" ht="15" hidden="false" customHeight="false" outlineLevel="0" collapsed="false">
      <c r="A320" s="21" t="str">
        <f aca="false">IF(ROWS(A$5:A320)&lt;=MAX(Реестр!$V$2:$V$401),ROWS(A$5:A320),"")</f>
        <v/>
      </c>
      <c r="B320" s="24" t="str">
        <f aca="false">IF($A320="","",INDEX(Реестр!$B$2:$B$401,MATCH($A320,Реестр!$V$2:$V$401,0)))</f>
        <v/>
      </c>
      <c r="C320" s="24" t="str">
        <f aca="false">IF($A320="","",INDEX(Реестр!$C$2:$C$401,MATCH($A320,Реестр!$V$2:$V$401,0)))</f>
        <v/>
      </c>
      <c r="D320" s="24" t="str">
        <f aca="false">IF($A320="","",INDEX(Реестр!$T$2:$T$401,MATCH($A320,Реестр!$V$2:$V$401,0)))</f>
        <v/>
      </c>
      <c r="E320" s="21" t="str">
        <f aca="false">IF($A320="","",INDEX(Реестр!$R$2:$R$401,MATCH($A320,Реестр!$V$2:$V$401,0)))</f>
        <v/>
      </c>
      <c r="F320" s="24" t="str">
        <f aca="false">IF($A320="","",INDEX(Реестр!$U$2:$U$401,MATCH($A320,Реестр!$V$2:$V$401,0)))</f>
        <v/>
      </c>
    </row>
    <row r="321" customFormat="false" ht="15" hidden="false" customHeight="false" outlineLevel="0" collapsed="false">
      <c r="A321" s="21" t="str">
        <f aca="false">IF(ROWS(A$5:A321)&lt;=MAX(Реестр!$V$2:$V$401),ROWS(A$5:A321),"")</f>
        <v/>
      </c>
      <c r="B321" s="24" t="str">
        <f aca="false">IF($A321="","",INDEX(Реестр!$B$2:$B$401,MATCH($A321,Реестр!$V$2:$V$401,0)))</f>
        <v/>
      </c>
      <c r="C321" s="24" t="str">
        <f aca="false">IF($A321="","",INDEX(Реестр!$C$2:$C$401,MATCH($A321,Реестр!$V$2:$V$401,0)))</f>
        <v/>
      </c>
      <c r="D321" s="24" t="str">
        <f aca="false">IF($A321="","",INDEX(Реестр!$T$2:$T$401,MATCH($A321,Реестр!$V$2:$V$401,0)))</f>
        <v/>
      </c>
      <c r="E321" s="21" t="str">
        <f aca="false">IF($A321="","",INDEX(Реестр!$R$2:$R$401,MATCH($A321,Реестр!$V$2:$V$401,0)))</f>
        <v/>
      </c>
      <c r="F321" s="24" t="str">
        <f aca="false">IF($A321="","",INDEX(Реестр!$U$2:$U$401,MATCH($A321,Реестр!$V$2:$V$401,0)))</f>
        <v/>
      </c>
    </row>
    <row r="322" customFormat="false" ht="15" hidden="false" customHeight="false" outlineLevel="0" collapsed="false">
      <c r="A322" s="21" t="str">
        <f aca="false">IF(ROWS(A$5:A322)&lt;=MAX(Реестр!$V$2:$V$401),ROWS(A$5:A322),"")</f>
        <v/>
      </c>
      <c r="B322" s="24" t="str">
        <f aca="false">IF($A322="","",INDEX(Реестр!$B$2:$B$401,MATCH($A322,Реестр!$V$2:$V$401,0)))</f>
        <v/>
      </c>
      <c r="C322" s="24" t="str">
        <f aca="false">IF($A322="","",INDEX(Реестр!$C$2:$C$401,MATCH($A322,Реестр!$V$2:$V$401,0)))</f>
        <v/>
      </c>
      <c r="D322" s="24" t="str">
        <f aca="false">IF($A322="","",INDEX(Реестр!$T$2:$T$401,MATCH($A322,Реестр!$V$2:$V$401,0)))</f>
        <v/>
      </c>
      <c r="E322" s="21" t="str">
        <f aca="false">IF($A322="","",INDEX(Реестр!$R$2:$R$401,MATCH($A322,Реестр!$V$2:$V$401,0)))</f>
        <v/>
      </c>
      <c r="F322" s="24" t="str">
        <f aca="false">IF($A322="","",INDEX(Реестр!$U$2:$U$401,MATCH($A322,Реестр!$V$2:$V$401,0)))</f>
        <v/>
      </c>
    </row>
    <row r="323" customFormat="false" ht="15" hidden="false" customHeight="false" outlineLevel="0" collapsed="false">
      <c r="A323" s="21" t="str">
        <f aca="false">IF(ROWS(A$5:A323)&lt;=MAX(Реестр!$V$2:$V$401),ROWS(A$5:A323),"")</f>
        <v/>
      </c>
      <c r="B323" s="24" t="str">
        <f aca="false">IF($A323="","",INDEX(Реестр!$B$2:$B$401,MATCH($A323,Реестр!$V$2:$V$401,0)))</f>
        <v/>
      </c>
      <c r="C323" s="24" t="str">
        <f aca="false">IF($A323="","",INDEX(Реестр!$C$2:$C$401,MATCH($A323,Реестр!$V$2:$V$401,0)))</f>
        <v/>
      </c>
      <c r="D323" s="24" t="str">
        <f aca="false">IF($A323="","",INDEX(Реестр!$T$2:$T$401,MATCH($A323,Реестр!$V$2:$V$401,0)))</f>
        <v/>
      </c>
      <c r="E323" s="21" t="str">
        <f aca="false">IF($A323="","",INDEX(Реестр!$R$2:$R$401,MATCH($A323,Реестр!$V$2:$V$401,0)))</f>
        <v/>
      </c>
      <c r="F323" s="24" t="str">
        <f aca="false">IF($A323="","",INDEX(Реестр!$U$2:$U$401,MATCH($A323,Реестр!$V$2:$V$401,0)))</f>
        <v/>
      </c>
    </row>
    <row r="324" customFormat="false" ht="15" hidden="false" customHeight="false" outlineLevel="0" collapsed="false">
      <c r="A324" s="21" t="str">
        <f aca="false">IF(ROWS(A$5:A324)&lt;=MAX(Реестр!$V$2:$V$401),ROWS(A$5:A324),"")</f>
        <v/>
      </c>
      <c r="B324" s="24" t="str">
        <f aca="false">IF($A324="","",INDEX(Реестр!$B$2:$B$401,MATCH($A324,Реестр!$V$2:$V$401,0)))</f>
        <v/>
      </c>
      <c r="C324" s="24" t="str">
        <f aca="false">IF($A324="","",INDEX(Реестр!$C$2:$C$401,MATCH($A324,Реестр!$V$2:$V$401,0)))</f>
        <v/>
      </c>
      <c r="D324" s="24" t="str">
        <f aca="false">IF($A324="","",INDEX(Реестр!$T$2:$T$401,MATCH($A324,Реестр!$V$2:$V$401,0)))</f>
        <v/>
      </c>
      <c r="E324" s="21" t="str">
        <f aca="false">IF($A324="","",INDEX(Реестр!$R$2:$R$401,MATCH($A324,Реестр!$V$2:$V$401,0)))</f>
        <v/>
      </c>
      <c r="F324" s="24" t="str">
        <f aca="false">IF($A324="","",INDEX(Реестр!$U$2:$U$401,MATCH($A324,Реестр!$V$2:$V$401,0)))</f>
        <v/>
      </c>
    </row>
    <row r="325" customFormat="false" ht="15" hidden="false" customHeight="false" outlineLevel="0" collapsed="false">
      <c r="A325" s="21" t="str">
        <f aca="false">IF(ROWS(A$5:A325)&lt;=MAX(Реестр!$V$2:$V$401),ROWS(A$5:A325),"")</f>
        <v/>
      </c>
      <c r="B325" s="24" t="str">
        <f aca="false">IF($A325="","",INDEX(Реестр!$B$2:$B$401,MATCH($A325,Реестр!$V$2:$V$401,0)))</f>
        <v/>
      </c>
      <c r="C325" s="24" t="str">
        <f aca="false">IF($A325="","",INDEX(Реестр!$C$2:$C$401,MATCH($A325,Реестр!$V$2:$V$401,0)))</f>
        <v/>
      </c>
      <c r="D325" s="24" t="str">
        <f aca="false">IF($A325="","",INDEX(Реестр!$T$2:$T$401,MATCH($A325,Реестр!$V$2:$V$401,0)))</f>
        <v/>
      </c>
      <c r="E325" s="21" t="str">
        <f aca="false">IF($A325="","",INDEX(Реестр!$R$2:$R$401,MATCH($A325,Реестр!$V$2:$V$401,0)))</f>
        <v/>
      </c>
      <c r="F325" s="24" t="str">
        <f aca="false">IF($A325="","",INDEX(Реестр!$U$2:$U$401,MATCH($A325,Реестр!$V$2:$V$401,0)))</f>
        <v/>
      </c>
    </row>
    <row r="326" customFormat="false" ht="15" hidden="false" customHeight="false" outlineLevel="0" collapsed="false">
      <c r="A326" s="21" t="str">
        <f aca="false">IF(ROWS(A$5:A326)&lt;=MAX(Реестр!$V$2:$V$401),ROWS(A$5:A326),"")</f>
        <v/>
      </c>
      <c r="B326" s="24" t="str">
        <f aca="false">IF($A326="","",INDEX(Реестр!$B$2:$B$401,MATCH($A326,Реестр!$V$2:$V$401,0)))</f>
        <v/>
      </c>
      <c r="C326" s="24" t="str">
        <f aca="false">IF($A326="","",INDEX(Реестр!$C$2:$C$401,MATCH($A326,Реестр!$V$2:$V$401,0)))</f>
        <v/>
      </c>
      <c r="D326" s="24" t="str">
        <f aca="false">IF($A326="","",INDEX(Реестр!$T$2:$T$401,MATCH($A326,Реестр!$V$2:$V$401,0)))</f>
        <v/>
      </c>
      <c r="E326" s="21" t="str">
        <f aca="false">IF($A326="","",INDEX(Реестр!$R$2:$R$401,MATCH($A326,Реестр!$V$2:$V$401,0)))</f>
        <v/>
      </c>
      <c r="F326" s="24" t="str">
        <f aca="false">IF($A326="","",INDEX(Реестр!$U$2:$U$401,MATCH($A326,Реестр!$V$2:$V$401,0)))</f>
        <v/>
      </c>
    </row>
    <row r="327" customFormat="false" ht="15" hidden="false" customHeight="false" outlineLevel="0" collapsed="false">
      <c r="A327" s="21" t="str">
        <f aca="false">IF(ROWS(A$5:A327)&lt;=MAX(Реестр!$V$2:$V$401),ROWS(A$5:A327),"")</f>
        <v/>
      </c>
      <c r="B327" s="24" t="str">
        <f aca="false">IF($A327="","",INDEX(Реестр!$B$2:$B$401,MATCH($A327,Реестр!$V$2:$V$401,0)))</f>
        <v/>
      </c>
      <c r="C327" s="24" t="str">
        <f aca="false">IF($A327="","",INDEX(Реестр!$C$2:$C$401,MATCH($A327,Реестр!$V$2:$V$401,0)))</f>
        <v/>
      </c>
      <c r="D327" s="24" t="str">
        <f aca="false">IF($A327="","",INDEX(Реестр!$T$2:$T$401,MATCH($A327,Реестр!$V$2:$V$401,0)))</f>
        <v/>
      </c>
      <c r="E327" s="21" t="str">
        <f aca="false">IF($A327="","",INDEX(Реестр!$R$2:$R$401,MATCH($A327,Реестр!$V$2:$V$401,0)))</f>
        <v/>
      </c>
      <c r="F327" s="24" t="str">
        <f aca="false">IF($A327="","",INDEX(Реестр!$U$2:$U$401,MATCH($A327,Реестр!$V$2:$V$401,0)))</f>
        <v/>
      </c>
    </row>
    <row r="328" customFormat="false" ht="15" hidden="false" customHeight="false" outlineLevel="0" collapsed="false">
      <c r="A328" s="21" t="str">
        <f aca="false">IF(ROWS(A$5:A328)&lt;=MAX(Реестр!$V$2:$V$401),ROWS(A$5:A328),"")</f>
        <v/>
      </c>
      <c r="B328" s="24" t="str">
        <f aca="false">IF($A328="","",INDEX(Реестр!$B$2:$B$401,MATCH($A328,Реестр!$V$2:$V$401,0)))</f>
        <v/>
      </c>
      <c r="C328" s="24" t="str">
        <f aca="false">IF($A328="","",INDEX(Реестр!$C$2:$C$401,MATCH($A328,Реестр!$V$2:$V$401,0)))</f>
        <v/>
      </c>
      <c r="D328" s="24" t="str">
        <f aca="false">IF($A328="","",INDEX(Реестр!$T$2:$T$401,MATCH($A328,Реестр!$V$2:$V$401,0)))</f>
        <v/>
      </c>
      <c r="E328" s="21" t="str">
        <f aca="false">IF($A328="","",INDEX(Реестр!$R$2:$R$401,MATCH($A328,Реестр!$V$2:$V$401,0)))</f>
        <v/>
      </c>
      <c r="F328" s="24" t="str">
        <f aca="false">IF($A328="","",INDEX(Реестр!$U$2:$U$401,MATCH($A328,Реестр!$V$2:$V$401,0)))</f>
        <v/>
      </c>
    </row>
    <row r="329" customFormat="false" ht="15" hidden="false" customHeight="false" outlineLevel="0" collapsed="false">
      <c r="A329" s="21" t="str">
        <f aca="false">IF(ROWS(A$5:A329)&lt;=MAX(Реестр!$V$2:$V$401),ROWS(A$5:A329),"")</f>
        <v/>
      </c>
      <c r="B329" s="24" t="str">
        <f aca="false">IF($A329="","",INDEX(Реестр!$B$2:$B$401,MATCH($A329,Реестр!$V$2:$V$401,0)))</f>
        <v/>
      </c>
      <c r="C329" s="24" t="str">
        <f aca="false">IF($A329="","",INDEX(Реестр!$C$2:$C$401,MATCH($A329,Реестр!$V$2:$V$401,0)))</f>
        <v/>
      </c>
      <c r="D329" s="24" t="str">
        <f aca="false">IF($A329="","",INDEX(Реестр!$T$2:$T$401,MATCH($A329,Реестр!$V$2:$V$401,0)))</f>
        <v/>
      </c>
      <c r="E329" s="21" t="str">
        <f aca="false">IF($A329="","",INDEX(Реестр!$R$2:$R$401,MATCH($A329,Реестр!$V$2:$V$401,0)))</f>
        <v/>
      </c>
      <c r="F329" s="24" t="str">
        <f aca="false">IF($A329="","",INDEX(Реестр!$U$2:$U$401,MATCH($A329,Реестр!$V$2:$V$401,0)))</f>
        <v/>
      </c>
    </row>
    <row r="330" customFormat="false" ht="15" hidden="false" customHeight="false" outlineLevel="0" collapsed="false">
      <c r="A330" s="21" t="str">
        <f aca="false">IF(ROWS(A$5:A330)&lt;=MAX(Реестр!$V$2:$V$401),ROWS(A$5:A330),"")</f>
        <v/>
      </c>
      <c r="B330" s="24" t="str">
        <f aca="false">IF($A330="","",INDEX(Реестр!$B$2:$B$401,MATCH($A330,Реестр!$V$2:$V$401,0)))</f>
        <v/>
      </c>
      <c r="C330" s="24" t="str">
        <f aca="false">IF($A330="","",INDEX(Реестр!$C$2:$C$401,MATCH($A330,Реестр!$V$2:$V$401,0)))</f>
        <v/>
      </c>
      <c r="D330" s="24" t="str">
        <f aca="false">IF($A330="","",INDEX(Реестр!$T$2:$T$401,MATCH($A330,Реестр!$V$2:$V$401,0)))</f>
        <v/>
      </c>
      <c r="E330" s="21" t="str">
        <f aca="false">IF($A330="","",INDEX(Реестр!$R$2:$R$401,MATCH($A330,Реестр!$V$2:$V$401,0)))</f>
        <v/>
      </c>
      <c r="F330" s="24" t="str">
        <f aca="false">IF($A330="","",INDEX(Реестр!$U$2:$U$401,MATCH($A330,Реестр!$V$2:$V$401,0)))</f>
        <v/>
      </c>
    </row>
    <row r="331" customFormat="false" ht="15" hidden="false" customHeight="false" outlineLevel="0" collapsed="false">
      <c r="A331" s="21" t="str">
        <f aca="false">IF(ROWS(A$5:A331)&lt;=MAX(Реестр!$V$2:$V$401),ROWS(A$5:A331),"")</f>
        <v/>
      </c>
      <c r="B331" s="24" t="str">
        <f aca="false">IF($A331="","",INDEX(Реестр!$B$2:$B$401,MATCH($A331,Реестр!$V$2:$V$401,0)))</f>
        <v/>
      </c>
      <c r="C331" s="24" t="str">
        <f aca="false">IF($A331="","",INDEX(Реестр!$C$2:$C$401,MATCH($A331,Реестр!$V$2:$V$401,0)))</f>
        <v/>
      </c>
      <c r="D331" s="24" t="str">
        <f aca="false">IF($A331="","",INDEX(Реестр!$T$2:$T$401,MATCH($A331,Реестр!$V$2:$V$401,0)))</f>
        <v/>
      </c>
      <c r="E331" s="21" t="str">
        <f aca="false">IF($A331="","",INDEX(Реестр!$R$2:$R$401,MATCH($A331,Реестр!$V$2:$V$401,0)))</f>
        <v/>
      </c>
      <c r="F331" s="24" t="str">
        <f aca="false">IF($A331="","",INDEX(Реестр!$U$2:$U$401,MATCH($A331,Реестр!$V$2:$V$401,0)))</f>
        <v/>
      </c>
    </row>
    <row r="332" customFormat="false" ht="15" hidden="false" customHeight="false" outlineLevel="0" collapsed="false">
      <c r="A332" s="21" t="str">
        <f aca="false">IF(ROWS(A$5:A332)&lt;=MAX(Реестр!$V$2:$V$401),ROWS(A$5:A332),"")</f>
        <v/>
      </c>
      <c r="B332" s="24" t="str">
        <f aca="false">IF($A332="","",INDEX(Реестр!$B$2:$B$401,MATCH($A332,Реестр!$V$2:$V$401,0)))</f>
        <v/>
      </c>
      <c r="C332" s="24" t="str">
        <f aca="false">IF($A332="","",INDEX(Реестр!$C$2:$C$401,MATCH($A332,Реестр!$V$2:$V$401,0)))</f>
        <v/>
      </c>
      <c r="D332" s="24" t="str">
        <f aca="false">IF($A332="","",INDEX(Реестр!$T$2:$T$401,MATCH($A332,Реестр!$V$2:$V$401,0)))</f>
        <v/>
      </c>
      <c r="E332" s="21" t="str">
        <f aca="false">IF($A332="","",INDEX(Реестр!$R$2:$R$401,MATCH($A332,Реестр!$V$2:$V$401,0)))</f>
        <v/>
      </c>
      <c r="F332" s="24" t="str">
        <f aca="false">IF($A332="","",INDEX(Реестр!$U$2:$U$401,MATCH($A332,Реестр!$V$2:$V$401,0)))</f>
        <v/>
      </c>
    </row>
    <row r="333" customFormat="false" ht="15" hidden="false" customHeight="false" outlineLevel="0" collapsed="false">
      <c r="A333" s="21" t="str">
        <f aca="false">IF(ROWS(A$5:A333)&lt;=MAX(Реестр!$V$2:$V$401),ROWS(A$5:A333),"")</f>
        <v/>
      </c>
      <c r="B333" s="24" t="str">
        <f aca="false">IF($A333="","",INDEX(Реестр!$B$2:$B$401,MATCH($A333,Реестр!$V$2:$V$401,0)))</f>
        <v/>
      </c>
      <c r="C333" s="24" t="str">
        <f aca="false">IF($A333="","",INDEX(Реестр!$C$2:$C$401,MATCH($A333,Реестр!$V$2:$V$401,0)))</f>
        <v/>
      </c>
      <c r="D333" s="24" t="str">
        <f aca="false">IF($A333="","",INDEX(Реестр!$T$2:$T$401,MATCH($A333,Реестр!$V$2:$V$401,0)))</f>
        <v/>
      </c>
      <c r="E333" s="21" t="str">
        <f aca="false">IF($A333="","",INDEX(Реестр!$R$2:$R$401,MATCH($A333,Реестр!$V$2:$V$401,0)))</f>
        <v/>
      </c>
      <c r="F333" s="24" t="str">
        <f aca="false">IF($A333="","",INDEX(Реестр!$U$2:$U$401,MATCH($A333,Реестр!$V$2:$V$401,0)))</f>
        <v/>
      </c>
    </row>
    <row r="334" customFormat="false" ht="15" hidden="false" customHeight="false" outlineLevel="0" collapsed="false">
      <c r="A334" s="21" t="str">
        <f aca="false">IF(ROWS(A$5:A334)&lt;=MAX(Реестр!$V$2:$V$401),ROWS(A$5:A334),"")</f>
        <v/>
      </c>
      <c r="B334" s="24" t="str">
        <f aca="false">IF($A334="","",INDEX(Реестр!$B$2:$B$401,MATCH($A334,Реестр!$V$2:$V$401,0)))</f>
        <v/>
      </c>
      <c r="C334" s="24" t="str">
        <f aca="false">IF($A334="","",INDEX(Реестр!$C$2:$C$401,MATCH($A334,Реестр!$V$2:$V$401,0)))</f>
        <v/>
      </c>
      <c r="D334" s="24" t="str">
        <f aca="false">IF($A334="","",INDEX(Реестр!$T$2:$T$401,MATCH($A334,Реестр!$V$2:$V$401,0)))</f>
        <v/>
      </c>
      <c r="E334" s="21" t="str">
        <f aca="false">IF($A334="","",INDEX(Реестр!$R$2:$R$401,MATCH($A334,Реестр!$V$2:$V$401,0)))</f>
        <v/>
      </c>
      <c r="F334" s="24" t="str">
        <f aca="false">IF($A334="","",INDEX(Реестр!$U$2:$U$401,MATCH($A334,Реестр!$V$2:$V$401,0)))</f>
        <v/>
      </c>
    </row>
    <row r="335" customFormat="false" ht="15" hidden="false" customHeight="false" outlineLevel="0" collapsed="false">
      <c r="A335" s="21" t="str">
        <f aca="false">IF(ROWS(A$5:A335)&lt;=MAX(Реестр!$V$2:$V$401),ROWS(A$5:A335),"")</f>
        <v/>
      </c>
      <c r="B335" s="24" t="str">
        <f aca="false">IF($A335="","",INDEX(Реестр!$B$2:$B$401,MATCH($A335,Реестр!$V$2:$V$401,0)))</f>
        <v/>
      </c>
      <c r="C335" s="24" t="str">
        <f aca="false">IF($A335="","",INDEX(Реестр!$C$2:$C$401,MATCH($A335,Реестр!$V$2:$V$401,0)))</f>
        <v/>
      </c>
      <c r="D335" s="24" t="str">
        <f aca="false">IF($A335="","",INDEX(Реестр!$T$2:$T$401,MATCH($A335,Реестр!$V$2:$V$401,0)))</f>
        <v/>
      </c>
      <c r="E335" s="21" t="str">
        <f aca="false">IF($A335="","",INDEX(Реестр!$R$2:$R$401,MATCH($A335,Реестр!$V$2:$V$401,0)))</f>
        <v/>
      </c>
      <c r="F335" s="24" t="str">
        <f aca="false">IF($A335="","",INDEX(Реестр!$U$2:$U$401,MATCH($A335,Реестр!$V$2:$V$401,0)))</f>
        <v/>
      </c>
    </row>
    <row r="336" customFormat="false" ht="15" hidden="false" customHeight="false" outlineLevel="0" collapsed="false">
      <c r="A336" s="21" t="str">
        <f aca="false">IF(ROWS(A$5:A336)&lt;=MAX(Реестр!$V$2:$V$401),ROWS(A$5:A336),"")</f>
        <v/>
      </c>
      <c r="B336" s="24" t="str">
        <f aca="false">IF($A336="","",INDEX(Реестр!$B$2:$B$401,MATCH($A336,Реестр!$V$2:$V$401,0)))</f>
        <v/>
      </c>
      <c r="C336" s="24" t="str">
        <f aca="false">IF($A336="","",INDEX(Реестр!$C$2:$C$401,MATCH($A336,Реестр!$V$2:$V$401,0)))</f>
        <v/>
      </c>
      <c r="D336" s="24" t="str">
        <f aca="false">IF($A336="","",INDEX(Реестр!$T$2:$T$401,MATCH($A336,Реестр!$V$2:$V$401,0)))</f>
        <v/>
      </c>
      <c r="E336" s="21" t="str">
        <f aca="false">IF($A336="","",INDEX(Реестр!$R$2:$R$401,MATCH($A336,Реестр!$V$2:$V$401,0)))</f>
        <v/>
      </c>
      <c r="F336" s="24" t="str">
        <f aca="false">IF($A336="","",INDEX(Реестр!$U$2:$U$401,MATCH($A336,Реестр!$V$2:$V$401,0)))</f>
        <v/>
      </c>
    </row>
    <row r="337" customFormat="false" ht="15" hidden="false" customHeight="false" outlineLevel="0" collapsed="false">
      <c r="A337" s="21" t="str">
        <f aca="false">IF(ROWS(A$5:A337)&lt;=MAX(Реестр!$V$2:$V$401),ROWS(A$5:A337),"")</f>
        <v/>
      </c>
      <c r="B337" s="24" t="str">
        <f aca="false">IF($A337="","",INDEX(Реестр!$B$2:$B$401,MATCH($A337,Реестр!$V$2:$V$401,0)))</f>
        <v/>
      </c>
      <c r="C337" s="24" t="str">
        <f aca="false">IF($A337="","",INDEX(Реестр!$C$2:$C$401,MATCH($A337,Реестр!$V$2:$V$401,0)))</f>
        <v/>
      </c>
      <c r="D337" s="24" t="str">
        <f aca="false">IF($A337="","",INDEX(Реестр!$T$2:$T$401,MATCH($A337,Реестр!$V$2:$V$401,0)))</f>
        <v/>
      </c>
      <c r="E337" s="21" t="str">
        <f aca="false">IF($A337="","",INDEX(Реестр!$R$2:$R$401,MATCH($A337,Реестр!$V$2:$V$401,0)))</f>
        <v/>
      </c>
      <c r="F337" s="24" t="str">
        <f aca="false">IF($A337="","",INDEX(Реестр!$U$2:$U$401,MATCH($A337,Реестр!$V$2:$V$401,0)))</f>
        <v/>
      </c>
    </row>
    <row r="338" customFormat="false" ht="15" hidden="false" customHeight="false" outlineLevel="0" collapsed="false">
      <c r="A338" s="21" t="str">
        <f aca="false">IF(ROWS(A$5:A338)&lt;=MAX(Реестр!$V$2:$V$401),ROWS(A$5:A338),"")</f>
        <v/>
      </c>
      <c r="B338" s="24" t="str">
        <f aca="false">IF($A338="","",INDEX(Реестр!$B$2:$B$401,MATCH($A338,Реестр!$V$2:$V$401,0)))</f>
        <v/>
      </c>
      <c r="C338" s="24" t="str">
        <f aca="false">IF($A338="","",INDEX(Реестр!$C$2:$C$401,MATCH($A338,Реестр!$V$2:$V$401,0)))</f>
        <v/>
      </c>
      <c r="D338" s="24" t="str">
        <f aca="false">IF($A338="","",INDEX(Реестр!$T$2:$T$401,MATCH($A338,Реестр!$V$2:$V$401,0)))</f>
        <v/>
      </c>
      <c r="E338" s="21" t="str">
        <f aca="false">IF($A338="","",INDEX(Реестр!$R$2:$R$401,MATCH($A338,Реестр!$V$2:$V$401,0)))</f>
        <v/>
      </c>
      <c r="F338" s="24" t="str">
        <f aca="false">IF($A338="","",INDEX(Реестр!$U$2:$U$401,MATCH($A338,Реестр!$V$2:$V$401,0)))</f>
        <v/>
      </c>
    </row>
    <row r="339" customFormat="false" ht="15" hidden="false" customHeight="false" outlineLevel="0" collapsed="false">
      <c r="A339" s="21" t="str">
        <f aca="false">IF(ROWS(A$5:A339)&lt;=MAX(Реестр!$V$2:$V$401),ROWS(A$5:A339),"")</f>
        <v/>
      </c>
      <c r="B339" s="24" t="str">
        <f aca="false">IF($A339="","",INDEX(Реестр!$B$2:$B$401,MATCH($A339,Реестр!$V$2:$V$401,0)))</f>
        <v/>
      </c>
      <c r="C339" s="24" t="str">
        <f aca="false">IF($A339="","",INDEX(Реестр!$C$2:$C$401,MATCH($A339,Реестр!$V$2:$V$401,0)))</f>
        <v/>
      </c>
      <c r="D339" s="24" t="str">
        <f aca="false">IF($A339="","",INDEX(Реестр!$T$2:$T$401,MATCH($A339,Реестр!$V$2:$V$401,0)))</f>
        <v/>
      </c>
      <c r="E339" s="21" t="str">
        <f aca="false">IF($A339="","",INDEX(Реестр!$R$2:$R$401,MATCH($A339,Реестр!$V$2:$V$401,0)))</f>
        <v/>
      </c>
      <c r="F339" s="24" t="str">
        <f aca="false">IF($A339="","",INDEX(Реестр!$U$2:$U$401,MATCH($A339,Реестр!$V$2:$V$401,0)))</f>
        <v/>
      </c>
    </row>
    <row r="340" customFormat="false" ht="15" hidden="false" customHeight="false" outlineLevel="0" collapsed="false">
      <c r="A340" s="21" t="str">
        <f aca="false">IF(ROWS(A$5:A340)&lt;=MAX(Реестр!$V$2:$V$401),ROWS(A$5:A340),"")</f>
        <v/>
      </c>
      <c r="B340" s="24" t="str">
        <f aca="false">IF($A340="","",INDEX(Реестр!$B$2:$B$401,MATCH($A340,Реестр!$V$2:$V$401,0)))</f>
        <v/>
      </c>
      <c r="C340" s="24" t="str">
        <f aca="false">IF($A340="","",INDEX(Реестр!$C$2:$C$401,MATCH($A340,Реестр!$V$2:$V$401,0)))</f>
        <v/>
      </c>
      <c r="D340" s="24" t="str">
        <f aca="false">IF($A340="","",INDEX(Реестр!$T$2:$T$401,MATCH($A340,Реестр!$V$2:$V$401,0)))</f>
        <v/>
      </c>
      <c r="E340" s="21" t="str">
        <f aca="false">IF($A340="","",INDEX(Реестр!$R$2:$R$401,MATCH($A340,Реестр!$V$2:$V$401,0)))</f>
        <v/>
      </c>
      <c r="F340" s="24" t="str">
        <f aca="false">IF($A340="","",INDEX(Реестр!$U$2:$U$401,MATCH($A340,Реестр!$V$2:$V$401,0)))</f>
        <v/>
      </c>
    </row>
    <row r="341" customFormat="false" ht="15" hidden="false" customHeight="false" outlineLevel="0" collapsed="false">
      <c r="A341" s="21" t="str">
        <f aca="false">IF(ROWS(A$5:A341)&lt;=MAX(Реестр!$V$2:$V$401),ROWS(A$5:A341),"")</f>
        <v/>
      </c>
      <c r="B341" s="24" t="str">
        <f aca="false">IF($A341="","",INDEX(Реестр!$B$2:$B$401,MATCH($A341,Реестр!$V$2:$V$401,0)))</f>
        <v/>
      </c>
      <c r="C341" s="24" t="str">
        <f aca="false">IF($A341="","",INDEX(Реестр!$C$2:$C$401,MATCH($A341,Реестр!$V$2:$V$401,0)))</f>
        <v/>
      </c>
      <c r="D341" s="24" t="str">
        <f aca="false">IF($A341="","",INDEX(Реестр!$T$2:$T$401,MATCH($A341,Реестр!$V$2:$V$401,0)))</f>
        <v/>
      </c>
      <c r="E341" s="21" t="str">
        <f aca="false">IF($A341="","",INDEX(Реестр!$R$2:$R$401,MATCH($A341,Реестр!$V$2:$V$401,0)))</f>
        <v/>
      </c>
      <c r="F341" s="24" t="str">
        <f aca="false">IF($A341="","",INDEX(Реестр!$U$2:$U$401,MATCH($A341,Реестр!$V$2:$V$401,0)))</f>
        <v/>
      </c>
    </row>
    <row r="342" customFormat="false" ht="15" hidden="false" customHeight="false" outlineLevel="0" collapsed="false">
      <c r="A342" s="21" t="str">
        <f aca="false">IF(ROWS(A$5:A342)&lt;=MAX(Реестр!$V$2:$V$401),ROWS(A$5:A342),"")</f>
        <v/>
      </c>
      <c r="B342" s="24" t="str">
        <f aca="false">IF($A342="","",INDEX(Реестр!$B$2:$B$401,MATCH($A342,Реестр!$V$2:$V$401,0)))</f>
        <v/>
      </c>
      <c r="C342" s="24" t="str">
        <f aca="false">IF($A342="","",INDEX(Реестр!$C$2:$C$401,MATCH($A342,Реестр!$V$2:$V$401,0)))</f>
        <v/>
      </c>
      <c r="D342" s="24" t="str">
        <f aca="false">IF($A342="","",INDEX(Реестр!$T$2:$T$401,MATCH($A342,Реестр!$V$2:$V$401,0)))</f>
        <v/>
      </c>
      <c r="E342" s="21" t="str">
        <f aca="false">IF($A342="","",INDEX(Реестр!$R$2:$R$401,MATCH($A342,Реестр!$V$2:$V$401,0)))</f>
        <v/>
      </c>
      <c r="F342" s="24" t="str">
        <f aca="false">IF($A342="","",INDEX(Реестр!$U$2:$U$401,MATCH($A342,Реестр!$V$2:$V$401,0)))</f>
        <v/>
      </c>
    </row>
    <row r="343" customFormat="false" ht="15" hidden="false" customHeight="false" outlineLevel="0" collapsed="false">
      <c r="A343" s="21" t="str">
        <f aca="false">IF(ROWS(A$5:A343)&lt;=MAX(Реестр!$V$2:$V$401),ROWS(A$5:A343),"")</f>
        <v/>
      </c>
      <c r="B343" s="24" t="str">
        <f aca="false">IF($A343="","",INDEX(Реестр!$B$2:$B$401,MATCH($A343,Реестр!$V$2:$V$401,0)))</f>
        <v/>
      </c>
      <c r="C343" s="24" t="str">
        <f aca="false">IF($A343="","",INDEX(Реестр!$C$2:$C$401,MATCH($A343,Реестр!$V$2:$V$401,0)))</f>
        <v/>
      </c>
      <c r="D343" s="24" t="str">
        <f aca="false">IF($A343="","",INDEX(Реестр!$T$2:$T$401,MATCH($A343,Реестр!$V$2:$V$401,0)))</f>
        <v/>
      </c>
      <c r="E343" s="21" t="str">
        <f aca="false">IF($A343="","",INDEX(Реестр!$R$2:$R$401,MATCH($A343,Реестр!$V$2:$V$401,0)))</f>
        <v/>
      </c>
      <c r="F343" s="24" t="str">
        <f aca="false">IF($A343="","",INDEX(Реестр!$U$2:$U$401,MATCH($A343,Реестр!$V$2:$V$401,0)))</f>
        <v/>
      </c>
    </row>
    <row r="344" customFormat="false" ht="15" hidden="false" customHeight="false" outlineLevel="0" collapsed="false">
      <c r="A344" s="21" t="str">
        <f aca="false">IF(ROWS(A$5:A344)&lt;=MAX(Реестр!$V$2:$V$401),ROWS(A$5:A344),"")</f>
        <v/>
      </c>
      <c r="B344" s="24" t="str">
        <f aca="false">IF($A344="","",INDEX(Реестр!$B$2:$B$401,MATCH($A344,Реестр!$V$2:$V$401,0)))</f>
        <v/>
      </c>
      <c r="C344" s="24" t="str">
        <f aca="false">IF($A344="","",INDEX(Реестр!$C$2:$C$401,MATCH($A344,Реестр!$V$2:$V$401,0)))</f>
        <v/>
      </c>
      <c r="D344" s="24" t="str">
        <f aca="false">IF($A344="","",INDEX(Реестр!$T$2:$T$401,MATCH($A344,Реестр!$V$2:$V$401,0)))</f>
        <v/>
      </c>
      <c r="E344" s="21" t="str">
        <f aca="false">IF($A344="","",INDEX(Реестр!$R$2:$R$401,MATCH($A344,Реестр!$V$2:$V$401,0)))</f>
        <v/>
      </c>
      <c r="F344" s="24" t="str">
        <f aca="false">IF($A344="","",INDEX(Реестр!$U$2:$U$401,MATCH($A344,Реестр!$V$2:$V$401,0)))</f>
        <v/>
      </c>
    </row>
    <row r="345" customFormat="false" ht="15" hidden="false" customHeight="false" outlineLevel="0" collapsed="false">
      <c r="A345" s="21" t="str">
        <f aca="false">IF(ROWS(A$5:A345)&lt;=MAX(Реестр!$V$2:$V$401),ROWS(A$5:A345),"")</f>
        <v/>
      </c>
      <c r="B345" s="24" t="str">
        <f aca="false">IF($A345="","",INDEX(Реестр!$B$2:$B$401,MATCH($A345,Реестр!$V$2:$V$401,0)))</f>
        <v/>
      </c>
      <c r="C345" s="24" t="str">
        <f aca="false">IF($A345="","",INDEX(Реестр!$C$2:$C$401,MATCH($A345,Реестр!$V$2:$V$401,0)))</f>
        <v/>
      </c>
      <c r="D345" s="24" t="str">
        <f aca="false">IF($A345="","",INDEX(Реестр!$T$2:$T$401,MATCH($A345,Реестр!$V$2:$V$401,0)))</f>
        <v/>
      </c>
      <c r="E345" s="21" t="str">
        <f aca="false">IF($A345="","",INDEX(Реестр!$R$2:$R$401,MATCH($A345,Реестр!$V$2:$V$401,0)))</f>
        <v/>
      </c>
      <c r="F345" s="24" t="str">
        <f aca="false">IF($A345="","",INDEX(Реестр!$U$2:$U$401,MATCH($A345,Реестр!$V$2:$V$401,0)))</f>
        <v/>
      </c>
    </row>
    <row r="346" customFormat="false" ht="15" hidden="false" customHeight="false" outlineLevel="0" collapsed="false">
      <c r="A346" s="21" t="str">
        <f aca="false">IF(ROWS(A$5:A346)&lt;=MAX(Реестр!$V$2:$V$401),ROWS(A$5:A346),"")</f>
        <v/>
      </c>
      <c r="B346" s="24" t="str">
        <f aca="false">IF($A346="","",INDEX(Реестр!$B$2:$B$401,MATCH($A346,Реестр!$V$2:$V$401,0)))</f>
        <v/>
      </c>
      <c r="C346" s="24" t="str">
        <f aca="false">IF($A346="","",INDEX(Реестр!$C$2:$C$401,MATCH($A346,Реестр!$V$2:$V$401,0)))</f>
        <v/>
      </c>
      <c r="D346" s="24" t="str">
        <f aca="false">IF($A346="","",INDEX(Реестр!$T$2:$T$401,MATCH($A346,Реестр!$V$2:$V$401,0)))</f>
        <v/>
      </c>
      <c r="E346" s="21" t="str">
        <f aca="false">IF($A346="","",INDEX(Реестр!$R$2:$R$401,MATCH($A346,Реестр!$V$2:$V$401,0)))</f>
        <v/>
      </c>
      <c r="F346" s="24" t="str">
        <f aca="false">IF($A346="","",INDEX(Реестр!$U$2:$U$401,MATCH($A346,Реестр!$V$2:$V$401,0)))</f>
        <v/>
      </c>
    </row>
    <row r="347" customFormat="false" ht="15" hidden="false" customHeight="false" outlineLevel="0" collapsed="false">
      <c r="A347" s="21" t="str">
        <f aca="false">IF(ROWS(A$5:A347)&lt;=MAX(Реестр!$V$2:$V$401),ROWS(A$5:A347),"")</f>
        <v/>
      </c>
      <c r="B347" s="24" t="str">
        <f aca="false">IF($A347="","",INDEX(Реестр!$B$2:$B$401,MATCH($A347,Реестр!$V$2:$V$401,0)))</f>
        <v/>
      </c>
      <c r="C347" s="24" t="str">
        <f aca="false">IF($A347="","",INDEX(Реестр!$C$2:$C$401,MATCH($A347,Реестр!$V$2:$V$401,0)))</f>
        <v/>
      </c>
      <c r="D347" s="24" t="str">
        <f aca="false">IF($A347="","",INDEX(Реестр!$T$2:$T$401,MATCH($A347,Реестр!$V$2:$V$401,0)))</f>
        <v/>
      </c>
      <c r="E347" s="21" t="str">
        <f aca="false">IF($A347="","",INDEX(Реестр!$R$2:$R$401,MATCH($A347,Реестр!$V$2:$V$401,0)))</f>
        <v/>
      </c>
      <c r="F347" s="24" t="str">
        <f aca="false">IF($A347="","",INDEX(Реестр!$U$2:$U$401,MATCH($A347,Реестр!$V$2:$V$401,0)))</f>
        <v/>
      </c>
    </row>
    <row r="348" customFormat="false" ht="15" hidden="false" customHeight="false" outlineLevel="0" collapsed="false">
      <c r="A348" s="21" t="str">
        <f aca="false">IF(ROWS(A$5:A348)&lt;=MAX(Реестр!$V$2:$V$401),ROWS(A$5:A348),"")</f>
        <v/>
      </c>
      <c r="B348" s="24" t="str">
        <f aca="false">IF($A348="","",INDEX(Реестр!$B$2:$B$401,MATCH($A348,Реестр!$V$2:$V$401,0)))</f>
        <v/>
      </c>
      <c r="C348" s="24" t="str">
        <f aca="false">IF($A348="","",INDEX(Реестр!$C$2:$C$401,MATCH($A348,Реестр!$V$2:$V$401,0)))</f>
        <v/>
      </c>
      <c r="D348" s="24" t="str">
        <f aca="false">IF($A348="","",INDEX(Реестр!$T$2:$T$401,MATCH($A348,Реестр!$V$2:$V$401,0)))</f>
        <v/>
      </c>
      <c r="E348" s="21" t="str">
        <f aca="false">IF($A348="","",INDEX(Реестр!$R$2:$R$401,MATCH($A348,Реестр!$V$2:$V$401,0)))</f>
        <v/>
      </c>
      <c r="F348" s="24" t="str">
        <f aca="false">IF($A348="","",INDEX(Реестр!$U$2:$U$401,MATCH($A348,Реестр!$V$2:$V$401,0)))</f>
        <v/>
      </c>
    </row>
    <row r="349" customFormat="false" ht="15" hidden="false" customHeight="false" outlineLevel="0" collapsed="false">
      <c r="A349" s="21" t="str">
        <f aca="false">IF(ROWS(A$5:A349)&lt;=MAX(Реестр!$V$2:$V$401),ROWS(A$5:A349),"")</f>
        <v/>
      </c>
      <c r="B349" s="24" t="str">
        <f aca="false">IF($A349="","",INDEX(Реестр!$B$2:$B$401,MATCH($A349,Реестр!$V$2:$V$401,0)))</f>
        <v/>
      </c>
      <c r="C349" s="24" t="str">
        <f aca="false">IF($A349="","",INDEX(Реестр!$C$2:$C$401,MATCH($A349,Реестр!$V$2:$V$401,0)))</f>
        <v/>
      </c>
      <c r="D349" s="24" t="str">
        <f aca="false">IF($A349="","",INDEX(Реестр!$T$2:$T$401,MATCH($A349,Реестр!$V$2:$V$401,0)))</f>
        <v/>
      </c>
      <c r="E349" s="21" t="str">
        <f aca="false">IF($A349="","",INDEX(Реестр!$R$2:$R$401,MATCH($A349,Реестр!$V$2:$V$401,0)))</f>
        <v/>
      </c>
      <c r="F349" s="24" t="str">
        <f aca="false">IF($A349="","",INDEX(Реестр!$U$2:$U$401,MATCH($A349,Реестр!$V$2:$V$401,0)))</f>
        <v/>
      </c>
    </row>
    <row r="350" customFormat="false" ht="15" hidden="false" customHeight="false" outlineLevel="0" collapsed="false">
      <c r="A350" s="21" t="str">
        <f aca="false">IF(ROWS(A$5:A350)&lt;=MAX(Реестр!$V$2:$V$401),ROWS(A$5:A350),"")</f>
        <v/>
      </c>
      <c r="B350" s="24" t="str">
        <f aca="false">IF($A350="","",INDEX(Реестр!$B$2:$B$401,MATCH($A350,Реестр!$V$2:$V$401,0)))</f>
        <v/>
      </c>
      <c r="C350" s="24" t="str">
        <f aca="false">IF($A350="","",INDEX(Реестр!$C$2:$C$401,MATCH($A350,Реестр!$V$2:$V$401,0)))</f>
        <v/>
      </c>
      <c r="D350" s="24" t="str">
        <f aca="false">IF($A350="","",INDEX(Реестр!$T$2:$T$401,MATCH($A350,Реестр!$V$2:$V$401,0)))</f>
        <v/>
      </c>
      <c r="E350" s="21" t="str">
        <f aca="false">IF($A350="","",INDEX(Реестр!$R$2:$R$401,MATCH($A350,Реестр!$V$2:$V$401,0)))</f>
        <v/>
      </c>
      <c r="F350" s="24" t="str">
        <f aca="false">IF($A350="","",INDEX(Реестр!$U$2:$U$401,MATCH($A350,Реестр!$V$2:$V$401,0)))</f>
        <v/>
      </c>
    </row>
    <row r="351" customFormat="false" ht="15" hidden="false" customHeight="false" outlineLevel="0" collapsed="false">
      <c r="A351" s="21" t="str">
        <f aca="false">IF(ROWS(A$5:A351)&lt;=MAX(Реестр!$V$2:$V$401),ROWS(A$5:A351),"")</f>
        <v/>
      </c>
      <c r="B351" s="24" t="str">
        <f aca="false">IF($A351="","",INDEX(Реестр!$B$2:$B$401,MATCH($A351,Реестр!$V$2:$V$401,0)))</f>
        <v/>
      </c>
      <c r="C351" s="24" t="str">
        <f aca="false">IF($A351="","",INDEX(Реестр!$C$2:$C$401,MATCH($A351,Реестр!$V$2:$V$401,0)))</f>
        <v/>
      </c>
      <c r="D351" s="24" t="str">
        <f aca="false">IF($A351="","",INDEX(Реестр!$T$2:$T$401,MATCH($A351,Реестр!$V$2:$V$401,0)))</f>
        <v/>
      </c>
      <c r="E351" s="21" t="str">
        <f aca="false">IF($A351="","",INDEX(Реестр!$R$2:$R$401,MATCH($A351,Реестр!$V$2:$V$401,0)))</f>
        <v/>
      </c>
      <c r="F351" s="24" t="str">
        <f aca="false">IF($A351="","",INDEX(Реестр!$U$2:$U$401,MATCH($A351,Реестр!$V$2:$V$401,0)))</f>
        <v/>
      </c>
    </row>
    <row r="352" customFormat="false" ht="15" hidden="false" customHeight="false" outlineLevel="0" collapsed="false">
      <c r="A352" s="21" t="str">
        <f aca="false">IF(ROWS(A$5:A352)&lt;=MAX(Реестр!$V$2:$V$401),ROWS(A$5:A352),"")</f>
        <v/>
      </c>
      <c r="B352" s="24" t="str">
        <f aca="false">IF($A352="","",INDEX(Реестр!$B$2:$B$401,MATCH($A352,Реестр!$V$2:$V$401,0)))</f>
        <v/>
      </c>
      <c r="C352" s="24" t="str">
        <f aca="false">IF($A352="","",INDEX(Реестр!$C$2:$C$401,MATCH($A352,Реестр!$V$2:$V$401,0)))</f>
        <v/>
      </c>
      <c r="D352" s="24" t="str">
        <f aca="false">IF($A352="","",INDEX(Реестр!$T$2:$T$401,MATCH($A352,Реестр!$V$2:$V$401,0)))</f>
        <v/>
      </c>
      <c r="E352" s="21" t="str">
        <f aca="false">IF($A352="","",INDEX(Реестр!$R$2:$R$401,MATCH($A352,Реестр!$V$2:$V$401,0)))</f>
        <v/>
      </c>
      <c r="F352" s="24" t="str">
        <f aca="false">IF($A352="","",INDEX(Реестр!$U$2:$U$401,MATCH($A352,Реестр!$V$2:$V$401,0)))</f>
        <v/>
      </c>
    </row>
    <row r="353" customFormat="false" ht="15" hidden="false" customHeight="false" outlineLevel="0" collapsed="false">
      <c r="A353" s="21" t="str">
        <f aca="false">IF(ROWS(A$5:A353)&lt;=MAX(Реестр!$V$2:$V$401),ROWS(A$5:A353),"")</f>
        <v/>
      </c>
      <c r="B353" s="24" t="str">
        <f aca="false">IF($A353="","",INDEX(Реестр!$B$2:$B$401,MATCH($A353,Реестр!$V$2:$V$401,0)))</f>
        <v/>
      </c>
      <c r="C353" s="24" t="str">
        <f aca="false">IF($A353="","",INDEX(Реестр!$C$2:$C$401,MATCH($A353,Реестр!$V$2:$V$401,0)))</f>
        <v/>
      </c>
      <c r="D353" s="24" t="str">
        <f aca="false">IF($A353="","",INDEX(Реестр!$T$2:$T$401,MATCH($A353,Реестр!$V$2:$V$401,0)))</f>
        <v/>
      </c>
      <c r="E353" s="21" t="str">
        <f aca="false">IF($A353="","",INDEX(Реестр!$R$2:$R$401,MATCH($A353,Реестр!$V$2:$V$401,0)))</f>
        <v/>
      </c>
      <c r="F353" s="24" t="str">
        <f aca="false">IF($A353="","",INDEX(Реестр!$U$2:$U$401,MATCH($A353,Реестр!$V$2:$V$401,0)))</f>
        <v/>
      </c>
    </row>
    <row r="354" customFormat="false" ht="15" hidden="false" customHeight="false" outlineLevel="0" collapsed="false">
      <c r="A354" s="21" t="str">
        <f aca="false">IF(ROWS(A$5:A354)&lt;=MAX(Реестр!$V$2:$V$401),ROWS(A$5:A354),"")</f>
        <v/>
      </c>
      <c r="B354" s="24" t="str">
        <f aca="false">IF($A354="","",INDEX(Реестр!$B$2:$B$401,MATCH($A354,Реестр!$V$2:$V$401,0)))</f>
        <v/>
      </c>
      <c r="C354" s="24" t="str">
        <f aca="false">IF($A354="","",INDEX(Реестр!$C$2:$C$401,MATCH($A354,Реестр!$V$2:$V$401,0)))</f>
        <v/>
      </c>
      <c r="D354" s="24" t="str">
        <f aca="false">IF($A354="","",INDEX(Реестр!$T$2:$T$401,MATCH($A354,Реестр!$V$2:$V$401,0)))</f>
        <v/>
      </c>
      <c r="E354" s="21" t="str">
        <f aca="false">IF($A354="","",INDEX(Реестр!$R$2:$R$401,MATCH($A354,Реестр!$V$2:$V$401,0)))</f>
        <v/>
      </c>
      <c r="F354" s="24" t="str">
        <f aca="false">IF($A354="","",INDEX(Реестр!$U$2:$U$401,MATCH($A354,Реестр!$V$2:$V$401,0)))</f>
        <v/>
      </c>
    </row>
    <row r="355" customFormat="false" ht="15" hidden="false" customHeight="false" outlineLevel="0" collapsed="false">
      <c r="A355" s="21" t="str">
        <f aca="false">IF(ROWS(A$5:A355)&lt;=MAX(Реестр!$V$2:$V$401),ROWS(A$5:A355),"")</f>
        <v/>
      </c>
      <c r="B355" s="24" t="str">
        <f aca="false">IF($A355="","",INDEX(Реестр!$B$2:$B$401,MATCH($A355,Реестр!$V$2:$V$401,0)))</f>
        <v/>
      </c>
      <c r="C355" s="24" t="str">
        <f aca="false">IF($A355="","",INDEX(Реестр!$C$2:$C$401,MATCH($A355,Реестр!$V$2:$V$401,0)))</f>
        <v/>
      </c>
      <c r="D355" s="24" t="str">
        <f aca="false">IF($A355="","",INDEX(Реестр!$T$2:$T$401,MATCH($A355,Реестр!$V$2:$V$401,0)))</f>
        <v/>
      </c>
      <c r="E355" s="21" t="str">
        <f aca="false">IF($A355="","",INDEX(Реестр!$R$2:$R$401,MATCH($A355,Реестр!$V$2:$V$401,0)))</f>
        <v/>
      </c>
      <c r="F355" s="24" t="str">
        <f aca="false">IF($A355="","",INDEX(Реестр!$U$2:$U$401,MATCH($A355,Реестр!$V$2:$V$401,0)))</f>
        <v/>
      </c>
    </row>
    <row r="356" customFormat="false" ht="15" hidden="false" customHeight="false" outlineLevel="0" collapsed="false">
      <c r="A356" s="21" t="str">
        <f aca="false">IF(ROWS(A$5:A356)&lt;=MAX(Реестр!$V$2:$V$401),ROWS(A$5:A356),"")</f>
        <v/>
      </c>
      <c r="B356" s="24" t="str">
        <f aca="false">IF($A356="","",INDEX(Реестр!$B$2:$B$401,MATCH($A356,Реестр!$V$2:$V$401,0)))</f>
        <v/>
      </c>
      <c r="C356" s="24" t="str">
        <f aca="false">IF($A356="","",INDEX(Реестр!$C$2:$C$401,MATCH($A356,Реестр!$V$2:$V$401,0)))</f>
        <v/>
      </c>
      <c r="D356" s="24" t="str">
        <f aca="false">IF($A356="","",INDEX(Реестр!$T$2:$T$401,MATCH($A356,Реестр!$V$2:$V$401,0)))</f>
        <v/>
      </c>
      <c r="E356" s="21" t="str">
        <f aca="false">IF($A356="","",INDEX(Реестр!$R$2:$R$401,MATCH($A356,Реестр!$V$2:$V$401,0)))</f>
        <v/>
      </c>
      <c r="F356" s="24" t="str">
        <f aca="false">IF($A356="","",INDEX(Реестр!$U$2:$U$401,MATCH($A356,Реестр!$V$2:$V$401,0)))</f>
        <v/>
      </c>
    </row>
    <row r="357" customFormat="false" ht="15" hidden="false" customHeight="false" outlineLevel="0" collapsed="false">
      <c r="A357" s="21" t="str">
        <f aca="false">IF(ROWS(A$5:A357)&lt;=MAX(Реестр!$V$2:$V$401),ROWS(A$5:A357),"")</f>
        <v/>
      </c>
      <c r="B357" s="24" t="str">
        <f aca="false">IF($A357="","",INDEX(Реестр!$B$2:$B$401,MATCH($A357,Реестр!$V$2:$V$401,0)))</f>
        <v/>
      </c>
      <c r="C357" s="24" t="str">
        <f aca="false">IF($A357="","",INDEX(Реестр!$C$2:$C$401,MATCH($A357,Реестр!$V$2:$V$401,0)))</f>
        <v/>
      </c>
      <c r="D357" s="24" t="str">
        <f aca="false">IF($A357="","",INDEX(Реестр!$T$2:$T$401,MATCH($A357,Реестр!$V$2:$V$401,0)))</f>
        <v/>
      </c>
      <c r="E357" s="21" t="str">
        <f aca="false">IF($A357="","",INDEX(Реестр!$R$2:$R$401,MATCH($A357,Реестр!$V$2:$V$401,0)))</f>
        <v/>
      </c>
      <c r="F357" s="24" t="str">
        <f aca="false">IF($A357="","",INDEX(Реестр!$U$2:$U$401,MATCH($A357,Реестр!$V$2:$V$401,0)))</f>
        <v/>
      </c>
    </row>
    <row r="358" customFormat="false" ht="15" hidden="false" customHeight="false" outlineLevel="0" collapsed="false">
      <c r="A358" s="21" t="str">
        <f aca="false">IF(ROWS(A$5:A358)&lt;=MAX(Реестр!$V$2:$V$401),ROWS(A$5:A358),"")</f>
        <v/>
      </c>
      <c r="B358" s="24" t="str">
        <f aca="false">IF($A358="","",INDEX(Реестр!$B$2:$B$401,MATCH($A358,Реестр!$V$2:$V$401,0)))</f>
        <v/>
      </c>
      <c r="C358" s="24" t="str">
        <f aca="false">IF($A358="","",INDEX(Реестр!$C$2:$C$401,MATCH($A358,Реестр!$V$2:$V$401,0)))</f>
        <v/>
      </c>
      <c r="D358" s="24" t="str">
        <f aca="false">IF($A358="","",INDEX(Реестр!$T$2:$T$401,MATCH($A358,Реестр!$V$2:$V$401,0)))</f>
        <v/>
      </c>
      <c r="E358" s="21" t="str">
        <f aca="false">IF($A358="","",INDEX(Реестр!$R$2:$R$401,MATCH($A358,Реестр!$V$2:$V$401,0)))</f>
        <v/>
      </c>
      <c r="F358" s="24" t="str">
        <f aca="false">IF($A358="","",INDEX(Реестр!$U$2:$U$401,MATCH($A358,Реестр!$V$2:$V$401,0)))</f>
        <v/>
      </c>
    </row>
    <row r="359" customFormat="false" ht="15" hidden="false" customHeight="false" outlineLevel="0" collapsed="false">
      <c r="A359" s="21" t="str">
        <f aca="false">IF(ROWS(A$5:A359)&lt;=MAX(Реестр!$V$2:$V$401),ROWS(A$5:A359),"")</f>
        <v/>
      </c>
      <c r="B359" s="24" t="str">
        <f aca="false">IF($A359="","",INDEX(Реестр!$B$2:$B$401,MATCH($A359,Реестр!$V$2:$V$401,0)))</f>
        <v/>
      </c>
      <c r="C359" s="24" t="str">
        <f aca="false">IF($A359="","",INDEX(Реестр!$C$2:$C$401,MATCH($A359,Реестр!$V$2:$V$401,0)))</f>
        <v/>
      </c>
      <c r="D359" s="24" t="str">
        <f aca="false">IF($A359="","",INDEX(Реестр!$T$2:$T$401,MATCH($A359,Реестр!$V$2:$V$401,0)))</f>
        <v/>
      </c>
      <c r="E359" s="21" t="str">
        <f aca="false">IF($A359="","",INDEX(Реестр!$R$2:$R$401,MATCH($A359,Реестр!$V$2:$V$401,0)))</f>
        <v/>
      </c>
      <c r="F359" s="24" t="str">
        <f aca="false">IF($A359="","",INDEX(Реестр!$U$2:$U$401,MATCH($A359,Реестр!$V$2:$V$401,0)))</f>
        <v/>
      </c>
    </row>
    <row r="360" customFormat="false" ht="15" hidden="false" customHeight="false" outlineLevel="0" collapsed="false">
      <c r="A360" s="21" t="str">
        <f aca="false">IF(ROWS(A$5:A360)&lt;=MAX(Реестр!$V$2:$V$401),ROWS(A$5:A360),"")</f>
        <v/>
      </c>
      <c r="B360" s="24" t="str">
        <f aca="false">IF($A360="","",INDEX(Реестр!$B$2:$B$401,MATCH($A360,Реестр!$V$2:$V$401,0)))</f>
        <v/>
      </c>
      <c r="C360" s="24" t="str">
        <f aca="false">IF($A360="","",INDEX(Реестр!$C$2:$C$401,MATCH($A360,Реестр!$V$2:$V$401,0)))</f>
        <v/>
      </c>
      <c r="D360" s="24" t="str">
        <f aca="false">IF($A360="","",INDEX(Реестр!$T$2:$T$401,MATCH($A360,Реестр!$V$2:$V$401,0)))</f>
        <v/>
      </c>
      <c r="E360" s="21" t="str">
        <f aca="false">IF($A360="","",INDEX(Реестр!$R$2:$R$401,MATCH($A360,Реестр!$V$2:$V$401,0)))</f>
        <v/>
      </c>
      <c r="F360" s="24" t="str">
        <f aca="false">IF($A360="","",INDEX(Реестр!$U$2:$U$401,MATCH($A360,Реестр!$V$2:$V$401,0)))</f>
        <v/>
      </c>
    </row>
    <row r="361" customFormat="false" ht="15" hidden="false" customHeight="false" outlineLevel="0" collapsed="false">
      <c r="A361" s="21" t="str">
        <f aca="false">IF(ROWS(A$5:A361)&lt;=MAX(Реестр!$V$2:$V$401),ROWS(A$5:A361),"")</f>
        <v/>
      </c>
      <c r="B361" s="24" t="str">
        <f aca="false">IF($A361="","",INDEX(Реестр!$B$2:$B$401,MATCH($A361,Реестр!$V$2:$V$401,0)))</f>
        <v/>
      </c>
      <c r="C361" s="24" t="str">
        <f aca="false">IF($A361="","",INDEX(Реестр!$C$2:$C$401,MATCH($A361,Реестр!$V$2:$V$401,0)))</f>
        <v/>
      </c>
      <c r="D361" s="24" t="str">
        <f aca="false">IF($A361="","",INDEX(Реестр!$T$2:$T$401,MATCH($A361,Реестр!$V$2:$V$401,0)))</f>
        <v/>
      </c>
      <c r="E361" s="21" t="str">
        <f aca="false">IF($A361="","",INDEX(Реестр!$R$2:$R$401,MATCH($A361,Реестр!$V$2:$V$401,0)))</f>
        <v/>
      </c>
      <c r="F361" s="24" t="str">
        <f aca="false">IF($A361="","",INDEX(Реестр!$U$2:$U$401,MATCH($A361,Реестр!$V$2:$V$401,0)))</f>
        <v/>
      </c>
    </row>
    <row r="362" customFormat="false" ht="15" hidden="false" customHeight="false" outlineLevel="0" collapsed="false">
      <c r="A362" s="21" t="str">
        <f aca="false">IF(ROWS(A$5:A362)&lt;=MAX(Реестр!$V$2:$V$401),ROWS(A$5:A362),"")</f>
        <v/>
      </c>
      <c r="B362" s="24" t="str">
        <f aca="false">IF($A362="","",INDEX(Реестр!$B$2:$B$401,MATCH($A362,Реестр!$V$2:$V$401,0)))</f>
        <v/>
      </c>
      <c r="C362" s="24" t="str">
        <f aca="false">IF($A362="","",INDEX(Реестр!$C$2:$C$401,MATCH($A362,Реестр!$V$2:$V$401,0)))</f>
        <v/>
      </c>
      <c r="D362" s="24" t="str">
        <f aca="false">IF($A362="","",INDEX(Реестр!$T$2:$T$401,MATCH($A362,Реестр!$V$2:$V$401,0)))</f>
        <v/>
      </c>
      <c r="E362" s="21" t="str">
        <f aca="false">IF($A362="","",INDEX(Реестр!$R$2:$R$401,MATCH($A362,Реестр!$V$2:$V$401,0)))</f>
        <v/>
      </c>
      <c r="F362" s="24" t="str">
        <f aca="false">IF($A362="","",INDEX(Реестр!$U$2:$U$401,MATCH($A362,Реестр!$V$2:$V$401,0)))</f>
        <v/>
      </c>
    </row>
    <row r="363" customFormat="false" ht="15" hidden="false" customHeight="false" outlineLevel="0" collapsed="false">
      <c r="A363" s="21" t="str">
        <f aca="false">IF(ROWS(A$5:A363)&lt;=MAX(Реестр!$V$2:$V$401),ROWS(A$5:A363),"")</f>
        <v/>
      </c>
      <c r="B363" s="24" t="str">
        <f aca="false">IF($A363="","",INDEX(Реестр!$B$2:$B$401,MATCH($A363,Реестр!$V$2:$V$401,0)))</f>
        <v/>
      </c>
      <c r="C363" s="24" t="str">
        <f aca="false">IF($A363="","",INDEX(Реестр!$C$2:$C$401,MATCH($A363,Реестр!$V$2:$V$401,0)))</f>
        <v/>
      </c>
      <c r="D363" s="24" t="str">
        <f aca="false">IF($A363="","",INDEX(Реестр!$T$2:$T$401,MATCH($A363,Реестр!$V$2:$V$401,0)))</f>
        <v/>
      </c>
      <c r="E363" s="21" t="str">
        <f aca="false">IF($A363="","",INDEX(Реестр!$R$2:$R$401,MATCH($A363,Реестр!$V$2:$V$401,0)))</f>
        <v/>
      </c>
      <c r="F363" s="24" t="str">
        <f aca="false">IF($A363="","",INDEX(Реестр!$U$2:$U$401,MATCH($A363,Реестр!$V$2:$V$401,0)))</f>
        <v/>
      </c>
    </row>
    <row r="364" customFormat="false" ht="15" hidden="false" customHeight="false" outlineLevel="0" collapsed="false">
      <c r="A364" s="21" t="str">
        <f aca="false">IF(ROWS(A$5:A364)&lt;=MAX(Реестр!$V$2:$V$401),ROWS(A$5:A364),"")</f>
        <v/>
      </c>
      <c r="B364" s="24" t="str">
        <f aca="false">IF($A364="","",INDEX(Реестр!$B$2:$B$401,MATCH($A364,Реестр!$V$2:$V$401,0)))</f>
        <v/>
      </c>
      <c r="C364" s="24" t="str">
        <f aca="false">IF($A364="","",INDEX(Реестр!$C$2:$C$401,MATCH($A364,Реестр!$V$2:$V$401,0)))</f>
        <v/>
      </c>
      <c r="D364" s="24" t="str">
        <f aca="false">IF($A364="","",INDEX(Реестр!$T$2:$T$401,MATCH($A364,Реестр!$V$2:$V$401,0)))</f>
        <v/>
      </c>
      <c r="E364" s="21" t="str">
        <f aca="false">IF($A364="","",INDEX(Реестр!$R$2:$R$401,MATCH($A364,Реестр!$V$2:$V$401,0)))</f>
        <v/>
      </c>
      <c r="F364" s="24" t="str">
        <f aca="false">IF($A364="","",INDEX(Реестр!$U$2:$U$401,MATCH($A364,Реестр!$V$2:$V$401,0)))</f>
        <v/>
      </c>
    </row>
    <row r="365" customFormat="false" ht="15" hidden="false" customHeight="false" outlineLevel="0" collapsed="false">
      <c r="A365" s="21" t="str">
        <f aca="false">IF(ROWS(A$5:A365)&lt;=MAX(Реестр!$V$2:$V$401),ROWS(A$5:A365),"")</f>
        <v/>
      </c>
      <c r="B365" s="24" t="str">
        <f aca="false">IF($A365="","",INDEX(Реестр!$B$2:$B$401,MATCH($A365,Реестр!$V$2:$V$401,0)))</f>
        <v/>
      </c>
      <c r="C365" s="24" t="str">
        <f aca="false">IF($A365="","",INDEX(Реестр!$C$2:$C$401,MATCH($A365,Реестр!$V$2:$V$401,0)))</f>
        <v/>
      </c>
      <c r="D365" s="24" t="str">
        <f aca="false">IF($A365="","",INDEX(Реестр!$T$2:$T$401,MATCH($A365,Реестр!$V$2:$V$401,0)))</f>
        <v/>
      </c>
      <c r="E365" s="21" t="str">
        <f aca="false">IF($A365="","",INDEX(Реестр!$R$2:$R$401,MATCH($A365,Реестр!$V$2:$V$401,0)))</f>
        <v/>
      </c>
      <c r="F365" s="24" t="str">
        <f aca="false">IF($A365="","",INDEX(Реестр!$U$2:$U$401,MATCH($A365,Реестр!$V$2:$V$401,0)))</f>
        <v/>
      </c>
    </row>
    <row r="366" customFormat="false" ht="15" hidden="false" customHeight="false" outlineLevel="0" collapsed="false">
      <c r="A366" s="21" t="str">
        <f aca="false">IF(ROWS(A$5:A366)&lt;=MAX(Реестр!$V$2:$V$401),ROWS(A$5:A366),"")</f>
        <v/>
      </c>
      <c r="B366" s="24" t="str">
        <f aca="false">IF($A366="","",INDEX(Реестр!$B$2:$B$401,MATCH($A366,Реестр!$V$2:$V$401,0)))</f>
        <v/>
      </c>
      <c r="C366" s="24" t="str">
        <f aca="false">IF($A366="","",INDEX(Реестр!$C$2:$C$401,MATCH($A366,Реестр!$V$2:$V$401,0)))</f>
        <v/>
      </c>
      <c r="D366" s="24" t="str">
        <f aca="false">IF($A366="","",INDEX(Реестр!$T$2:$T$401,MATCH($A366,Реестр!$V$2:$V$401,0)))</f>
        <v/>
      </c>
      <c r="E366" s="21" t="str">
        <f aca="false">IF($A366="","",INDEX(Реестр!$R$2:$R$401,MATCH($A366,Реестр!$V$2:$V$401,0)))</f>
        <v/>
      </c>
      <c r="F366" s="24" t="str">
        <f aca="false">IF($A366="","",INDEX(Реестр!$U$2:$U$401,MATCH($A366,Реестр!$V$2:$V$401,0)))</f>
        <v/>
      </c>
    </row>
    <row r="367" customFormat="false" ht="15" hidden="false" customHeight="false" outlineLevel="0" collapsed="false">
      <c r="A367" s="21" t="str">
        <f aca="false">IF(ROWS(A$5:A367)&lt;=MAX(Реестр!$V$2:$V$401),ROWS(A$5:A367),"")</f>
        <v/>
      </c>
      <c r="B367" s="24" t="str">
        <f aca="false">IF($A367="","",INDEX(Реестр!$B$2:$B$401,MATCH($A367,Реестр!$V$2:$V$401,0)))</f>
        <v/>
      </c>
      <c r="C367" s="24" t="str">
        <f aca="false">IF($A367="","",INDEX(Реестр!$C$2:$C$401,MATCH($A367,Реестр!$V$2:$V$401,0)))</f>
        <v/>
      </c>
      <c r="D367" s="24" t="str">
        <f aca="false">IF($A367="","",INDEX(Реестр!$T$2:$T$401,MATCH($A367,Реестр!$V$2:$V$401,0)))</f>
        <v/>
      </c>
      <c r="E367" s="21" t="str">
        <f aca="false">IF($A367="","",INDEX(Реестр!$R$2:$R$401,MATCH($A367,Реестр!$V$2:$V$401,0)))</f>
        <v/>
      </c>
      <c r="F367" s="24" t="str">
        <f aca="false">IF($A367="","",INDEX(Реестр!$U$2:$U$401,MATCH($A367,Реестр!$V$2:$V$401,0)))</f>
        <v/>
      </c>
    </row>
    <row r="368" customFormat="false" ht="15" hidden="false" customHeight="false" outlineLevel="0" collapsed="false">
      <c r="A368" s="21" t="str">
        <f aca="false">IF(ROWS(A$5:A368)&lt;=MAX(Реестр!$V$2:$V$401),ROWS(A$5:A368),"")</f>
        <v/>
      </c>
      <c r="B368" s="24" t="str">
        <f aca="false">IF($A368="","",INDEX(Реестр!$B$2:$B$401,MATCH($A368,Реестр!$V$2:$V$401,0)))</f>
        <v/>
      </c>
      <c r="C368" s="24" t="str">
        <f aca="false">IF($A368="","",INDEX(Реестр!$C$2:$C$401,MATCH($A368,Реестр!$V$2:$V$401,0)))</f>
        <v/>
      </c>
      <c r="D368" s="24" t="str">
        <f aca="false">IF($A368="","",INDEX(Реестр!$T$2:$T$401,MATCH($A368,Реестр!$V$2:$V$401,0)))</f>
        <v/>
      </c>
      <c r="E368" s="21" t="str">
        <f aca="false">IF($A368="","",INDEX(Реестр!$R$2:$R$401,MATCH($A368,Реестр!$V$2:$V$401,0)))</f>
        <v/>
      </c>
      <c r="F368" s="24" t="str">
        <f aca="false">IF($A368="","",INDEX(Реестр!$U$2:$U$401,MATCH($A368,Реестр!$V$2:$V$401,0)))</f>
        <v/>
      </c>
    </row>
    <row r="369" customFormat="false" ht="15" hidden="false" customHeight="false" outlineLevel="0" collapsed="false">
      <c r="A369" s="21" t="str">
        <f aca="false">IF(ROWS(A$5:A369)&lt;=MAX(Реестр!$V$2:$V$401),ROWS(A$5:A369),"")</f>
        <v/>
      </c>
      <c r="B369" s="24" t="str">
        <f aca="false">IF($A369="","",INDEX(Реестр!$B$2:$B$401,MATCH($A369,Реестр!$V$2:$V$401,0)))</f>
        <v/>
      </c>
      <c r="C369" s="24" t="str">
        <f aca="false">IF($A369="","",INDEX(Реестр!$C$2:$C$401,MATCH($A369,Реестр!$V$2:$V$401,0)))</f>
        <v/>
      </c>
      <c r="D369" s="24" t="str">
        <f aca="false">IF($A369="","",INDEX(Реестр!$T$2:$T$401,MATCH($A369,Реестр!$V$2:$V$401,0)))</f>
        <v/>
      </c>
      <c r="E369" s="21" t="str">
        <f aca="false">IF($A369="","",INDEX(Реестр!$R$2:$R$401,MATCH($A369,Реестр!$V$2:$V$401,0)))</f>
        <v/>
      </c>
      <c r="F369" s="24" t="str">
        <f aca="false">IF($A369="","",INDEX(Реестр!$U$2:$U$401,MATCH($A369,Реестр!$V$2:$V$401,0)))</f>
        <v/>
      </c>
    </row>
    <row r="370" customFormat="false" ht="15" hidden="false" customHeight="false" outlineLevel="0" collapsed="false">
      <c r="A370" s="21" t="str">
        <f aca="false">IF(ROWS(A$5:A370)&lt;=MAX(Реестр!$V$2:$V$401),ROWS(A$5:A370),"")</f>
        <v/>
      </c>
      <c r="B370" s="24" t="str">
        <f aca="false">IF($A370="","",INDEX(Реестр!$B$2:$B$401,MATCH($A370,Реестр!$V$2:$V$401,0)))</f>
        <v/>
      </c>
      <c r="C370" s="24" t="str">
        <f aca="false">IF($A370="","",INDEX(Реестр!$C$2:$C$401,MATCH($A370,Реестр!$V$2:$V$401,0)))</f>
        <v/>
      </c>
      <c r="D370" s="24" t="str">
        <f aca="false">IF($A370="","",INDEX(Реестр!$T$2:$T$401,MATCH($A370,Реестр!$V$2:$V$401,0)))</f>
        <v/>
      </c>
      <c r="E370" s="21" t="str">
        <f aca="false">IF($A370="","",INDEX(Реестр!$R$2:$R$401,MATCH($A370,Реестр!$V$2:$V$401,0)))</f>
        <v/>
      </c>
      <c r="F370" s="24" t="str">
        <f aca="false">IF($A370="","",INDEX(Реестр!$U$2:$U$401,MATCH($A370,Реестр!$V$2:$V$401,0)))</f>
        <v/>
      </c>
    </row>
    <row r="371" customFormat="false" ht="15" hidden="false" customHeight="false" outlineLevel="0" collapsed="false">
      <c r="A371" s="21" t="str">
        <f aca="false">IF(ROWS(A$5:A371)&lt;=MAX(Реестр!$V$2:$V$401),ROWS(A$5:A371),"")</f>
        <v/>
      </c>
      <c r="B371" s="24" t="str">
        <f aca="false">IF($A371="","",INDEX(Реестр!$B$2:$B$401,MATCH($A371,Реестр!$V$2:$V$401,0)))</f>
        <v/>
      </c>
      <c r="C371" s="24" t="str">
        <f aca="false">IF($A371="","",INDEX(Реестр!$C$2:$C$401,MATCH($A371,Реестр!$V$2:$V$401,0)))</f>
        <v/>
      </c>
      <c r="D371" s="24" t="str">
        <f aca="false">IF($A371="","",INDEX(Реестр!$T$2:$T$401,MATCH($A371,Реестр!$V$2:$V$401,0)))</f>
        <v/>
      </c>
      <c r="E371" s="21" t="str">
        <f aca="false">IF($A371="","",INDEX(Реестр!$R$2:$R$401,MATCH($A371,Реестр!$V$2:$V$401,0)))</f>
        <v/>
      </c>
      <c r="F371" s="24" t="str">
        <f aca="false">IF($A371="","",INDEX(Реестр!$U$2:$U$401,MATCH($A371,Реестр!$V$2:$V$401,0)))</f>
        <v/>
      </c>
    </row>
    <row r="372" customFormat="false" ht="15" hidden="false" customHeight="false" outlineLevel="0" collapsed="false">
      <c r="A372" s="21" t="str">
        <f aca="false">IF(ROWS(A$5:A372)&lt;=MAX(Реестр!$V$2:$V$401),ROWS(A$5:A372),"")</f>
        <v/>
      </c>
      <c r="B372" s="24" t="str">
        <f aca="false">IF($A372="","",INDEX(Реестр!$B$2:$B$401,MATCH($A372,Реестр!$V$2:$V$401,0)))</f>
        <v/>
      </c>
      <c r="C372" s="24" t="str">
        <f aca="false">IF($A372="","",INDEX(Реестр!$C$2:$C$401,MATCH($A372,Реестр!$V$2:$V$401,0)))</f>
        <v/>
      </c>
      <c r="D372" s="24" t="str">
        <f aca="false">IF($A372="","",INDEX(Реестр!$T$2:$T$401,MATCH($A372,Реестр!$V$2:$V$401,0)))</f>
        <v/>
      </c>
      <c r="E372" s="21" t="str">
        <f aca="false">IF($A372="","",INDEX(Реестр!$R$2:$R$401,MATCH($A372,Реестр!$V$2:$V$401,0)))</f>
        <v/>
      </c>
      <c r="F372" s="24" t="str">
        <f aca="false">IF($A372="","",INDEX(Реестр!$U$2:$U$401,MATCH($A372,Реестр!$V$2:$V$401,0)))</f>
        <v/>
      </c>
    </row>
    <row r="373" customFormat="false" ht="15" hidden="false" customHeight="false" outlineLevel="0" collapsed="false">
      <c r="A373" s="21" t="str">
        <f aca="false">IF(ROWS(A$5:A373)&lt;=MAX(Реестр!$V$2:$V$401),ROWS(A$5:A373),"")</f>
        <v/>
      </c>
      <c r="B373" s="24" t="str">
        <f aca="false">IF($A373="","",INDEX(Реестр!$B$2:$B$401,MATCH($A373,Реестр!$V$2:$V$401,0)))</f>
        <v/>
      </c>
      <c r="C373" s="24" t="str">
        <f aca="false">IF($A373="","",INDEX(Реестр!$C$2:$C$401,MATCH($A373,Реестр!$V$2:$V$401,0)))</f>
        <v/>
      </c>
      <c r="D373" s="24" t="str">
        <f aca="false">IF($A373="","",INDEX(Реестр!$T$2:$T$401,MATCH($A373,Реестр!$V$2:$V$401,0)))</f>
        <v/>
      </c>
      <c r="E373" s="21" t="str">
        <f aca="false">IF($A373="","",INDEX(Реестр!$R$2:$R$401,MATCH($A373,Реестр!$V$2:$V$401,0)))</f>
        <v/>
      </c>
      <c r="F373" s="24" t="str">
        <f aca="false">IF($A373="","",INDEX(Реестр!$U$2:$U$401,MATCH($A373,Реестр!$V$2:$V$401,0)))</f>
        <v/>
      </c>
    </row>
    <row r="374" customFormat="false" ht="15" hidden="false" customHeight="false" outlineLevel="0" collapsed="false">
      <c r="A374" s="21" t="str">
        <f aca="false">IF(ROWS(A$5:A374)&lt;=MAX(Реестр!$V$2:$V$401),ROWS(A$5:A374),"")</f>
        <v/>
      </c>
      <c r="B374" s="24" t="str">
        <f aca="false">IF($A374="","",INDEX(Реестр!$B$2:$B$401,MATCH($A374,Реестр!$V$2:$V$401,0)))</f>
        <v/>
      </c>
      <c r="C374" s="24" t="str">
        <f aca="false">IF($A374="","",INDEX(Реестр!$C$2:$C$401,MATCH($A374,Реестр!$V$2:$V$401,0)))</f>
        <v/>
      </c>
      <c r="D374" s="24" t="str">
        <f aca="false">IF($A374="","",INDEX(Реестр!$T$2:$T$401,MATCH($A374,Реестр!$V$2:$V$401,0)))</f>
        <v/>
      </c>
      <c r="E374" s="21" t="str">
        <f aca="false">IF($A374="","",INDEX(Реестр!$R$2:$R$401,MATCH($A374,Реестр!$V$2:$V$401,0)))</f>
        <v/>
      </c>
      <c r="F374" s="24" t="str">
        <f aca="false">IF($A374="","",INDEX(Реестр!$U$2:$U$401,MATCH($A374,Реестр!$V$2:$V$401,0)))</f>
        <v/>
      </c>
    </row>
    <row r="375" customFormat="false" ht="15" hidden="false" customHeight="false" outlineLevel="0" collapsed="false">
      <c r="A375" s="21" t="str">
        <f aca="false">IF(ROWS(A$5:A375)&lt;=MAX(Реестр!$V$2:$V$401),ROWS(A$5:A375),"")</f>
        <v/>
      </c>
      <c r="B375" s="24" t="str">
        <f aca="false">IF($A375="","",INDEX(Реестр!$B$2:$B$401,MATCH($A375,Реестр!$V$2:$V$401,0)))</f>
        <v/>
      </c>
      <c r="C375" s="24" t="str">
        <f aca="false">IF($A375="","",INDEX(Реестр!$C$2:$C$401,MATCH($A375,Реестр!$V$2:$V$401,0)))</f>
        <v/>
      </c>
      <c r="D375" s="24" t="str">
        <f aca="false">IF($A375="","",INDEX(Реестр!$T$2:$T$401,MATCH($A375,Реестр!$V$2:$V$401,0)))</f>
        <v/>
      </c>
      <c r="E375" s="21" t="str">
        <f aca="false">IF($A375="","",INDEX(Реестр!$R$2:$R$401,MATCH($A375,Реестр!$V$2:$V$401,0)))</f>
        <v/>
      </c>
      <c r="F375" s="24" t="str">
        <f aca="false">IF($A375="","",INDEX(Реестр!$U$2:$U$401,MATCH($A375,Реестр!$V$2:$V$401,0)))</f>
        <v/>
      </c>
    </row>
    <row r="376" customFormat="false" ht="15" hidden="false" customHeight="false" outlineLevel="0" collapsed="false">
      <c r="A376" s="21" t="str">
        <f aca="false">IF(ROWS(A$5:A376)&lt;=MAX(Реестр!$V$2:$V$401),ROWS(A$5:A376),"")</f>
        <v/>
      </c>
      <c r="B376" s="24" t="str">
        <f aca="false">IF($A376="","",INDEX(Реестр!$B$2:$B$401,MATCH($A376,Реестр!$V$2:$V$401,0)))</f>
        <v/>
      </c>
      <c r="C376" s="24" t="str">
        <f aca="false">IF($A376="","",INDEX(Реестр!$C$2:$C$401,MATCH($A376,Реестр!$V$2:$V$401,0)))</f>
        <v/>
      </c>
      <c r="D376" s="24" t="str">
        <f aca="false">IF($A376="","",INDEX(Реестр!$T$2:$T$401,MATCH($A376,Реестр!$V$2:$V$401,0)))</f>
        <v/>
      </c>
      <c r="E376" s="21" t="str">
        <f aca="false">IF($A376="","",INDEX(Реестр!$R$2:$R$401,MATCH($A376,Реестр!$V$2:$V$401,0)))</f>
        <v/>
      </c>
      <c r="F376" s="24" t="str">
        <f aca="false">IF($A376="","",INDEX(Реестр!$U$2:$U$401,MATCH($A376,Реестр!$V$2:$V$401,0)))</f>
        <v/>
      </c>
    </row>
    <row r="377" customFormat="false" ht="15" hidden="false" customHeight="false" outlineLevel="0" collapsed="false">
      <c r="A377" s="21" t="str">
        <f aca="false">IF(ROWS(A$5:A377)&lt;=MAX(Реестр!$V$2:$V$401),ROWS(A$5:A377),"")</f>
        <v/>
      </c>
      <c r="B377" s="24" t="str">
        <f aca="false">IF($A377="","",INDEX(Реестр!$B$2:$B$401,MATCH($A377,Реестр!$V$2:$V$401,0)))</f>
        <v/>
      </c>
      <c r="C377" s="24" t="str">
        <f aca="false">IF($A377="","",INDEX(Реестр!$C$2:$C$401,MATCH($A377,Реестр!$V$2:$V$401,0)))</f>
        <v/>
      </c>
      <c r="D377" s="24" t="str">
        <f aca="false">IF($A377="","",INDEX(Реестр!$T$2:$T$401,MATCH($A377,Реестр!$V$2:$V$401,0)))</f>
        <v/>
      </c>
      <c r="E377" s="21" t="str">
        <f aca="false">IF($A377="","",INDEX(Реестр!$R$2:$R$401,MATCH($A377,Реестр!$V$2:$V$401,0)))</f>
        <v/>
      </c>
      <c r="F377" s="24" t="str">
        <f aca="false">IF($A377="","",INDEX(Реестр!$U$2:$U$401,MATCH($A377,Реестр!$V$2:$V$401,0)))</f>
        <v/>
      </c>
    </row>
    <row r="378" customFormat="false" ht="15" hidden="false" customHeight="false" outlineLevel="0" collapsed="false">
      <c r="A378" s="21" t="str">
        <f aca="false">IF(ROWS(A$5:A378)&lt;=MAX(Реестр!$V$2:$V$401),ROWS(A$5:A378),"")</f>
        <v/>
      </c>
      <c r="B378" s="24" t="str">
        <f aca="false">IF($A378="","",INDEX(Реестр!$B$2:$B$401,MATCH($A378,Реестр!$V$2:$V$401,0)))</f>
        <v/>
      </c>
      <c r="C378" s="24" t="str">
        <f aca="false">IF($A378="","",INDEX(Реестр!$C$2:$C$401,MATCH($A378,Реестр!$V$2:$V$401,0)))</f>
        <v/>
      </c>
      <c r="D378" s="24" t="str">
        <f aca="false">IF($A378="","",INDEX(Реестр!$T$2:$T$401,MATCH($A378,Реестр!$V$2:$V$401,0)))</f>
        <v/>
      </c>
      <c r="E378" s="21" t="str">
        <f aca="false">IF($A378="","",INDEX(Реестр!$R$2:$R$401,MATCH($A378,Реестр!$V$2:$V$401,0)))</f>
        <v/>
      </c>
      <c r="F378" s="24" t="str">
        <f aca="false">IF($A378="","",INDEX(Реестр!$U$2:$U$401,MATCH($A378,Реестр!$V$2:$V$401,0)))</f>
        <v/>
      </c>
    </row>
    <row r="379" customFormat="false" ht="15" hidden="false" customHeight="false" outlineLevel="0" collapsed="false">
      <c r="A379" s="21" t="str">
        <f aca="false">IF(ROWS(A$5:A379)&lt;=MAX(Реестр!$V$2:$V$401),ROWS(A$5:A379),"")</f>
        <v/>
      </c>
      <c r="B379" s="24" t="str">
        <f aca="false">IF($A379="","",INDEX(Реестр!$B$2:$B$401,MATCH($A379,Реестр!$V$2:$V$401,0)))</f>
        <v/>
      </c>
      <c r="C379" s="24" t="str">
        <f aca="false">IF($A379="","",INDEX(Реестр!$C$2:$C$401,MATCH($A379,Реестр!$V$2:$V$401,0)))</f>
        <v/>
      </c>
      <c r="D379" s="24" t="str">
        <f aca="false">IF($A379="","",INDEX(Реестр!$T$2:$T$401,MATCH($A379,Реестр!$V$2:$V$401,0)))</f>
        <v/>
      </c>
      <c r="E379" s="21" t="str">
        <f aca="false">IF($A379="","",INDEX(Реестр!$R$2:$R$401,MATCH($A379,Реестр!$V$2:$V$401,0)))</f>
        <v/>
      </c>
      <c r="F379" s="24" t="str">
        <f aca="false">IF($A379="","",INDEX(Реестр!$U$2:$U$401,MATCH($A379,Реестр!$V$2:$V$401,0)))</f>
        <v/>
      </c>
    </row>
    <row r="380" customFormat="false" ht="15" hidden="false" customHeight="false" outlineLevel="0" collapsed="false">
      <c r="A380" s="21" t="str">
        <f aca="false">IF(ROWS(A$5:A380)&lt;=MAX(Реестр!$V$2:$V$401),ROWS(A$5:A380),"")</f>
        <v/>
      </c>
      <c r="B380" s="24" t="str">
        <f aca="false">IF($A380="","",INDEX(Реестр!$B$2:$B$401,MATCH($A380,Реестр!$V$2:$V$401,0)))</f>
        <v/>
      </c>
      <c r="C380" s="24" t="str">
        <f aca="false">IF($A380="","",INDEX(Реестр!$C$2:$C$401,MATCH($A380,Реестр!$V$2:$V$401,0)))</f>
        <v/>
      </c>
      <c r="D380" s="24" t="str">
        <f aca="false">IF($A380="","",INDEX(Реестр!$T$2:$T$401,MATCH($A380,Реестр!$V$2:$V$401,0)))</f>
        <v/>
      </c>
      <c r="E380" s="21" t="str">
        <f aca="false">IF($A380="","",INDEX(Реестр!$R$2:$R$401,MATCH($A380,Реестр!$V$2:$V$401,0)))</f>
        <v/>
      </c>
      <c r="F380" s="24" t="str">
        <f aca="false">IF($A380="","",INDEX(Реестр!$U$2:$U$401,MATCH($A380,Реестр!$V$2:$V$401,0)))</f>
        <v/>
      </c>
    </row>
    <row r="381" customFormat="false" ht="15" hidden="false" customHeight="false" outlineLevel="0" collapsed="false">
      <c r="A381" s="21" t="str">
        <f aca="false">IF(ROWS(A$5:A381)&lt;=MAX(Реестр!$V$2:$V$401),ROWS(A$5:A381),"")</f>
        <v/>
      </c>
      <c r="B381" s="24" t="str">
        <f aca="false">IF($A381="","",INDEX(Реестр!$B$2:$B$401,MATCH($A381,Реестр!$V$2:$V$401,0)))</f>
        <v/>
      </c>
      <c r="C381" s="24" t="str">
        <f aca="false">IF($A381="","",INDEX(Реестр!$C$2:$C$401,MATCH($A381,Реестр!$V$2:$V$401,0)))</f>
        <v/>
      </c>
      <c r="D381" s="24" t="str">
        <f aca="false">IF($A381="","",INDEX(Реестр!$T$2:$T$401,MATCH($A381,Реестр!$V$2:$V$401,0)))</f>
        <v/>
      </c>
      <c r="E381" s="21" t="str">
        <f aca="false">IF($A381="","",INDEX(Реестр!$R$2:$R$401,MATCH($A381,Реестр!$V$2:$V$401,0)))</f>
        <v/>
      </c>
      <c r="F381" s="24" t="str">
        <f aca="false">IF($A381="","",INDEX(Реестр!$U$2:$U$401,MATCH($A381,Реестр!$V$2:$V$401,0)))</f>
        <v/>
      </c>
    </row>
    <row r="382" customFormat="false" ht="15" hidden="false" customHeight="false" outlineLevel="0" collapsed="false">
      <c r="A382" s="21" t="str">
        <f aca="false">IF(ROWS(A$5:A382)&lt;=MAX(Реестр!$V$2:$V$401),ROWS(A$5:A382),"")</f>
        <v/>
      </c>
      <c r="B382" s="24" t="str">
        <f aca="false">IF($A382="","",INDEX(Реестр!$B$2:$B$401,MATCH($A382,Реестр!$V$2:$V$401,0)))</f>
        <v/>
      </c>
      <c r="C382" s="24" t="str">
        <f aca="false">IF($A382="","",INDEX(Реестр!$C$2:$C$401,MATCH($A382,Реестр!$V$2:$V$401,0)))</f>
        <v/>
      </c>
      <c r="D382" s="24" t="str">
        <f aca="false">IF($A382="","",INDEX(Реестр!$T$2:$T$401,MATCH($A382,Реестр!$V$2:$V$401,0)))</f>
        <v/>
      </c>
      <c r="E382" s="21" t="str">
        <f aca="false">IF($A382="","",INDEX(Реестр!$R$2:$R$401,MATCH($A382,Реестр!$V$2:$V$401,0)))</f>
        <v/>
      </c>
      <c r="F382" s="24" t="str">
        <f aca="false">IF($A382="","",INDEX(Реестр!$U$2:$U$401,MATCH($A382,Реестр!$V$2:$V$401,0)))</f>
        <v/>
      </c>
    </row>
    <row r="383" customFormat="false" ht="15" hidden="false" customHeight="false" outlineLevel="0" collapsed="false">
      <c r="A383" s="21" t="str">
        <f aca="false">IF(ROWS(A$5:A383)&lt;=MAX(Реестр!$V$2:$V$401),ROWS(A$5:A383),"")</f>
        <v/>
      </c>
      <c r="B383" s="24" t="str">
        <f aca="false">IF($A383="","",INDEX(Реестр!$B$2:$B$401,MATCH($A383,Реестр!$V$2:$V$401,0)))</f>
        <v/>
      </c>
      <c r="C383" s="24" t="str">
        <f aca="false">IF($A383="","",INDEX(Реестр!$C$2:$C$401,MATCH($A383,Реестр!$V$2:$V$401,0)))</f>
        <v/>
      </c>
      <c r="D383" s="24" t="str">
        <f aca="false">IF($A383="","",INDEX(Реестр!$T$2:$T$401,MATCH($A383,Реестр!$V$2:$V$401,0)))</f>
        <v/>
      </c>
      <c r="E383" s="21" t="str">
        <f aca="false">IF($A383="","",INDEX(Реестр!$R$2:$R$401,MATCH($A383,Реестр!$V$2:$V$401,0)))</f>
        <v/>
      </c>
      <c r="F383" s="24" t="str">
        <f aca="false">IF($A383="","",INDEX(Реестр!$U$2:$U$401,MATCH($A383,Реестр!$V$2:$V$401,0)))</f>
        <v/>
      </c>
    </row>
    <row r="384" customFormat="false" ht="15" hidden="false" customHeight="false" outlineLevel="0" collapsed="false">
      <c r="A384" s="21" t="str">
        <f aca="false">IF(ROWS(A$5:A384)&lt;=MAX(Реестр!$V$2:$V$401),ROWS(A$5:A384),"")</f>
        <v/>
      </c>
      <c r="B384" s="24" t="str">
        <f aca="false">IF($A384="","",INDEX(Реестр!$B$2:$B$401,MATCH($A384,Реестр!$V$2:$V$401,0)))</f>
        <v/>
      </c>
      <c r="C384" s="24" t="str">
        <f aca="false">IF($A384="","",INDEX(Реестр!$C$2:$C$401,MATCH($A384,Реестр!$V$2:$V$401,0)))</f>
        <v/>
      </c>
      <c r="D384" s="24" t="str">
        <f aca="false">IF($A384="","",INDEX(Реестр!$T$2:$T$401,MATCH($A384,Реестр!$V$2:$V$401,0)))</f>
        <v/>
      </c>
      <c r="E384" s="21" t="str">
        <f aca="false">IF($A384="","",INDEX(Реестр!$R$2:$R$401,MATCH($A384,Реестр!$V$2:$V$401,0)))</f>
        <v/>
      </c>
      <c r="F384" s="24" t="str">
        <f aca="false">IF($A384="","",INDEX(Реестр!$U$2:$U$401,MATCH($A384,Реестр!$V$2:$V$401,0)))</f>
        <v/>
      </c>
    </row>
    <row r="385" customFormat="false" ht="15" hidden="false" customHeight="false" outlineLevel="0" collapsed="false">
      <c r="A385" s="21" t="str">
        <f aca="false">IF(ROWS(A$5:A385)&lt;=MAX(Реестр!$V$2:$V$401),ROWS(A$5:A385),"")</f>
        <v/>
      </c>
      <c r="B385" s="24" t="str">
        <f aca="false">IF($A385="","",INDEX(Реестр!$B$2:$B$401,MATCH($A385,Реестр!$V$2:$V$401,0)))</f>
        <v/>
      </c>
      <c r="C385" s="24" t="str">
        <f aca="false">IF($A385="","",INDEX(Реестр!$C$2:$C$401,MATCH($A385,Реестр!$V$2:$V$401,0)))</f>
        <v/>
      </c>
      <c r="D385" s="24" t="str">
        <f aca="false">IF($A385="","",INDEX(Реестр!$T$2:$T$401,MATCH($A385,Реестр!$V$2:$V$401,0)))</f>
        <v/>
      </c>
      <c r="E385" s="21" t="str">
        <f aca="false">IF($A385="","",INDEX(Реестр!$R$2:$R$401,MATCH($A385,Реестр!$V$2:$V$401,0)))</f>
        <v/>
      </c>
      <c r="F385" s="24" t="str">
        <f aca="false">IF($A385="","",INDEX(Реестр!$U$2:$U$401,MATCH($A385,Реестр!$V$2:$V$401,0)))</f>
        <v/>
      </c>
    </row>
    <row r="386" customFormat="false" ht="15" hidden="false" customHeight="false" outlineLevel="0" collapsed="false">
      <c r="A386" s="21" t="str">
        <f aca="false">IF(ROWS(A$5:A386)&lt;=MAX(Реестр!$V$2:$V$401),ROWS(A$5:A386),"")</f>
        <v/>
      </c>
      <c r="B386" s="24" t="str">
        <f aca="false">IF($A386="","",INDEX(Реестр!$B$2:$B$401,MATCH($A386,Реестр!$V$2:$V$401,0)))</f>
        <v/>
      </c>
      <c r="C386" s="24" t="str">
        <f aca="false">IF($A386="","",INDEX(Реестр!$C$2:$C$401,MATCH($A386,Реестр!$V$2:$V$401,0)))</f>
        <v/>
      </c>
      <c r="D386" s="24" t="str">
        <f aca="false">IF($A386="","",INDEX(Реестр!$T$2:$T$401,MATCH($A386,Реестр!$V$2:$V$401,0)))</f>
        <v/>
      </c>
      <c r="E386" s="21" t="str">
        <f aca="false">IF($A386="","",INDEX(Реестр!$R$2:$R$401,MATCH($A386,Реестр!$V$2:$V$401,0)))</f>
        <v/>
      </c>
      <c r="F386" s="24" t="str">
        <f aca="false">IF($A386="","",INDEX(Реестр!$U$2:$U$401,MATCH($A386,Реестр!$V$2:$V$401,0)))</f>
        <v/>
      </c>
    </row>
    <row r="387" customFormat="false" ht="15" hidden="false" customHeight="false" outlineLevel="0" collapsed="false">
      <c r="A387" s="21" t="str">
        <f aca="false">IF(ROWS(A$5:A387)&lt;=MAX(Реестр!$V$2:$V$401),ROWS(A$5:A387),"")</f>
        <v/>
      </c>
      <c r="B387" s="24" t="str">
        <f aca="false">IF($A387="","",INDEX(Реестр!$B$2:$B$401,MATCH($A387,Реестр!$V$2:$V$401,0)))</f>
        <v/>
      </c>
      <c r="C387" s="24" t="str">
        <f aca="false">IF($A387="","",INDEX(Реестр!$C$2:$C$401,MATCH($A387,Реестр!$V$2:$V$401,0)))</f>
        <v/>
      </c>
      <c r="D387" s="24" t="str">
        <f aca="false">IF($A387="","",INDEX(Реестр!$T$2:$T$401,MATCH($A387,Реестр!$V$2:$V$401,0)))</f>
        <v/>
      </c>
      <c r="E387" s="21" t="str">
        <f aca="false">IF($A387="","",INDEX(Реестр!$R$2:$R$401,MATCH($A387,Реестр!$V$2:$V$401,0)))</f>
        <v/>
      </c>
      <c r="F387" s="24" t="str">
        <f aca="false">IF($A387="","",INDEX(Реестр!$U$2:$U$401,MATCH($A387,Реестр!$V$2:$V$401,0)))</f>
        <v/>
      </c>
    </row>
    <row r="388" customFormat="false" ht="15" hidden="false" customHeight="false" outlineLevel="0" collapsed="false">
      <c r="A388" s="21" t="str">
        <f aca="false">IF(ROWS(A$5:A388)&lt;=MAX(Реестр!$V$2:$V$401),ROWS(A$5:A388),"")</f>
        <v/>
      </c>
      <c r="B388" s="24" t="str">
        <f aca="false">IF($A388="","",INDEX(Реестр!$B$2:$B$401,MATCH($A388,Реестр!$V$2:$V$401,0)))</f>
        <v/>
      </c>
      <c r="C388" s="24" t="str">
        <f aca="false">IF($A388="","",INDEX(Реестр!$C$2:$C$401,MATCH($A388,Реестр!$V$2:$V$401,0)))</f>
        <v/>
      </c>
      <c r="D388" s="24" t="str">
        <f aca="false">IF($A388="","",INDEX(Реестр!$T$2:$T$401,MATCH($A388,Реестр!$V$2:$V$401,0)))</f>
        <v/>
      </c>
      <c r="E388" s="21" t="str">
        <f aca="false">IF($A388="","",INDEX(Реестр!$R$2:$R$401,MATCH($A388,Реестр!$V$2:$V$401,0)))</f>
        <v/>
      </c>
      <c r="F388" s="24" t="str">
        <f aca="false">IF($A388="","",INDEX(Реестр!$U$2:$U$401,MATCH($A388,Реестр!$V$2:$V$401,0)))</f>
        <v/>
      </c>
    </row>
    <row r="389" customFormat="false" ht="15" hidden="false" customHeight="false" outlineLevel="0" collapsed="false">
      <c r="A389" s="21" t="str">
        <f aca="false">IF(ROWS(A$5:A389)&lt;=MAX(Реестр!$V$2:$V$401),ROWS(A$5:A389),"")</f>
        <v/>
      </c>
      <c r="B389" s="24" t="str">
        <f aca="false">IF($A389="","",INDEX(Реестр!$B$2:$B$401,MATCH($A389,Реестр!$V$2:$V$401,0)))</f>
        <v/>
      </c>
      <c r="C389" s="24" t="str">
        <f aca="false">IF($A389="","",INDEX(Реестр!$C$2:$C$401,MATCH($A389,Реестр!$V$2:$V$401,0)))</f>
        <v/>
      </c>
      <c r="D389" s="24" t="str">
        <f aca="false">IF($A389="","",INDEX(Реестр!$T$2:$T$401,MATCH($A389,Реестр!$V$2:$V$401,0)))</f>
        <v/>
      </c>
      <c r="E389" s="21" t="str">
        <f aca="false">IF($A389="","",INDEX(Реестр!$R$2:$R$401,MATCH($A389,Реестр!$V$2:$V$401,0)))</f>
        <v/>
      </c>
      <c r="F389" s="24" t="str">
        <f aca="false">IF($A389="","",INDEX(Реестр!$U$2:$U$401,MATCH($A389,Реестр!$V$2:$V$401,0)))</f>
        <v/>
      </c>
    </row>
    <row r="390" customFormat="false" ht="15" hidden="false" customHeight="false" outlineLevel="0" collapsed="false">
      <c r="A390" s="21" t="str">
        <f aca="false">IF(ROWS(A$5:A390)&lt;=MAX(Реестр!$V$2:$V$401),ROWS(A$5:A390),"")</f>
        <v/>
      </c>
      <c r="B390" s="24" t="str">
        <f aca="false">IF($A390="","",INDEX(Реестр!$B$2:$B$401,MATCH($A390,Реестр!$V$2:$V$401,0)))</f>
        <v/>
      </c>
      <c r="C390" s="24" t="str">
        <f aca="false">IF($A390="","",INDEX(Реестр!$C$2:$C$401,MATCH($A390,Реестр!$V$2:$V$401,0)))</f>
        <v/>
      </c>
      <c r="D390" s="24" t="str">
        <f aca="false">IF($A390="","",INDEX(Реестр!$T$2:$T$401,MATCH($A390,Реестр!$V$2:$V$401,0)))</f>
        <v/>
      </c>
      <c r="E390" s="21" t="str">
        <f aca="false">IF($A390="","",INDEX(Реестр!$R$2:$R$401,MATCH($A390,Реестр!$V$2:$V$401,0)))</f>
        <v/>
      </c>
      <c r="F390" s="24" t="str">
        <f aca="false">IF($A390="","",INDEX(Реестр!$U$2:$U$401,MATCH($A390,Реестр!$V$2:$V$401,0)))</f>
        <v/>
      </c>
    </row>
    <row r="391" customFormat="false" ht="15" hidden="false" customHeight="false" outlineLevel="0" collapsed="false">
      <c r="A391" s="21" t="str">
        <f aca="false">IF(ROWS(A$5:A391)&lt;=MAX(Реестр!$V$2:$V$401),ROWS(A$5:A391),"")</f>
        <v/>
      </c>
      <c r="B391" s="24" t="str">
        <f aca="false">IF($A391="","",INDEX(Реестр!$B$2:$B$401,MATCH($A391,Реестр!$V$2:$V$401,0)))</f>
        <v/>
      </c>
      <c r="C391" s="24" t="str">
        <f aca="false">IF($A391="","",INDEX(Реестр!$C$2:$C$401,MATCH($A391,Реестр!$V$2:$V$401,0)))</f>
        <v/>
      </c>
      <c r="D391" s="24" t="str">
        <f aca="false">IF($A391="","",INDEX(Реестр!$T$2:$T$401,MATCH($A391,Реестр!$V$2:$V$401,0)))</f>
        <v/>
      </c>
      <c r="E391" s="21" t="str">
        <f aca="false">IF($A391="","",INDEX(Реестр!$R$2:$R$401,MATCH($A391,Реестр!$V$2:$V$401,0)))</f>
        <v/>
      </c>
      <c r="F391" s="24" t="str">
        <f aca="false">IF($A391="","",INDEX(Реестр!$U$2:$U$401,MATCH($A391,Реестр!$V$2:$V$401,0)))</f>
        <v/>
      </c>
    </row>
    <row r="392" customFormat="false" ht="15" hidden="false" customHeight="false" outlineLevel="0" collapsed="false">
      <c r="A392" s="21" t="str">
        <f aca="false">IF(ROWS(A$5:A392)&lt;=MAX(Реестр!$V$2:$V$401),ROWS(A$5:A392),"")</f>
        <v/>
      </c>
      <c r="B392" s="24" t="str">
        <f aca="false">IF($A392="","",INDEX(Реестр!$B$2:$B$401,MATCH($A392,Реестр!$V$2:$V$401,0)))</f>
        <v/>
      </c>
      <c r="C392" s="24" t="str">
        <f aca="false">IF($A392="","",INDEX(Реестр!$C$2:$C$401,MATCH($A392,Реестр!$V$2:$V$401,0)))</f>
        <v/>
      </c>
      <c r="D392" s="24" t="str">
        <f aca="false">IF($A392="","",INDEX(Реестр!$T$2:$T$401,MATCH($A392,Реестр!$V$2:$V$401,0)))</f>
        <v/>
      </c>
      <c r="E392" s="21" t="str">
        <f aca="false">IF($A392="","",INDEX(Реестр!$R$2:$R$401,MATCH($A392,Реестр!$V$2:$V$401,0)))</f>
        <v/>
      </c>
      <c r="F392" s="24" t="str">
        <f aca="false">IF($A392="","",INDEX(Реестр!$U$2:$U$401,MATCH($A392,Реестр!$V$2:$V$401,0)))</f>
        <v/>
      </c>
    </row>
    <row r="393" customFormat="false" ht="15" hidden="false" customHeight="false" outlineLevel="0" collapsed="false">
      <c r="A393" s="21" t="str">
        <f aca="false">IF(ROWS(A$5:A393)&lt;=MAX(Реестр!$V$2:$V$401),ROWS(A$5:A393),"")</f>
        <v/>
      </c>
      <c r="B393" s="24" t="str">
        <f aca="false">IF($A393="","",INDEX(Реестр!$B$2:$B$401,MATCH($A393,Реестр!$V$2:$V$401,0)))</f>
        <v/>
      </c>
      <c r="C393" s="24" t="str">
        <f aca="false">IF($A393="","",INDEX(Реестр!$C$2:$C$401,MATCH($A393,Реестр!$V$2:$V$401,0)))</f>
        <v/>
      </c>
      <c r="D393" s="24" t="str">
        <f aca="false">IF($A393="","",INDEX(Реестр!$T$2:$T$401,MATCH($A393,Реестр!$V$2:$V$401,0)))</f>
        <v/>
      </c>
      <c r="E393" s="21" t="str">
        <f aca="false">IF($A393="","",INDEX(Реестр!$R$2:$R$401,MATCH($A393,Реестр!$V$2:$V$401,0)))</f>
        <v/>
      </c>
      <c r="F393" s="24" t="str">
        <f aca="false">IF($A393="","",INDEX(Реестр!$U$2:$U$401,MATCH($A393,Реестр!$V$2:$V$401,0)))</f>
        <v/>
      </c>
    </row>
    <row r="394" customFormat="false" ht="15" hidden="false" customHeight="false" outlineLevel="0" collapsed="false">
      <c r="A394" s="21" t="str">
        <f aca="false">IF(ROWS(A$5:A394)&lt;=MAX(Реестр!$V$2:$V$401),ROWS(A$5:A394),"")</f>
        <v/>
      </c>
      <c r="B394" s="24" t="str">
        <f aca="false">IF($A394="","",INDEX(Реестр!$B$2:$B$401,MATCH($A394,Реестр!$V$2:$V$401,0)))</f>
        <v/>
      </c>
      <c r="C394" s="24" t="str">
        <f aca="false">IF($A394="","",INDEX(Реестр!$C$2:$C$401,MATCH($A394,Реестр!$V$2:$V$401,0)))</f>
        <v/>
      </c>
      <c r="D394" s="24" t="str">
        <f aca="false">IF($A394="","",INDEX(Реестр!$T$2:$T$401,MATCH($A394,Реестр!$V$2:$V$401,0)))</f>
        <v/>
      </c>
      <c r="E394" s="21" t="str">
        <f aca="false">IF($A394="","",INDEX(Реестр!$R$2:$R$401,MATCH($A394,Реестр!$V$2:$V$401,0)))</f>
        <v/>
      </c>
      <c r="F394" s="24" t="str">
        <f aca="false">IF($A394="","",INDEX(Реестр!$U$2:$U$401,MATCH($A394,Реестр!$V$2:$V$401,0)))</f>
        <v/>
      </c>
    </row>
    <row r="395" customFormat="false" ht="15" hidden="false" customHeight="false" outlineLevel="0" collapsed="false">
      <c r="A395" s="21" t="str">
        <f aca="false">IF(ROWS(A$5:A395)&lt;=MAX(Реестр!$V$2:$V$401),ROWS(A$5:A395),"")</f>
        <v/>
      </c>
      <c r="B395" s="24" t="str">
        <f aca="false">IF($A395="","",INDEX(Реестр!$B$2:$B$401,MATCH($A395,Реестр!$V$2:$V$401,0)))</f>
        <v/>
      </c>
      <c r="C395" s="24" t="str">
        <f aca="false">IF($A395="","",INDEX(Реестр!$C$2:$C$401,MATCH($A395,Реестр!$V$2:$V$401,0)))</f>
        <v/>
      </c>
      <c r="D395" s="24" t="str">
        <f aca="false">IF($A395="","",INDEX(Реестр!$T$2:$T$401,MATCH($A395,Реестр!$V$2:$V$401,0)))</f>
        <v/>
      </c>
      <c r="E395" s="21" t="str">
        <f aca="false">IF($A395="","",INDEX(Реестр!$R$2:$R$401,MATCH($A395,Реестр!$V$2:$V$401,0)))</f>
        <v/>
      </c>
      <c r="F395" s="24" t="str">
        <f aca="false">IF($A395="","",INDEX(Реестр!$U$2:$U$401,MATCH($A395,Реестр!$V$2:$V$401,0)))</f>
        <v/>
      </c>
    </row>
    <row r="396" customFormat="false" ht="15" hidden="false" customHeight="false" outlineLevel="0" collapsed="false">
      <c r="A396" s="21" t="str">
        <f aca="false">IF(ROWS(A$5:A396)&lt;=MAX(Реестр!$V$2:$V$401),ROWS(A$5:A396),"")</f>
        <v/>
      </c>
      <c r="B396" s="24" t="str">
        <f aca="false">IF($A396="","",INDEX(Реестр!$B$2:$B$401,MATCH($A396,Реестр!$V$2:$V$401,0)))</f>
        <v/>
      </c>
      <c r="C396" s="24" t="str">
        <f aca="false">IF($A396="","",INDEX(Реестр!$C$2:$C$401,MATCH($A396,Реестр!$V$2:$V$401,0)))</f>
        <v/>
      </c>
      <c r="D396" s="24" t="str">
        <f aca="false">IF($A396="","",INDEX(Реестр!$T$2:$T$401,MATCH($A396,Реестр!$V$2:$V$401,0)))</f>
        <v/>
      </c>
      <c r="E396" s="21" t="str">
        <f aca="false">IF($A396="","",INDEX(Реестр!$R$2:$R$401,MATCH($A396,Реестр!$V$2:$V$401,0)))</f>
        <v/>
      </c>
      <c r="F396" s="24" t="str">
        <f aca="false">IF($A396="","",INDEX(Реестр!$U$2:$U$401,MATCH($A396,Реестр!$V$2:$V$401,0)))</f>
        <v/>
      </c>
    </row>
    <row r="397" customFormat="false" ht="15" hidden="false" customHeight="false" outlineLevel="0" collapsed="false">
      <c r="A397" s="21" t="str">
        <f aca="false">IF(ROWS(A$5:A397)&lt;=MAX(Реестр!$V$2:$V$401),ROWS(A$5:A397),"")</f>
        <v/>
      </c>
      <c r="B397" s="24" t="str">
        <f aca="false">IF($A397="","",INDEX(Реестр!$B$2:$B$401,MATCH($A397,Реестр!$V$2:$V$401,0)))</f>
        <v/>
      </c>
      <c r="C397" s="24" t="str">
        <f aca="false">IF($A397="","",INDEX(Реестр!$C$2:$C$401,MATCH($A397,Реестр!$V$2:$V$401,0)))</f>
        <v/>
      </c>
      <c r="D397" s="24" t="str">
        <f aca="false">IF($A397="","",INDEX(Реестр!$T$2:$T$401,MATCH($A397,Реестр!$V$2:$V$401,0)))</f>
        <v/>
      </c>
      <c r="E397" s="21" t="str">
        <f aca="false">IF($A397="","",INDEX(Реестр!$R$2:$R$401,MATCH($A397,Реестр!$V$2:$V$401,0)))</f>
        <v/>
      </c>
      <c r="F397" s="24" t="str">
        <f aca="false">IF($A397="","",INDEX(Реестр!$U$2:$U$401,MATCH($A397,Реестр!$V$2:$V$401,0)))</f>
        <v/>
      </c>
    </row>
    <row r="398" customFormat="false" ht="15" hidden="false" customHeight="false" outlineLevel="0" collapsed="false">
      <c r="A398" s="21" t="str">
        <f aca="false">IF(ROWS(A$5:A398)&lt;=MAX(Реестр!$V$2:$V$401),ROWS(A$5:A398),"")</f>
        <v/>
      </c>
      <c r="B398" s="24" t="str">
        <f aca="false">IF($A398="","",INDEX(Реестр!$B$2:$B$401,MATCH($A398,Реестр!$V$2:$V$401,0)))</f>
        <v/>
      </c>
      <c r="C398" s="24" t="str">
        <f aca="false">IF($A398="","",INDEX(Реестр!$C$2:$C$401,MATCH($A398,Реестр!$V$2:$V$401,0)))</f>
        <v/>
      </c>
      <c r="D398" s="24" t="str">
        <f aca="false">IF($A398="","",INDEX(Реестр!$T$2:$T$401,MATCH($A398,Реестр!$V$2:$V$401,0)))</f>
        <v/>
      </c>
      <c r="E398" s="21" t="str">
        <f aca="false">IF($A398="","",INDEX(Реестр!$R$2:$R$401,MATCH($A398,Реестр!$V$2:$V$401,0)))</f>
        <v/>
      </c>
      <c r="F398" s="24" t="str">
        <f aca="false">IF($A398="","",INDEX(Реестр!$U$2:$U$401,MATCH($A398,Реестр!$V$2:$V$401,0)))</f>
        <v/>
      </c>
    </row>
    <row r="399" customFormat="false" ht="15" hidden="false" customHeight="false" outlineLevel="0" collapsed="false">
      <c r="A399" s="21" t="str">
        <f aca="false">IF(ROWS(A$5:A399)&lt;=MAX(Реестр!$V$2:$V$401),ROWS(A$5:A399),"")</f>
        <v/>
      </c>
      <c r="B399" s="24" t="str">
        <f aca="false">IF($A399="","",INDEX(Реестр!$B$2:$B$401,MATCH($A399,Реестр!$V$2:$V$401,0)))</f>
        <v/>
      </c>
      <c r="C399" s="24" t="str">
        <f aca="false">IF($A399="","",INDEX(Реестр!$C$2:$C$401,MATCH($A399,Реестр!$V$2:$V$401,0)))</f>
        <v/>
      </c>
      <c r="D399" s="24" t="str">
        <f aca="false">IF($A399="","",INDEX(Реестр!$T$2:$T$401,MATCH($A399,Реестр!$V$2:$V$401,0)))</f>
        <v/>
      </c>
      <c r="E399" s="21" t="str">
        <f aca="false">IF($A399="","",INDEX(Реестр!$R$2:$R$401,MATCH($A399,Реестр!$V$2:$V$401,0)))</f>
        <v/>
      </c>
      <c r="F399" s="24" t="str">
        <f aca="false">IF($A399="","",INDEX(Реестр!$U$2:$U$401,MATCH($A399,Реестр!$V$2:$V$401,0)))</f>
        <v/>
      </c>
    </row>
    <row r="400" customFormat="false" ht="15" hidden="false" customHeight="false" outlineLevel="0" collapsed="false">
      <c r="A400" s="21" t="str">
        <f aca="false">IF(ROWS(A$5:A400)&lt;=MAX(Реестр!$V$2:$V$401),ROWS(A$5:A400),"")</f>
        <v/>
      </c>
      <c r="B400" s="24" t="str">
        <f aca="false">IF($A400="","",INDEX(Реестр!$B$2:$B$401,MATCH($A400,Реестр!$V$2:$V$401,0)))</f>
        <v/>
      </c>
      <c r="C400" s="24" t="str">
        <f aca="false">IF($A400="","",INDEX(Реестр!$C$2:$C$401,MATCH($A400,Реестр!$V$2:$V$401,0)))</f>
        <v/>
      </c>
      <c r="D400" s="24" t="str">
        <f aca="false">IF($A400="","",INDEX(Реестр!$T$2:$T$401,MATCH($A400,Реестр!$V$2:$V$401,0)))</f>
        <v/>
      </c>
      <c r="E400" s="21" t="str">
        <f aca="false">IF($A400="","",INDEX(Реестр!$R$2:$R$401,MATCH($A400,Реестр!$V$2:$V$401,0)))</f>
        <v/>
      </c>
      <c r="F400" s="24" t="str">
        <f aca="false">IF($A400="","",INDEX(Реестр!$U$2:$U$401,MATCH($A400,Реестр!$V$2:$V$401,0)))</f>
        <v/>
      </c>
    </row>
    <row r="401" customFormat="false" ht="15" hidden="false" customHeight="false" outlineLevel="0" collapsed="false">
      <c r="A401" s="21" t="str">
        <f aca="false">IF(ROWS(A$5:A401)&lt;=MAX(Реестр!$V$2:$V$401),ROWS(A$5:A401),"")</f>
        <v/>
      </c>
      <c r="B401" s="24" t="str">
        <f aca="false">IF($A401="","",INDEX(Реестр!$B$2:$B$401,MATCH($A401,Реестр!$V$2:$V$401,0)))</f>
        <v/>
      </c>
      <c r="C401" s="24" t="str">
        <f aca="false">IF($A401="","",INDEX(Реестр!$C$2:$C$401,MATCH($A401,Реестр!$V$2:$V$401,0)))</f>
        <v/>
      </c>
      <c r="D401" s="24" t="str">
        <f aca="false">IF($A401="","",INDEX(Реестр!$T$2:$T$401,MATCH($A401,Реестр!$V$2:$V$401,0)))</f>
        <v/>
      </c>
      <c r="E401" s="21" t="str">
        <f aca="false">IF($A401="","",INDEX(Реестр!$R$2:$R$401,MATCH($A401,Реестр!$V$2:$V$401,0)))</f>
        <v/>
      </c>
      <c r="F401" s="24" t="str">
        <f aca="false">IF($A401="","",INDEX(Реестр!$U$2:$U$401,MATCH($A401,Реестр!$V$2:$V$401,0)))</f>
        <v/>
      </c>
    </row>
    <row r="402" customFormat="false" ht="15" hidden="false" customHeight="false" outlineLevel="0" collapsed="false">
      <c r="A402" s="21" t="str">
        <f aca="false">IF(ROWS(A$5:A402)&lt;=MAX(Реестр!$V$2:$V$401),ROWS(A$5:A402),"")</f>
        <v/>
      </c>
      <c r="B402" s="24" t="str">
        <f aca="false">IF($A402="","",INDEX(Реестр!$B$2:$B$401,MATCH($A402,Реестр!$V$2:$V$401,0)))</f>
        <v/>
      </c>
      <c r="C402" s="24" t="str">
        <f aca="false">IF($A402="","",INDEX(Реестр!$C$2:$C$401,MATCH($A402,Реестр!$V$2:$V$401,0)))</f>
        <v/>
      </c>
      <c r="D402" s="24" t="str">
        <f aca="false">IF($A402="","",INDEX(Реестр!$T$2:$T$401,MATCH($A402,Реестр!$V$2:$V$401,0)))</f>
        <v/>
      </c>
      <c r="E402" s="21" t="str">
        <f aca="false">IF($A402="","",INDEX(Реестр!$R$2:$R$401,MATCH($A402,Реестр!$V$2:$V$401,0)))</f>
        <v/>
      </c>
      <c r="F402" s="24" t="str">
        <f aca="false">IF($A402="","",INDEX(Реестр!$U$2:$U$401,MATCH($A402,Реестр!$V$2:$V$401,0)))</f>
        <v/>
      </c>
    </row>
    <row r="403" customFormat="false" ht="15" hidden="false" customHeight="false" outlineLevel="0" collapsed="false">
      <c r="A403" s="21" t="str">
        <f aca="false">IF(ROWS(A$5:A403)&lt;=MAX(Реестр!$V$2:$V$401),ROWS(A$5:A403),"")</f>
        <v/>
      </c>
      <c r="B403" s="24" t="str">
        <f aca="false">IF($A403="","",INDEX(Реестр!$B$2:$B$401,MATCH($A403,Реестр!$V$2:$V$401,0)))</f>
        <v/>
      </c>
      <c r="C403" s="24" t="str">
        <f aca="false">IF($A403="","",INDEX(Реестр!$C$2:$C$401,MATCH($A403,Реестр!$V$2:$V$401,0)))</f>
        <v/>
      </c>
      <c r="D403" s="24" t="str">
        <f aca="false">IF($A403="","",INDEX(Реестр!$T$2:$T$401,MATCH($A403,Реестр!$V$2:$V$401,0)))</f>
        <v/>
      </c>
      <c r="E403" s="21" t="str">
        <f aca="false">IF($A403="","",INDEX(Реестр!$R$2:$R$401,MATCH($A403,Реестр!$V$2:$V$401,0)))</f>
        <v/>
      </c>
      <c r="F403" s="24" t="str">
        <f aca="false">IF($A403="","",INDEX(Реестр!$U$2:$U$401,MATCH($A403,Реестр!$V$2:$V$401,0)))</f>
        <v/>
      </c>
    </row>
    <row r="404" customFormat="false" ht="15" hidden="false" customHeight="false" outlineLevel="0" collapsed="false">
      <c r="A404" s="21" t="str">
        <f aca="false">IF(ROWS(A$5:A404)&lt;=MAX(Реестр!$V$2:$V$401),ROWS(A$5:A404),"")</f>
        <v/>
      </c>
      <c r="B404" s="24" t="str">
        <f aca="false">IF($A404="","",INDEX(Реестр!$B$2:$B$401,MATCH($A404,Реестр!$V$2:$V$401,0)))</f>
        <v/>
      </c>
      <c r="C404" s="24" t="str">
        <f aca="false">IF($A404="","",INDEX(Реестр!$C$2:$C$401,MATCH($A404,Реестр!$V$2:$V$401,0)))</f>
        <v/>
      </c>
      <c r="D404" s="24" t="str">
        <f aca="false">IF($A404="","",INDEX(Реестр!$T$2:$T$401,MATCH($A404,Реестр!$V$2:$V$401,0)))</f>
        <v/>
      </c>
      <c r="E404" s="21" t="str">
        <f aca="false">IF($A404="","",INDEX(Реестр!$R$2:$R$401,MATCH($A404,Реестр!$V$2:$V$401,0)))</f>
        <v/>
      </c>
      <c r="F404" s="24" t="str">
        <f aca="false">IF($A404="","",INDEX(Реестр!$U$2:$U$401,MATCH($A404,Реестр!$V$2:$V$401,0)))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4"/>
    <col collapsed="false" customWidth="true" hidden="false" outlineLevel="0" max="3" min="3" style="0" width="13"/>
    <col collapsed="false" customWidth="true" hidden="false" outlineLevel="0" max="4" min="4" style="0" width="16"/>
    <col collapsed="false" customWidth="true" hidden="false" outlineLevel="0" max="5" min="5" style="0" width="12"/>
    <col collapsed="false" customWidth="true" hidden="false" outlineLevel="0" max="6" min="6" style="0" width="24"/>
    <col collapsed="false" customWidth="true" hidden="false" outlineLevel="0" max="7" min="7" style="0" width="46"/>
    <col collapsed="false" customWidth="true" hidden="false" outlineLevel="0" max="8" min="8" style="0" width="18"/>
    <col collapsed="false" customWidth="true" hidden="false" outlineLevel="0" max="9" min="9" style="0" width="30"/>
    <col collapsed="false" customWidth="true" hidden="false" outlineLevel="0" max="10" min="10" style="0" width="22"/>
  </cols>
  <sheetData>
    <row r="1" customFormat="false" ht="16.15" hidden="false" customHeight="false" outlineLevel="0" collapsed="false">
      <c r="A1" s="25" t="s">
        <v>3218</v>
      </c>
    </row>
    <row r="2" customFormat="false" ht="15" hidden="false" customHeight="false" outlineLevel="0" collapsed="false">
      <c r="A2" s="2" t="s">
        <v>3219</v>
      </c>
    </row>
    <row r="4" customFormat="false" ht="33.75" hidden="false" customHeight="true" outlineLevel="0" collapsed="false">
      <c r="A4" s="8" t="s">
        <v>67</v>
      </c>
      <c r="B4" s="8" t="s">
        <v>68</v>
      </c>
      <c r="C4" s="8" t="s">
        <v>19</v>
      </c>
      <c r="D4" s="8" t="s">
        <v>21</v>
      </c>
      <c r="E4" s="8" t="s">
        <v>23</v>
      </c>
      <c r="F4" s="8" t="s">
        <v>41</v>
      </c>
      <c r="G4" s="8" t="s">
        <v>69</v>
      </c>
      <c r="H4" s="8" t="s">
        <v>70</v>
      </c>
      <c r="I4" s="8" t="s">
        <v>27</v>
      </c>
      <c r="J4" s="8" t="s">
        <v>29</v>
      </c>
    </row>
    <row r="5" customFormat="false" ht="15" hidden="false" customHeight="false" outlineLevel="0" collapsed="false">
      <c r="A5" s="21" t="n">
        <f aca="false">IF(ROWS(A$5:A5)&lt;=MAX(Реестр!$W$2:$W$401),ROWS(A$5:A5),"")</f>
        <v>1</v>
      </c>
      <c r="B5" s="24" t="str">
        <f aca="false">IF($A5="","",INDEX(Реестр!$B$2:$B$401,MATCH($A5,Реестр!$W$2:$W$401,0)))</f>
        <v>ООО «Эталон Принт»</v>
      </c>
      <c r="C5" s="24" t="str">
        <f aca="false">IF($A5="","",INDEX(Реестр!$C$2:$C$401,MATCH($A5,Реестр!$W$2:$W$401,0)))</f>
        <v>2327503454</v>
      </c>
      <c r="D5" s="24" t="str">
        <f aca="false">IF($A5="","",INDEX(Реестр!$D$2:$D$401,MATCH($A5,Реестр!$W$2:$W$401,0)))</f>
        <v>5092327868474</v>
      </c>
      <c r="E5" s="24" t="str">
        <f aca="false">IF($A5="","",INDEX(Реестр!$E$2:$E$401,MATCH($A5,Реестр!$W$2:$W$401,0)))</f>
        <v>232701003</v>
      </c>
      <c r="F5" s="24" t="str">
        <f aca="false">IF($A5="","",INDEX(Реестр!$J$2:$J$401,MATCH($A5,Реестр!$W$2:$W$401,0)))</f>
        <v>Краснодарский край</v>
      </c>
      <c r="G5" s="24" t="str">
        <f aca="false">IF($A5="","",INDEX(Реестр!$F$2:$F$401,MATCH($A5,Реестр!$W$2:$W$401,0)))</f>
        <v>г. Краснодар, ул. Советская, д. 70, оф. 15</v>
      </c>
      <c r="H5" s="24" t="str">
        <f aca="false">IF($A5="","",INDEX(Реестр!$G$2:$G$401,MATCH($A5,Реестр!$W$2:$W$401,0)))</f>
        <v>Иванова Е. С.</v>
      </c>
      <c r="I5" s="24" t="str">
        <f aca="false">IF($A5="","",INDEX(Реестр!$H$2:$H$401,MATCH($A5,Реестр!$W$2:$W$401,0)))</f>
        <v>sales@etalon-print.example</v>
      </c>
      <c r="J5" s="24" t="str">
        <f aca="false">IF($A5="","",INDEX(Реестр!$I$2:$I$401,MATCH($A5,Реестр!$W$2:$W$401,0)))</f>
        <v>+7 (861) 587-81-60</v>
      </c>
    </row>
    <row r="6" customFormat="false" ht="15" hidden="false" customHeight="false" outlineLevel="0" collapsed="false">
      <c r="A6" s="21" t="n">
        <f aca="false">IF(ROWS(A$5:A6)&lt;=MAX(Реестр!$W$2:$W$401),ROWS(A$5:A6),"")</f>
        <v>2</v>
      </c>
      <c r="B6" s="24" t="str">
        <f aca="false">IF($A6="","",INDEX(Реестр!$B$2:$B$401,MATCH($A6,Реестр!$W$2:$W$401,0)))</f>
        <v>ООО «Меридиан Стандарт»</v>
      </c>
      <c r="C6" s="24" t="str">
        <f aca="false">IF($A6="","",INDEX(Реестр!$C$2:$C$401,MATCH($A6,Реестр!$W$2:$W$401,0)))</f>
        <v>7821181744</v>
      </c>
      <c r="D6" s="24" t="str">
        <f aca="false">IF($A6="","",INDEX(Реестр!$D$2:$D$401,MATCH($A6,Реестр!$W$2:$W$401,0)))</f>
        <v>1077836049818</v>
      </c>
      <c r="E6" s="24" t="str">
        <f aca="false">IF($A6="","",INDEX(Реестр!$E$2:$E$401,MATCH($A6,Реестр!$W$2:$W$401,0)))</f>
        <v>782145005</v>
      </c>
      <c r="F6" s="24" t="str">
        <f aca="false">IF($A6="","",INDEX(Реестр!$J$2:$J$401,MATCH($A6,Реестр!$W$2:$W$401,0)))</f>
        <v>г. Санкт-Петербург</v>
      </c>
      <c r="G6" s="24" t="str">
        <f aca="false">IF($A6="","",INDEX(Реестр!$F$2:$F$401,MATCH($A6,Реестр!$W$2:$W$401,0)))</f>
        <v>г. Санкт-Петербург, ул. Центральная, д. 82, оф. 267</v>
      </c>
      <c r="H6" s="24" t="str">
        <f aca="false">IF($A6="","",INDEX(Реестр!$G$2:$G$401,MATCH($A6,Реестр!$W$2:$W$401,0)))</f>
        <v>Новиков О. М.</v>
      </c>
      <c r="I6" s="24" t="str">
        <f aca="false">IF($A6="","",INDEX(Реестр!$H$2:$H$401,MATCH($A6,Реестр!$W$2:$W$401,0)))</f>
        <v>mail@meridian-standart.example</v>
      </c>
      <c r="J6" s="24" t="str">
        <f aca="false">IF($A6="","",INDEX(Реестр!$I$2:$I$401,MATCH($A6,Реестр!$W$2:$W$401,0)))</f>
        <v>8 812 5658356</v>
      </c>
    </row>
    <row r="7" customFormat="false" ht="15" hidden="false" customHeight="false" outlineLevel="0" collapsed="false">
      <c r="A7" s="21" t="n">
        <f aca="false">IF(ROWS(A$5:A7)&lt;=MAX(Реестр!$W$2:$W$401),ROWS(A$5:A7),"")</f>
        <v>3</v>
      </c>
      <c r="B7" s="24" t="str">
        <f aca="false">IF($A7="","",INDEX(Реестр!$B$2:$B$401,MATCH($A7,Реестр!$W$2:$W$401,0)))</f>
        <v>ООО «Горизонт Консалт»</v>
      </c>
      <c r="C7" s="24" t="str">
        <f aca="false">IF($A7="","",INDEX(Реестр!$C$2:$C$401,MATCH($A7,Реестр!$W$2:$W$401,0)))</f>
        <v>7715736088</v>
      </c>
      <c r="D7" s="24" t="str">
        <f aca="false">IF($A7="","",INDEX(Реестр!$D$2:$D$401,MATCH($A7,Реестр!$W$2:$W$401,0)))</f>
        <v>5127713491164</v>
      </c>
      <c r="E7" s="24" t="str">
        <f aca="false">IF($A7="","",INDEX(Реестр!$E$2:$E$401,MATCH($A7,Реестр!$W$2:$W$401,0)))</f>
        <v>771501008</v>
      </c>
      <c r="F7" s="24" t="str">
        <f aca="false">IF($A7="","",INDEX(Реестр!$J$2:$J$401,MATCH($A7,Реестр!$W$2:$W$401,0)))</f>
        <v>г. Москва</v>
      </c>
      <c r="G7" s="24" t="str">
        <f aca="false">IF($A7="","",INDEX(Реестр!$F$2:$F$401,MATCH($A7,Реестр!$W$2:$W$401,0)))</f>
        <v>г. Москва, ул. Кирова, д. 59, оф. 281</v>
      </c>
      <c r="H7" s="24" t="str">
        <f aca="false">IF($A7="","",INDEX(Реестр!$G$2:$G$401,MATCH($A7,Реестр!$W$2:$W$401,0)))</f>
        <v>Павлов О. С.</v>
      </c>
      <c r="I7" s="24" t="str">
        <f aca="false">IF($A7="","",INDEX(Реестр!$H$2:$H$401,MATCH($A7,Реестр!$W$2:$W$401,0)))</f>
        <v>zakaz@gorizont-konsalt.example</v>
      </c>
      <c r="J7" s="24" t="str">
        <f aca="false">IF($A7="","",INDEX(Реестр!$I$2:$I$401,MATCH($A7,Реестр!$W$2:$W$401,0)))</f>
        <v>+74955165983</v>
      </c>
    </row>
    <row r="8" customFormat="false" ht="15" hidden="false" customHeight="false" outlineLevel="0" collapsed="false">
      <c r="A8" s="21" t="n">
        <f aca="false">IF(ROWS(A$5:A8)&lt;=MAX(Реестр!$W$2:$W$401),ROWS(A$5:A8),"")</f>
        <v>4</v>
      </c>
      <c r="B8" s="24" t="str">
        <f aca="false">IF($A8="","",INDEX(Реестр!$B$2:$B$401,MATCH($A8,Реестр!$W$2:$W$401,0)))</f>
        <v>АО «Линия Сервис»</v>
      </c>
      <c r="C8" s="24" t="str">
        <f aca="false">IF($A8="","",INDEX(Реестр!$C$2:$C$401,MATCH($A8,Реестр!$W$2:$W$401,0)))</f>
        <v>7733137520</v>
      </c>
      <c r="D8" s="24" t="str">
        <f aca="false">IF($A8="","",INDEX(Реестр!$D$2:$D$401,MATCH($A8,Реестр!$W$2:$W$401,0)))</f>
        <v>1067747510148</v>
      </c>
      <c r="E8" s="24" t="str">
        <f aca="false">IF($A8="","",INDEX(Реестр!$E$2:$E$401,MATCH($A8,Реестр!$W$2:$W$401,0)))</f>
        <v>773301009</v>
      </c>
      <c r="F8" s="24" t="str">
        <f aca="false">IF($A8="","",INDEX(Реестр!$J$2:$J$401,MATCH($A8,Реестр!$W$2:$W$401,0)))</f>
        <v>г. Москва</v>
      </c>
      <c r="G8" s="24" t="str">
        <f aca="false">IF($A8="","",INDEX(Реестр!$F$2:$F$401,MATCH($A8,Реестр!$W$2:$W$401,0)))</f>
        <v>г. Москва, ул. Школьная, д. 40, оф. 22</v>
      </c>
      <c r="H8" s="24" t="str">
        <f aca="false">IF($A8="","",INDEX(Реестр!$G$2:$G$401,MATCH($A8,Реестр!$W$2:$W$401,0)))</f>
        <v>Алексеев В. Е.</v>
      </c>
      <c r="I8" s="24" t="str">
        <f aca="false">IF($A8="","",INDEX(Реестр!$H$2:$H$401,MATCH($A8,Реестр!$W$2:$W$401,0)))</f>
        <v>sales@liniya-servis.example</v>
      </c>
      <c r="J8" s="24" t="str">
        <f aca="false">IF($A8="","",INDEX(Реестр!$I$2:$I$401,MATCH($A8,Реестр!$W$2:$W$401,0)))</f>
        <v>8 495 5942577</v>
      </c>
    </row>
    <row r="9" customFormat="false" ht="15" hidden="false" customHeight="false" outlineLevel="0" collapsed="false">
      <c r="A9" s="21" t="n">
        <f aca="false">IF(ROWS(A$5:A9)&lt;=MAX(Реестр!$W$2:$W$401),ROWS(A$5:A9),"")</f>
        <v>5</v>
      </c>
      <c r="B9" s="24" t="str">
        <f aca="false">IF($A9="","",INDEX(Реестр!$B$2:$B$401,MATCH($A9,Реестр!$W$2:$W$401,0)))</f>
        <v>ООО «Феникс Фуд»</v>
      </c>
      <c r="C9" s="24" t="str">
        <f aca="false">IF($A9="","",INDEX(Реестр!$C$2:$C$401,MATCH($A9,Реестр!$W$2:$W$401,0)))</f>
        <v>2339849062</v>
      </c>
      <c r="D9" s="24" t="str">
        <f aca="false">IF($A9="","",INDEX(Реестр!$D$2:$D$401,MATCH($A9,Реестр!$W$2:$W$401,0)))</f>
        <v>5152323704341</v>
      </c>
      <c r="E9" s="24" t="str">
        <f aca="false">IF($A9="","",INDEX(Реестр!$E$2:$E$401,MATCH($A9,Реестр!$W$2:$W$401,0)))</f>
        <v>233901009</v>
      </c>
      <c r="F9" s="24" t="str">
        <f aca="false">IF($A9="","",INDEX(Реестр!$J$2:$J$401,MATCH($A9,Реестр!$W$2:$W$401,0)))</f>
        <v>Краснодарский край</v>
      </c>
      <c r="G9" s="24" t="str">
        <f aca="false">IF($A9="","",INDEX(Реестр!$F$2:$F$401,MATCH($A9,Реестр!$W$2:$W$401,0)))</f>
        <v>г. Краснодар, ул. Ленина, д. 23, оф. 162</v>
      </c>
      <c r="H9" s="24" t="str">
        <f aca="false">IF($A9="","",INDEX(Реестр!$G$2:$G$401,MATCH($A9,Реестр!$W$2:$W$401,0)))</f>
        <v>Попов И. А.</v>
      </c>
      <c r="I9" s="24" t="str">
        <f aca="false">IF($A9="","",INDEX(Реестр!$H$2:$H$401,MATCH($A9,Реестр!$W$2:$W$401,0)))</f>
        <v>sales@feniks-fud.example</v>
      </c>
      <c r="J9" s="24" t="str">
        <f aca="false">IF($A9="","",INDEX(Реестр!$I$2:$I$401,MATCH($A9,Реестр!$W$2:$W$401,0)))</f>
        <v>+78615122366</v>
      </c>
    </row>
    <row r="10" customFormat="false" ht="15" hidden="false" customHeight="false" outlineLevel="0" collapsed="false">
      <c r="A10" s="21" t="n">
        <f aca="false">IF(ROWS(A$5:A10)&lt;=MAX(Реестр!$W$2:$W$401),ROWS(A$5:A10),"")</f>
        <v>6</v>
      </c>
      <c r="B10" s="24" t="str">
        <f aca="false">IF($A10="","",INDEX(Реестр!$B$2:$B$401,MATCH($A10,Реестр!$W$2:$W$401,0)))</f>
        <v>ООО «Квант Пласт»</v>
      </c>
      <c r="C10" s="24" t="str">
        <f aca="false">IF($A10="","",INDEX(Реестр!$C$2:$C$401,MATCH($A10,Реестр!$W$2:$W$401,0)))</f>
        <v>6635202145</v>
      </c>
      <c r="D10" s="24" t="str">
        <f aca="false">IF($A10="","",INDEX(Реестр!$D$2:$D$401,MATCH($A10,Реестр!$W$2:$W$401,0)))</f>
        <v>1066607427677</v>
      </c>
      <c r="E10" s="24" t="str">
        <f aca="false">IF($A10="","",INDEX(Реестр!$E$2:$E$401,MATCH($A10,Реестр!$W$2:$W$401,0)))</f>
        <v>663543002</v>
      </c>
      <c r="F10" s="24" t="str">
        <f aca="false">IF($A10="","",INDEX(Реестр!$J$2:$J$401,MATCH($A10,Реестр!$W$2:$W$401,0)))</f>
        <v>Свердловская область</v>
      </c>
      <c r="G10" s="24" t="str">
        <f aca="false">IF($A10="","",INDEX(Реестр!$F$2:$F$401,MATCH($A10,Реестр!$W$2:$W$401,0)))</f>
        <v>г. Екатеринбург, ул. Победы, д. 10, оф. 196</v>
      </c>
      <c r="H10" s="24" t="str">
        <f aca="false">IF($A10="","",INDEX(Реестр!$G$2:$G$401,MATCH($A10,Реестр!$W$2:$W$401,0)))</f>
        <v>Волкова М. И.</v>
      </c>
      <c r="I10" s="24" t="str">
        <f aca="false">IF($A10="","",INDEX(Реестр!$H$2:$H$401,MATCH($A10,Реестр!$W$2:$W$401,0)))</f>
        <v>mail@kvant-plast.example</v>
      </c>
      <c r="J10" s="24" t="str">
        <f aca="false">IF($A10="","",INDEX(Реестр!$I$2:$I$401,MATCH($A10,Реестр!$W$2:$W$401,0)))</f>
        <v>8 343 5123259</v>
      </c>
    </row>
    <row r="11" customFormat="false" ht="15" hidden="false" customHeight="false" outlineLevel="0" collapsed="false">
      <c r="A11" s="21" t="n">
        <f aca="false">IF(ROWS(A$5:A11)&lt;=MAX(Реестр!$W$2:$W$401),ROWS(A$5:A11),"")</f>
        <v>7</v>
      </c>
      <c r="B11" s="24" t="str">
        <f aca="false">IF($A11="","",INDEX(Реестр!$B$2:$B$401,MATCH($A11,Реестр!$W$2:$W$401,0)))</f>
        <v>АО «Гранит Снаб»</v>
      </c>
      <c r="C11" s="24" t="str">
        <f aca="false">IF($A11="","",INDEX(Реестр!$C$2:$C$401,MATCH($A11,Реестр!$W$2:$W$401,0)))</f>
        <v>6615903294</v>
      </c>
      <c r="D11" s="24" t="str">
        <f aca="false">IF($A11="","",INDEX(Реестр!$D$2:$D$401,MATCH($A11,Реестр!$W$2:$W$401,0)))</f>
        <v>5136627773145</v>
      </c>
      <c r="E11" s="24" t="str">
        <f aca="false">IF($A11="","",INDEX(Реестр!$E$2:$E$401,MATCH($A11,Реестр!$W$2:$W$401,0)))</f>
        <v>661543004</v>
      </c>
      <c r="F11" s="24" t="str">
        <f aca="false">IF($A11="","",INDEX(Реестр!$J$2:$J$401,MATCH($A11,Реестр!$W$2:$W$401,0)))</f>
        <v>Свердловская область</v>
      </c>
      <c r="G11" s="24" t="str">
        <f aca="false">IF($A11="","",INDEX(Реестр!$F$2:$F$401,MATCH($A11,Реестр!$W$2:$W$401,0)))</f>
        <v>г. Екатеринбург, ул. Советская, д. 57, оф. 291</v>
      </c>
      <c r="H11" s="24" t="str">
        <f aca="false">IF($A11="","",INDEX(Реестр!$G$2:$G$401,MATCH($A11,Реестр!$W$2:$W$401,0)))</f>
        <v>Алексеева И. Н.</v>
      </c>
      <c r="I11" s="24" t="str">
        <f aca="false">IF($A11="","",INDEX(Реестр!$H$2:$H$401,MATCH($A11,Реестр!$W$2:$W$401,0)))</f>
        <v>office@granit-snab.example</v>
      </c>
      <c r="J11" s="24" t="str">
        <f aca="false">IF($A11="","",INDEX(Реестр!$I$2:$I$401,MATCH($A11,Реестр!$W$2:$W$401,0)))</f>
        <v>8 343 5876238</v>
      </c>
    </row>
    <row r="12" customFormat="false" ht="15" hidden="false" customHeight="false" outlineLevel="0" collapsed="false">
      <c r="A12" s="21" t="n">
        <f aca="false">IF(ROWS(A$5:A12)&lt;=MAX(Реестр!$W$2:$W$401),ROWS(A$5:A12),"")</f>
        <v>8</v>
      </c>
      <c r="B12" s="24" t="str">
        <f aca="false">IF($A12="","",INDEX(Реестр!$B$2:$B$401,MATCH($A12,Реестр!$W$2:$W$401,0)))</f>
        <v>ООО «Гранит Агро»</v>
      </c>
      <c r="C12" s="24" t="str">
        <f aca="false">IF($A12="","",INDEX(Реестр!$C$2:$C$401,MATCH($A12,Реестр!$W$2:$W$401,0)))</f>
        <v>6326949532</v>
      </c>
      <c r="D12" s="24" t="str">
        <f aca="false">IF($A12="","",INDEX(Реестр!$D$2:$D$401,MATCH($A12,Реестр!$W$2:$W$401,0)))</f>
        <v>1026318732582</v>
      </c>
      <c r="E12" s="24" t="str">
        <f aca="false">IF($A12="","",INDEX(Реестр!$E$2:$E$401,MATCH($A12,Реестр!$W$2:$W$401,0)))</f>
        <v>632601003</v>
      </c>
      <c r="F12" s="24" t="str">
        <f aca="false">IF($A12="","",INDEX(Реестр!$J$2:$J$401,MATCH($A12,Реестр!$W$2:$W$401,0)))</f>
        <v>Самарская область</v>
      </c>
      <c r="G12" s="24" t="str">
        <f aca="false">IF($A12="","",INDEX(Реестр!$F$2:$F$401,MATCH($A12,Реестр!$W$2:$W$401,0)))</f>
        <v>г. Самара, ул. Центральная, д. 75, оф. 213</v>
      </c>
      <c r="H12" s="24" t="str">
        <f aca="false">IF($A12="","",INDEX(Реестр!$G$2:$G$401,MATCH($A12,Реестр!$W$2:$W$401,0)))</f>
        <v>Лебедева С. А.</v>
      </c>
      <c r="I12" s="24" t="str">
        <f aca="false">IF($A12="","",INDEX(Реестр!$H$2:$H$401,MATCH($A12,Реестр!$W$2:$W$401,0)))</f>
        <v>zakaz@granit-agro.example</v>
      </c>
      <c r="J12" s="24" t="str">
        <f aca="false">IF($A12="","",INDEX(Реестр!$I$2:$I$401,MATCH($A12,Реестр!$W$2:$W$401,0)))</f>
        <v>+7 (846) 561-53-11</v>
      </c>
    </row>
    <row r="13" customFormat="false" ht="15" hidden="false" customHeight="false" outlineLevel="0" collapsed="false">
      <c r="A13" s="21" t="n">
        <f aca="false">IF(ROWS(A$5:A13)&lt;=MAX(Реестр!$W$2:$W$401),ROWS(A$5:A13),"")</f>
        <v>9</v>
      </c>
      <c r="B13" s="24" t="str">
        <f aca="false">IF($A13="","",INDEX(Реестр!$B$2:$B$401,MATCH($A13,Реестр!$W$2:$W$401,0)))</f>
        <v>ООО «Навигатор Сервис»</v>
      </c>
      <c r="C13" s="24" t="str">
        <f aca="false">IF($A13="","",INDEX(Реестр!$C$2:$C$401,MATCH($A13,Реестр!$W$2:$W$401,0)))</f>
        <v>1633690191</v>
      </c>
      <c r="D13" s="24" t="str">
        <f aca="false">IF($A13="","",INDEX(Реестр!$D$2:$D$401,MATCH($A13,Реестр!$W$2:$W$401,0)))</f>
        <v>1181614354789</v>
      </c>
      <c r="E13" s="24" t="str">
        <f aca="false">IF($A13="","",INDEX(Реестр!$E$2:$E$401,MATCH($A13,Реестр!$W$2:$W$401,0)))</f>
        <v>163343003</v>
      </c>
      <c r="F13" s="24" t="str">
        <f aca="false">IF($A13="","",INDEX(Реестр!$J$2:$J$401,MATCH($A13,Реестр!$W$2:$W$401,0)))</f>
        <v>Республика Татарстан</v>
      </c>
      <c r="G13" s="24" t="str">
        <f aca="false">IF($A13="","",INDEX(Реестр!$F$2:$F$401,MATCH($A13,Реестр!$W$2:$W$401,0)))</f>
        <v>г. Казань, ул. Набережная, д. 87, оф. 167</v>
      </c>
      <c r="H13" s="24" t="str">
        <f aca="false">IF($A13="","",INDEX(Реестр!$G$2:$G$401,MATCH($A13,Реестр!$W$2:$W$401,0)))</f>
        <v>Иванова И. О.</v>
      </c>
      <c r="I13" s="24" t="str">
        <f aca="false">IF($A13="","",INDEX(Реестр!$H$2:$H$401,MATCH($A13,Реестр!$W$2:$W$401,0)))</f>
        <v>mail@navigator-servis.example</v>
      </c>
      <c r="J13" s="24" t="str">
        <f aca="false">IF($A13="","",INDEX(Реестр!$I$2:$I$401,MATCH($A13,Реестр!$W$2:$W$401,0)))</f>
        <v>+78435761425</v>
      </c>
    </row>
    <row r="14" customFormat="false" ht="15" hidden="false" customHeight="false" outlineLevel="0" collapsed="false">
      <c r="A14" s="21" t="n">
        <f aca="false">IF(ROWS(A$5:A14)&lt;=MAX(Реестр!$W$2:$W$401),ROWS(A$5:A14),"")</f>
        <v>10</v>
      </c>
      <c r="B14" s="24" t="str">
        <f aca="false">IF($A14="","",INDEX(Реестр!$B$2:$B$401,MATCH($A14,Реестр!$W$2:$W$401,0)))</f>
        <v>ООО «Радуга Логистик»</v>
      </c>
      <c r="C14" s="24" t="str">
        <f aca="false">IF($A14="","",INDEX(Реестр!$C$2:$C$401,MATCH($A14,Реестр!$W$2:$W$401,0)))</f>
        <v>5039631511</v>
      </c>
      <c r="D14" s="24" t="str">
        <f aca="false">IF($A14="","",INDEX(Реестр!$D$2:$D$401,MATCH($A14,Реестр!$W$2:$W$401,0)))</f>
        <v>1085048256171</v>
      </c>
      <c r="E14" s="24" t="str">
        <f aca="false">IF($A14="","",INDEX(Реестр!$E$2:$E$401,MATCH($A14,Реестр!$W$2:$W$401,0)))</f>
        <v>503901002</v>
      </c>
      <c r="F14" s="24" t="str">
        <f aca="false">IF($A14="","",INDEX(Реестр!$J$2:$J$401,MATCH($A14,Реестр!$W$2:$W$401,0)))</f>
        <v>Московская область</v>
      </c>
      <c r="G14" s="24" t="str">
        <f aca="false">IF($A14="","",INDEX(Реестр!$F$2:$F$401,MATCH($A14,Реестр!$W$2:$W$401,0)))</f>
        <v>г. Красногорск, ул. Центральная, д. 92, оф. 81</v>
      </c>
      <c r="H14" s="24" t="str">
        <f aca="false">IF($A14="","",INDEX(Реестр!$G$2:$G$401,MATCH($A14,Реестр!$W$2:$W$401,0)))</f>
        <v>Соколов Н. В.</v>
      </c>
      <c r="I14" s="24" t="str">
        <f aca="false">IF($A14="","",INDEX(Реестр!$H$2:$H$401,MATCH($A14,Реестр!$W$2:$W$401,0)))</f>
        <v>info@raduga-logistik.example</v>
      </c>
      <c r="J14" s="24" t="str">
        <f aca="false">IF($A14="","",INDEX(Реестр!$I$2:$I$401,MATCH($A14,Реестр!$W$2:$W$401,0)))</f>
        <v>8 498 5454648</v>
      </c>
    </row>
    <row r="15" customFormat="false" ht="15" hidden="false" customHeight="false" outlineLevel="0" collapsed="false">
      <c r="A15" s="21" t="n">
        <f aca="false">IF(ROWS(A$5:A15)&lt;=MAX(Реестр!$W$2:$W$401),ROWS(A$5:A15),"")</f>
        <v>11</v>
      </c>
      <c r="B15" s="24" t="str">
        <f aca="false">IF($A15="","",INDEX(Реестр!$B$2:$B$401,MATCH($A15,Реестр!$W$2:$W$401,0)))</f>
        <v>ООО «Линия Логистик»</v>
      </c>
      <c r="C15" s="24" t="str">
        <f aca="false">IF($A15="","",INDEX(Реестр!$C$2:$C$401,MATCH($A15,Реестр!$W$2:$W$401,0)))</f>
        <v>7430453439</v>
      </c>
      <c r="D15" s="24" t="str">
        <f aca="false">IF($A15="","",INDEX(Реестр!$D$2:$D$401,MATCH($A15,Реестр!$W$2:$W$401,0)))</f>
        <v>1107419048791</v>
      </c>
      <c r="E15" s="24" t="str">
        <f aca="false">IF($A15="","",INDEX(Реестр!$E$2:$E$401,MATCH($A15,Реестр!$W$2:$W$401,0)))</f>
        <v>743001001</v>
      </c>
      <c r="F15" s="24" t="str">
        <f aca="false">IF($A15="","",INDEX(Реестр!$J$2:$J$401,MATCH($A15,Реестр!$W$2:$W$401,0)))</f>
        <v>Челябинская область</v>
      </c>
      <c r="G15" s="24" t="str">
        <f aca="false">IF($A15="","",INDEX(Реестр!$F$2:$F$401,MATCH($A15,Реестр!$W$2:$W$401,0)))</f>
        <v>г. Челябинск, ул. Мира, д. 68, оф. 232</v>
      </c>
      <c r="H15" s="24" t="str">
        <f aca="false">IF($A15="","",INDEX(Реестр!$G$2:$G$401,MATCH($A15,Реестр!$W$2:$W$401,0)))</f>
        <v>Новиков Д. Н.</v>
      </c>
      <c r="I15" s="24" t="str">
        <f aca="false">IF($A15="","",INDEX(Реестр!$H$2:$H$401,MATCH($A15,Реестр!$W$2:$W$401,0)))</f>
        <v>sales@liniya-logistik.example</v>
      </c>
      <c r="J15" s="24" t="str">
        <f aca="false">IF($A15="","",INDEX(Реестр!$I$2:$I$401,MATCH($A15,Реестр!$W$2:$W$401,0)))</f>
        <v>8 351 5839060</v>
      </c>
    </row>
    <row r="16" customFormat="false" ht="15" hidden="false" customHeight="false" outlineLevel="0" collapsed="false">
      <c r="A16" s="21" t="n">
        <f aca="false">IF(ROWS(A$5:A16)&lt;=MAX(Реестр!$W$2:$W$401),ROWS(A$5:A16),"")</f>
        <v>12</v>
      </c>
      <c r="B16" s="24" t="str">
        <f aca="false">IF($A16="","",INDEX(Реестр!$B$2:$B$401,MATCH($A16,Реестр!$W$2:$W$401,0)))</f>
        <v>ООО «Дельта Сервис»</v>
      </c>
      <c r="C16" s="24" t="str">
        <f aca="false">IF($A16="","",INDEX(Реестр!$C$2:$C$401,MATCH($A16,Реестр!$W$2:$W$401,0)))</f>
        <v>6145612079</v>
      </c>
      <c r="D16" s="24" t="str">
        <f aca="false">IF($A16="","",INDEX(Реестр!$D$2:$D$401,MATCH($A16,Реестр!$W$2:$W$401,0)))</f>
        <v>1086142853543</v>
      </c>
      <c r="E16" s="24" t="str">
        <f aca="false">IF($A16="","",INDEX(Реестр!$E$2:$E$401,MATCH($A16,Реестр!$W$2:$W$401,0)))</f>
        <v>614543001</v>
      </c>
      <c r="F16" s="24" t="str">
        <f aca="false">IF($A16="","",INDEX(Реестр!$J$2:$J$401,MATCH($A16,Реестр!$W$2:$W$401,0)))</f>
        <v>Ростовская область</v>
      </c>
      <c r="G16" s="24" t="str">
        <f aca="false">IF($A16="","",INDEX(Реестр!$F$2:$F$401,MATCH($A16,Реестр!$W$2:$W$401,0)))</f>
        <v>г. Ростов-на-Дону, ул. Школьная, д. 12, оф. 87</v>
      </c>
      <c r="H16" s="24" t="str">
        <f aca="false">IF($A16="","",INDEX(Реестр!$G$2:$G$401,MATCH($A16,Реестр!$W$2:$W$401,0)))</f>
        <v>Семёнов А. С.</v>
      </c>
      <c r="I16" s="24" t="str">
        <f aca="false">IF($A16="","",INDEX(Реестр!$H$2:$H$401,MATCH($A16,Реестр!$W$2:$W$401,0)))</f>
        <v>info@delta-servis.example</v>
      </c>
      <c r="J16" s="24" t="str">
        <f aca="false">IF($A16="","",INDEX(Реестр!$I$2:$I$401,MATCH($A16,Реестр!$W$2:$W$401,0)))</f>
        <v>+78635647754</v>
      </c>
    </row>
    <row r="17" customFormat="false" ht="15" hidden="false" customHeight="false" outlineLevel="0" collapsed="false">
      <c r="A17" s="21" t="n">
        <f aca="false">IF(ROWS(A$5:A17)&lt;=MAX(Реестр!$W$2:$W$401),ROWS(A$5:A17),"")</f>
        <v>13</v>
      </c>
      <c r="B17" s="24" t="str">
        <f aca="false">IF($A17="","",INDEX(Реестр!$B$2:$B$401,MATCH($A17,Реестр!$W$2:$W$401,0)))</f>
        <v>ООО «Квант Строй»</v>
      </c>
      <c r="C17" s="24" t="str">
        <f aca="false">IF($A17="","",INDEX(Реестр!$C$2:$C$401,MATCH($A17,Реестр!$W$2:$W$401,0)))</f>
        <v>7736833212</v>
      </c>
      <c r="D17" s="24" t="str">
        <f aca="false">IF($A17="","",INDEX(Реестр!$D$2:$D$401,MATCH($A17,Реестр!$W$2:$W$401,0)))</f>
        <v>1177704709973</v>
      </c>
      <c r="E17" s="24" t="str">
        <f aca="false">IF($A17="","",INDEX(Реестр!$E$2:$E$401,MATCH($A17,Реестр!$W$2:$W$401,0)))</f>
        <v>773601004</v>
      </c>
      <c r="F17" s="24" t="str">
        <f aca="false">IF($A17="","",INDEX(Реестр!$J$2:$J$401,MATCH($A17,Реестр!$W$2:$W$401,0)))</f>
        <v>г. Москва</v>
      </c>
      <c r="G17" s="24" t="str">
        <f aca="false">IF($A17="","",INDEX(Реестр!$F$2:$F$401,MATCH($A17,Реестр!$W$2:$W$401,0)))</f>
        <v>г. Москва, ул. Набережная, д. 51, оф. 238</v>
      </c>
      <c r="H17" s="24" t="str">
        <f aca="false">IF($A17="","",INDEX(Реестр!$G$2:$G$401,MATCH($A17,Реестр!$W$2:$W$401,0)))</f>
        <v>Смирнов В. Е.</v>
      </c>
      <c r="I17" s="24" t="str">
        <f aca="false">IF($A17="","",INDEX(Реестр!$H$2:$H$401,MATCH($A17,Реестр!$W$2:$W$401,0)))</f>
        <v>info@kvant-stroy.example</v>
      </c>
      <c r="J17" s="24" t="str">
        <f aca="false">IF($A17="","",INDEX(Реестр!$I$2:$I$401,MATCH($A17,Реестр!$W$2:$W$401,0)))</f>
        <v>+74955404579</v>
      </c>
    </row>
    <row r="18" customFormat="false" ht="15" hidden="false" customHeight="false" outlineLevel="0" collapsed="false">
      <c r="A18" s="21" t="n">
        <f aca="false">IF(ROWS(A$5:A18)&lt;=MAX(Реестр!$W$2:$W$401),ROWS(A$5:A18),"")</f>
        <v>14</v>
      </c>
      <c r="B18" s="24" t="str">
        <f aca="false">IF($A18="","",INDEX(Реестр!$B$2:$B$401,MATCH($A18,Реестр!$W$2:$W$401,0)))</f>
        <v>ООО «Атлант Стандарт»</v>
      </c>
      <c r="C18" s="24" t="str">
        <f aca="false">IF($A18="","",INDEX(Реестр!$C$2:$C$401,MATCH($A18,Реестр!$W$2:$W$401,0)))</f>
        <v>7733991323</v>
      </c>
      <c r="D18" s="24" t="str">
        <f aca="false">IF($A18="","",INDEX(Реестр!$D$2:$D$401,MATCH($A18,Реестр!$W$2:$W$401,0)))</f>
        <v>5147718846908</v>
      </c>
      <c r="E18" s="24" t="str">
        <f aca="false">IF($A18="","",INDEX(Реестр!$E$2:$E$401,MATCH($A18,Реестр!$W$2:$W$401,0)))</f>
        <v>773301008</v>
      </c>
      <c r="F18" s="24" t="str">
        <f aca="false">IF($A18="","",INDEX(Реестр!$J$2:$J$401,MATCH($A18,Реестр!$W$2:$W$401,0)))</f>
        <v>г. Москва</v>
      </c>
      <c r="G18" s="24" t="str">
        <f aca="false">IF($A18="","",INDEX(Реестр!$F$2:$F$401,MATCH($A18,Реестр!$W$2:$W$401,0)))</f>
        <v>г. Москва, ул. Мира, д. 3, оф. 177</v>
      </c>
      <c r="H18" s="24" t="str">
        <f aca="false">IF($A18="","",INDEX(Реестр!$G$2:$G$401,MATCH($A18,Реестр!$W$2:$W$401,0)))</f>
        <v>Васильева В. И.</v>
      </c>
      <c r="I18" s="24" t="str">
        <f aca="false">IF($A18="","",INDEX(Реестр!$H$2:$H$401,MATCH($A18,Реестр!$W$2:$W$401,0)))</f>
        <v>info@atlant-standart.example</v>
      </c>
      <c r="J18" s="24" t="str">
        <f aca="false">IF($A18="","",INDEX(Реестр!$I$2:$I$401,MATCH($A18,Реестр!$W$2:$W$401,0)))</f>
        <v>+7 (495) 595-26-82</v>
      </c>
    </row>
    <row r="19" customFormat="false" ht="15" hidden="false" customHeight="false" outlineLevel="0" collapsed="false">
      <c r="A19" s="21" t="n">
        <f aca="false">IF(ROWS(A$5:A19)&lt;=MAX(Реестр!$W$2:$W$401),ROWS(A$5:A19),"")</f>
        <v>15</v>
      </c>
      <c r="B19" s="24" t="str">
        <f aca="false">IF($A19="","",INDEX(Реестр!$B$2:$B$401,MATCH($A19,Реестр!$W$2:$W$401,0)))</f>
        <v>АО «Феникс Принт»</v>
      </c>
      <c r="C19" s="24" t="str">
        <f aca="false">IF($A19="","",INDEX(Реестр!$C$2:$C$401,MATCH($A19,Реестр!$W$2:$W$401,0)))</f>
        <v>1634407743</v>
      </c>
      <c r="D19" s="24" t="str">
        <f aca="false">IF($A19="","",INDEX(Реестр!$D$2:$D$401,MATCH($A19,Реестр!$W$2:$W$401,0)))</f>
        <v>1151617026593</v>
      </c>
      <c r="E19" s="24" t="str">
        <f aca="false">IF($A19="","",INDEX(Реестр!$E$2:$E$401,MATCH($A19,Реестр!$W$2:$W$401,0)))</f>
        <v>163443005</v>
      </c>
      <c r="F19" s="24" t="str">
        <f aca="false">IF($A19="","",INDEX(Реестр!$J$2:$J$401,MATCH($A19,Реестр!$W$2:$W$401,0)))</f>
        <v>Республика Татарстан</v>
      </c>
      <c r="G19" s="24" t="str">
        <f aca="false">IF($A19="","",INDEX(Реестр!$F$2:$F$401,MATCH($A19,Реестр!$W$2:$W$401,0)))</f>
        <v>г. Казань, ул. Советская, д. 49, оф. 3</v>
      </c>
      <c r="H19" s="24" t="str">
        <f aca="false">IF($A19="","",INDEX(Реестр!$G$2:$G$401,MATCH($A19,Реестр!$W$2:$W$401,0)))</f>
        <v>Кузнецова А. Т.</v>
      </c>
      <c r="I19" s="24" t="str">
        <f aca="false">IF($A19="","",INDEX(Реестр!$H$2:$H$401,MATCH($A19,Реестр!$W$2:$W$401,0)))</f>
        <v>zakaz@feniks-print.example</v>
      </c>
      <c r="J19" s="24" t="str">
        <f aca="false">IF($A19="","",INDEX(Реестр!$I$2:$I$401,MATCH($A19,Реестр!$W$2:$W$401,0)))</f>
        <v>8 843 5238471</v>
      </c>
    </row>
    <row r="20" customFormat="false" ht="15" hidden="false" customHeight="false" outlineLevel="0" collapsed="false">
      <c r="A20" s="21" t="n">
        <f aca="false">IF(ROWS(A$5:A20)&lt;=MAX(Реестр!$W$2:$W$401),ROWS(A$5:A20),"")</f>
        <v>16</v>
      </c>
      <c r="B20" s="24" t="str">
        <f aca="false">IF($A20="","",INDEX(Реестр!$B$2:$B$401,MATCH($A20,Реестр!$W$2:$W$401,0)))</f>
        <v>ООО «Меридиан Снаб»</v>
      </c>
      <c r="C20" s="24" t="str">
        <f aca="false">IF($A20="","",INDEX(Реестр!$C$2:$C$401,MATCH($A20,Реестр!$W$2:$W$401,0)))</f>
        <v>2407301260</v>
      </c>
      <c r="D20" s="24" t="str">
        <f aca="false">IF($A20="","",INDEX(Реестр!$D$2:$D$401,MATCH($A20,Реестр!$W$2:$W$401,0)))</f>
        <v>5062439439409</v>
      </c>
      <c r="E20" s="24" t="str">
        <f aca="false">IF($A20="","",INDEX(Реестр!$E$2:$E$401,MATCH($A20,Реестр!$W$2:$W$401,0)))</f>
        <v>240745007</v>
      </c>
      <c r="F20" s="24" t="str">
        <f aca="false">IF($A20="","",INDEX(Реестр!$J$2:$J$401,MATCH($A20,Реестр!$W$2:$W$401,0)))</f>
        <v>Красноярский край</v>
      </c>
      <c r="G20" s="24" t="str">
        <f aca="false">IF($A20="","",INDEX(Реестр!$F$2:$F$401,MATCH($A20,Реестр!$W$2:$W$401,0)))</f>
        <v>г. Красноярск, ул. Парковая, д. 79, оф. 282</v>
      </c>
      <c r="H20" s="24" t="str">
        <f aca="false">IF($A20="","",INDEX(Реестр!$G$2:$G$401,MATCH($A20,Реестр!$W$2:$W$401,0)))</f>
        <v>Алексеева С. Е.</v>
      </c>
      <c r="I20" s="24" t="str">
        <f aca="false">IF($A20="","",INDEX(Реестр!$H$2:$H$401,MATCH($A20,Реестр!$W$2:$W$401,0)))</f>
        <v>mail@meridian-snab.example</v>
      </c>
      <c r="J20" s="24" t="str">
        <f aca="false">IF($A20="","",INDEX(Реестр!$I$2:$I$401,MATCH($A20,Реестр!$W$2:$W$401,0)))</f>
        <v>8 391 5727299</v>
      </c>
    </row>
    <row r="21" customFormat="false" ht="15" hidden="false" customHeight="false" outlineLevel="0" collapsed="false">
      <c r="A21" s="21" t="n">
        <f aca="false">IF(ROWS(A$5:A21)&lt;=MAX(Реестр!$W$2:$W$401),ROWS(A$5:A21),"")</f>
        <v>17</v>
      </c>
      <c r="B21" s="24" t="str">
        <f aca="false">IF($A21="","",INDEX(Реестр!$B$2:$B$401,MATCH($A21,Реестр!$W$2:$W$401,0)))</f>
        <v>АО «Заря Торг»</v>
      </c>
      <c r="C21" s="24" t="str">
        <f aca="false">IF($A21="","",INDEX(Реестр!$C$2:$C$401,MATCH($A21,Реестр!$W$2:$W$401,0)))</f>
        <v>0248814206</v>
      </c>
      <c r="D21" s="24" t="str">
        <f aca="false">IF($A21="","",INDEX(Реестр!$D$2:$D$401,MATCH($A21,Реестр!$W$2:$W$401,0)))</f>
        <v>1110211564275</v>
      </c>
      <c r="E21" s="24" t="str">
        <f aca="false">IF($A21="","",INDEX(Реестр!$E$2:$E$401,MATCH($A21,Реестр!$W$2:$W$401,0)))</f>
        <v>024845003</v>
      </c>
      <c r="F21" s="24" t="str">
        <f aca="false">IF($A21="","",INDEX(Реестр!$J$2:$J$401,MATCH($A21,Реестр!$W$2:$W$401,0)))</f>
        <v>Республика Башкортостан</v>
      </c>
      <c r="G21" s="24" t="str">
        <f aca="false">IF($A21="","",INDEX(Реестр!$F$2:$F$401,MATCH($A21,Реестр!$W$2:$W$401,0)))</f>
        <v>г. Уфа, ул. Заводская, д. 49, оф. 255</v>
      </c>
      <c r="H21" s="24" t="str">
        <f aca="false">IF($A21="","",INDEX(Реестр!$G$2:$G$401,MATCH($A21,Реестр!$W$2:$W$401,0)))</f>
        <v>Михайлова М. А.</v>
      </c>
      <c r="I21" s="24" t="str">
        <f aca="false">IF($A21="","",INDEX(Реестр!$H$2:$H$401,MATCH($A21,Реестр!$W$2:$W$401,0)))</f>
        <v>info@zarya-torg.example</v>
      </c>
      <c r="J21" s="24" t="str">
        <f aca="false">IF($A21="","",INDEX(Реестр!$I$2:$I$401,MATCH($A21,Реестр!$W$2:$W$401,0)))</f>
        <v>+73475625607</v>
      </c>
    </row>
    <row r="22" customFormat="false" ht="15" hidden="false" customHeight="false" outlineLevel="0" collapsed="false">
      <c r="A22" s="21" t="n">
        <f aca="false">IF(ROWS(A$5:A22)&lt;=MAX(Реестр!$W$2:$W$401),ROWS(A$5:A22),"")</f>
        <v>18</v>
      </c>
      <c r="B22" s="24" t="str">
        <f aca="false">IF($A22="","",INDEX(Реестр!$B$2:$B$401,MATCH($A22,Реестр!$W$2:$W$401,0)))</f>
        <v>ООО «Меридиан Мед»</v>
      </c>
      <c r="C22" s="24" t="str">
        <f aca="false">IF($A22="","",INDEX(Реестр!$C$2:$C$401,MATCH($A22,Реестр!$W$2:$W$401,0)))</f>
        <v>9219871407</v>
      </c>
      <c r="D22" s="24" t="str">
        <f aca="false">IF($A22="","",INDEX(Реестр!$D$2:$D$401,MATCH($A22,Реестр!$W$2:$W$401,0)))</f>
        <v>5139249510560</v>
      </c>
      <c r="E22" s="24" t="str">
        <f aca="false">IF($A22="","",INDEX(Реестр!$E$2:$E$401,MATCH($A22,Реестр!$W$2:$W$401,0)))</f>
        <v>921945004</v>
      </c>
      <c r="F22" s="24" t="str">
        <f aca="false">IF($A22="","",INDEX(Реестр!$J$2:$J$401,MATCH($A22,Реестр!$W$2:$W$401,0)))</f>
        <v>г. Севастополь</v>
      </c>
      <c r="G22" s="24" t="str">
        <f aca="false">IF($A22="","",INDEX(Реестр!$F$2:$F$401,MATCH($A22,Реестр!$W$2:$W$401,0)))</f>
        <v>г. Севастополь, ул. Ленина, д. 54, оф. 270</v>
      </c>
      <c r="H22" s="24" t="str">
        <f aca="false">IF($A22="","",INDEX(Реестр!$G$2:$G$401,MATCH($A22,Реестр!$W$2:$W$401,0)))</f>
        <v>Лебедева В. В.</v>
      </c>
      <c r="I22" s="24" t="str">
        <f aca="false">IF($A22="","",INDEX(Реестр!$H$2:$H$401,MATCH($A22,Реестр!$W$2:$W$401,0)))</f>
        <v>zakaz@meridian-med.example</v>
      </c>
      <c r="J22" s="24" t="str">
        <f aca="false">IF($A22="","",INDEX(Реестр!$I$2:$I$401,MATCH($A22,Реестр!$W$2:$W$401,0)))</f>
        <v>+7 (869) 549-89-56</v>
      </c>
    </row>
    <row r="23" customFormat="false" ht="15" hidden="false" customHeight="false" outlineLevel="0" collapsed="false">
      <c r="A23" s="21" t="n">
        <f aca="false">IF(ROWS(A$5:A23)&lt;=MAX(Реестр!$W$2:$W$401),ROWS(A$5:A23),"")</f>
        <v>19</v>
      </c>
      <c r="B23" s="24" t="str">
        <f aca="false">IF($A23="","",INDEX(Реестр!$B$2:$B$401,MATCH($A23,Реестр!$W$2:$W$401,0)))</f>
        <v>АО «Дельта Мед»</v>
      </c>
      <c r="C23" s="24" t="str">
        <f aca="false">IF($A23="","",INDEX(Реестр!$C$2:$C$401,MATCH($A23,Реестр!$W$2:$W$401,0)))</f>
        <v>2316282203</v>
      </c>
      <c r="D23" s="24" t="str">
        <f aca="false">IF($A23="","",INDEX(Реестр!$D$2:$D$401,MATCH($A23,Реестр!$W$2:$W$401,0)))</f>
        <v>1172340515896</v>
      </c>
      <c r="E23" s="24" t="str">
        <f aca="false">IF($A23="","",INDEX(Реестр!$E$2:$E$401,MATCH($A23,Реестр!$W$2:$W$401,0)))</f>
        <v>231643003</v>
      </c>
      <c r="F23" s="24" t="str">
        <f aca="false">IF($A23="","",INDEX(Реестр!$J$2:$J$401,MATCH($A23,Реестр!$W$2:$W$401,0)))</f>
        <v>Краснодарский край</v>
      </c>
      <c r="G23" s="24" t="str">
        <f aca="false">IF($A23="","",INDEX(Реестр!$F$2:$F$401,MATCH($A23,Реестр!$W$2:$W$401,0)))</f>
        <v>г. Краснодар, ул. Садовая, д. 66, оф. 98</v>
      </c>
      <c r="H23" s="24" t="str">
        <f aca="false">IF($A23="","",INDEX(Реестр!$G$2:$G$401,MATCH($A23,Реестр!$W$2:$W$401,0)))</f>
        <v>Волков А. Д.</v>
      </c>
      <c r="I23" s="24" t="str">
        <f aca="false">IF($A23="","",INDEX(Реестр!$H$2:$H$401,MATCH($A23,Реестр!$W$2:$W$401,0)))</f>
        <v>mail@delta-med.example</v>
      </c>
      <c r="J23" s="24" t="str">
        <f aca="false">IF($A23="","",INDEX(Реестр!$I$2:$I$401,MATCH($A23,Реестр!$W$2:$W$401,0)))</f>
        <v>+7 (861) 503-79-20</v>
      </c>
    </row>
    <row r="24" customFormat="false" ht="15" hidden="false" customHeight="false" outlineLevel="0" collapsed="false">
      <c r="A24" s="21" t="n">
        <f aca="false">IF(ROWS(A$5:A24)&lt;=MAX(Реестр!$W$2:$W$401),ROWS(A$5:A24),"")</f>
        <v>20</v>
      </c>
      <c r="B24" s="24" t="str">
        <f aca="false">IF($A24="","",INDEX(Реестр!$B$2:$B$401,MATCH($A24,Реестр!$W$2:$W$401,0)))</f>
        <v>АО «Тандем Агро»</v>
      </c>
      <c r="C24" s="24" t="str">
        <f aca="false">IF($A24="","",INDEX(Реестр!$C$2:$C$401,MATCH($A24,Реестр!$W$2:$W$401,0)))</f>
        <v>9127308025</v>
      </c>
      <c r="D24" s="24" t="str">
        <f aca="false">IF($A24="","",INDEX(Реестр!$D$2:$D$401,MATCH($A24,Реестр!$W$2:$W$401,0)))</f>
        <v>5119101126766</v>
      </c>
      <c r="E24" s="24" t="str">
        <f aca="false">IF($A24="","",INDEX(Реестр!$E$2:$E$401,MATCH($A24,Реестр!$W$2:$W$401,0)))</f>
        <v>912701006</v>
      </c>
      <c r="F24" s="24" t="str">
        <f aca="false">IF($A24="","",INDEX(Реестр!$J$2:$J$401,MATCH($A24,Реестр!$W$2:$W$401,0)))</f>
        <v>Республика Крым</v>
      </c>
      <c r="G24" s="24" t="str">
        <f aca="false">IF($A24="","",INDEX(Реестр!$F$2:$F$401,MATCH($A24,Реестр!$W$2:$W$401,0)))</f>
        <v>г. Симферополь, ул. Кирова, д. 20, оф. 236</v>
      </c>
      <c r="H24" s="24" t="str">
        <f aca="false">IF($A24="","",INDEX(Реестр!$G$2:$G$401,MATCH($A24,Реестр!$W$2:$W$401,0)))</f>
        <v>Николаева В. Д.</v>
      </c>
      <c r="I24" s="24" t="str">
        <f aca="false">IF($A24="","",INDEX(Реестр!$H$2:$H$401,MATCH($A24,Реестр!$W$2:$W$401,0)))</f>
        <v>zakaz@tandem-agro.example</v>
      </c>
      <c r="J24" s="24" t="str">
        <f aca="false">IF($A24="","",INDEX(Реестр!$I$2:$I$401,MATCH($A24,Реестр!$W$2:$W$401,0)))</f>
        <v>+7 (365) 512-92-23</v>
      </c>
    </row>
    <row r="25" customFormat="false" ht="15" hidden="false" customHeight="false" outlineLevel="0" collapsed="false">
      <c r="A25" s="21" t="n">
        <f aca="false">IF(ROWS(A$5:A25)&lt;=MAX(Реестр!$W$2:$W$401),ROWS(A$5:A25),"")</f>
        <v>21</v>
      </c>
      <c r="B25" s="24" t="str">
        <f aca="false">IF($A25="","",INDEX(Реестр!$B$2:$B$401,MATCH($A25,Реестр!$W$2:$W$401,0)))</f>
        <v>ООО «Альфа Трейд»</v>
      </c>
      <c r="C25" s="24" t="str">
        <f aca="false">IF($A25="","",INDEX(Реестр!$C$2:$C$401,MATCH($A25,Реестр!$W$2:$W$401,0)))</f>
        <v>5017934375</v>
      </c>
      <c r="D25" s="24" t="str">
        <f aca="false">IF($A25="","",INDEX(Реестр!$D$2:$D$401,MATCH($A25,Реестр!$W$2:$W$401,0)))</f>
        <v>1155007458858</v>
      </c>
      <c r="E25" s="24" t="str">
        <f aca="false">IF($A25="","",INDEX(Реестр!$E$2:$E$401,MATCH($A25,Реестр!$W$2:$W$401,0)))</f>
        <v>501701001</v>
      </c>
      <c r="F25" s="24" t="str">
        <f aca="false">IF($A25="","",INDEX(Реестр!$J$2:$J$401,MATCH($A25,Реестр!$W$2:$W$401,0)))</f>
        <v>Московская область</v>
      </c>
      <c r="G25" s="24" t="str">
        <f aca="false">IF($A25="","",INDEX(Реестр!$F$2:$F$401,MATCH($A25,Реестр!$W$2:$W$401,0)))</f>
        <v>г. Красногорск, ул. Советская, д. 78, оф. 158</v>
      </c>
      <c r="H25" s="24" t="str">
        <f aca="false">IF($A25="","",INDEX(Реестр!$G$2:$G$401,MATCH($A25,Реестр!$W$2:$W$401,0)))</f>
        <v>Петрова О. Д.</v>
      </c>
      <c r="I25" s="24" t="str">
        <f aca="false">IF($A25="","",INDEX(Реестр!$H$2:$H$401,MATCH($A25,Реестр!$W$2:$W$401,0)))</f>
        <v>mail@alfa-treid.example</v>
      </c>
      <c r="J25" s="24" t="str">
        <f aca="false">IF($A25="","",INDEX(Реестр!$I$2:$I$401,MATCH($A25,Реестр!$W$2:$W$401,0)))</f>
        <v>8 498 5728615</v>
      </c>
    </row>
    <row r="26" customFormat="false" ht="15" hidden="false" customHeight="false" outlineLevel="0" collapsed="false">
      <c r="A26" s="21" t="n">
        <f aca="false">IF(ROWS(A$5:A26)&lt;=MAX(Реестр!$W$2:$W$401),ROWS(A$5:A26),"")</f>
        <v>22</v>
      </c>
      <c r="B26" s="24" t="str">
        <f aca="false">IF($A26="","",INDEX(Реестр!$B$2:$B$401,MATCH($A26,Реестр!$W$2:$W$401,0)))</f>
        <v>ООО «Навигатор Строй»</v>
      </c>
      <c r="C26" s="24" t="str">
        <f aca="false">IF($A26="","",INDEX(Реестр!$C$2:$C$401,MATCH($A26,Реестр!$W$2:$W$401,0)))</f>
        <v>7440346309</v>
      </c>
      <c r="D26" s="24" t="str">
        <f aca="false">IF($A26="","",INDEX(Реестр!$D$2:$D$401,MATCH($A26,Реестр!$W$2:$W$401,0)))</f>
        <v>5157440758107</v>
      </c>
      <c r="E26" s="24" t="str">
        <f aca="false">IF($A26="","",INDEX(Реестр!$E$2:$E$401,MATCH($A26,Реестр!$W$2:$W$401,0)))</f>
        <v>744001004</v>
      </c>
      <c r="F26" s="24" t="str">
        <f aca="false">IF($A26="","",INDEX(Реестр!$J$2:$J$401,MATCH($A26,Реестр!$W$2:$W$401,0)))</f>
        <v>Челябинская область</v>
      </c>
      <c r="G26" s="24" t="str">
        <f aca="false">IF($A26="","",INDEX(Реестр!$F$2:$F$401,MATCH($A26,Реестр!$W$2:$W$401,0)))</f>
        <v>г. Челябинск, ул. Победы, д. 106, оф. 269</v>
      </c>
      <c r="H26" s="24" t="str">
        <f aca="false">IF($A26="","",INDEX(Реестр!$G$2:$G$401,MATCH($A26,Реестр!$W$2:$W$401,0)))</f>
        <v>Лебедев Д. Т.</v>
      </c>
      <c r="I26" s="24" t="str">
        <f aca="false">IF($A26="","",INDEX(Реестр!$H$2:$H$401,MATCH($A26,Реестр!$W$2:$W$401,0)))</f>
        <v>office@navigator-stroy.example</v>
      </c>
      <c r="J26" s="24" t="str">
        <f aca="false">IF($A26="","",INDEX(Реестр!$I$2:$I$401,MATCH($A26,Реестр!$W$2:$W$401,0)))</f>
        <v>+73515582503</v>
      </c>
    </row>
    <row r="27" customFormat="false" ht="15" hidden="false" customHeight="false" outlineLevel="0" collapsed="false">
      <c r="A27" s="21" t="n">
        <f aca="false">IF(ROWS(A$5:A27)&lt;=MAX(Реестр!$W$2:$W$401),ROWS(A$5:A27),"")</f>
        <v>23</v>
      </c>
      <c r="B27" s="24" t="str">
        <f aca="false">IF($A27="","",INDEX(Реестр!$B$2:$B$401,MATCH($A27,Реестр!$W$2:$W$401,0)))</f>
        <v>АО «Юпитер Сервис»</v>
      </c>
      <c r="C27" s="24" t="str">
        <f aca="false">IF($A27="","",INDEX(Реестр!$C$2:$C$401,MATCH($A27,Реестр!$W$2:$W$401,0)))</f>
        <v>7846953978</v>
      </c>
      <c r="D27" s="24" t="str">
        <f aca="false">IF($A27="","",INDEX(Реестр!$D$2:$D$401,MATCH($A27,Реестр!$W$2:$W$401,0)))</f>
        <v>5077823677916</v>
      </c>
      <c r="E27" s="24" t="str">
        <f aca="false">IF($A27="","",INDEX(Реестр!$E$2:$E$401,MATCH($A27,Реестр!$W$2:$W$401,0)))</f>
        <v>784601005</v>
      </c>
      <c r="F27" s="24" t="str">
        <f aca="false">IF($A27="","",INDEX(Реестр!$J$2:$J$401,MATCH($A27,Реестр!$W$2:$W$401,0)))</f>
        <v>г. Санкт-Петербург</v>
      </c>
      <c r="G27" s="24" t="str">
        <f aca="false">IF($A27="","",INDEX(Реестр!$F$2:$F$401,MATCH($A27,Реестр!$W$2:$W$401,0)))</f>
        <v>г. Санкт-Петербург, ул. Школьная, д. 15, оф. 127</v>
      </c>
      <c r="H27" s="24" t="str">
        <f aca="false">IF($A27="","",INDEX(Реестр!$G$2:$G$401,MATCH($A27,Реестр!$W$2:$W$401,0)))</f>
        <v>Фёдорова М. И.</v>
      </c>
      <c r="I27" s="24" t="str">
        <f aca="false">IF($A27="","",INDEX(Реестр!$H$2:$H$401,MATCH($A27,Реестр!$W$2:$W$401,0)))</f>
        <v>info@yupiter-servis.example</v>
      </c>
      <c r="J27" s="24" t="str">
        <f aca="false">IF($A27="","",INDEX(Реестр!$I$2:$I$401,MATCH($A27,Реестр!$W$2:$W$401,0)))</f>
        <v>8 812 5354036</v>
      </c>
    </row>
    <row r="28" customFormat="false" ht="15" hidden="false" customHeight="false" outlineLevel="0" collapsed="false">
      <c r="A28" s="21" t="n">
        <f aca="false">IF(ROWS(A$5:A28)&lt;=MAX(Реестр!$W$2:$W$401),ROWS(A$5:A28),"")</f>
        <v>24</v>
      </c>
      <c r="B28" s="24" t="str">
        <f aca="false">IF($A28="","",INDEX(Реестр!$B$2:$B$401,MATCH($A28,Реестр!$W$2:$W$401,0)))</f>
        <v>ООО «Орбита Проект»</v>
      </c>
      <c r="C28" s="24" t="str">
        <f aca="false">IF($A28="","",INDEX(Реестр!$C$2:$C$401,MATCH($A28,Реестр!$W$2:$W$401,0)))</f>
        <v>5430797877</v>
      </c>
      <c r="D28" s="24" t="str">
        <f aca="false">IF($A28="","",INDEX(Реестр!$D$2:$D$401,MATCH($A28,Реестр!$W$2:$W$401,0)))</f>
        <v>5235407488410</v>
      </c>
      <c r="E28" s="24" t="str">
        <f aca="false">IF($A28="","",INDEX(Реестр!$E$2:$E$401,MATCH($A28,Реестр!$W$2:$W$401,0)))</f>
        <v>543043008</v>
      </c>
      <c r="F28" s="24" t="str">
        <f aca="false">IF($A28="","",INDEX(Реестр!$J$2:$J$401,MATCH($A28,Реестр!$W$2:$W$401,0)))</f>
        <v>Новосибирская область</v>
      </c>
      <c r="G28" s="24" t="str">
        <f aca="false">IF($A28="","",INDEX(Реестр!$F$2:$F$401,MATCH($A28,Реестр!$W$2:$W$401,0)))</f>
        <v>г. Новосибирск, ул. Гагарина, д. 42, оф. 292</v>
      </c>
      <c r="H28" s="24" t="str">
        <f aca="false">IF($A28="","",INDEX(Реестр!$G$2:$G$401,MATCH($A28,Реестр!$W$2:$W$401,0)))</f>
        <v>Морозова О. Т.</v>
      </c>
      <c r="I28" s="24" t="str">
        <f aca="false">IF($A28="","",INDEX(Реестр!$H$2:$H$401,MATCH($A28,Реестр!$W$2:$W$401,0)))</f>
        <v>zakaz@orbita-proekt.example</v>
      </c>
      <c r="J28" s="24" t="str">
        <f aca="false">IF($A28="","",INDEX(Реестр!$I$2:$I$401,MATCH($A28,Реестр!$W$2:$W$401,0)))</f>
        <v>8 383 5405112</v>
      </c>
    </row>
    <row r="29" customFormat="false" ht="15" hidden="false" customHeight="false" outlineLevel="0" collapsed="false">
      <c r="A29" s="21" t="n">
        <f aca="false">IF(ROWS(A$5:A29)&lt;=MAX(Реестр!$W$2:$W$401),ROWS(A$5:A29),"")</f>
        <v>25</v>
      </c>
      <c r="B29" s="24" t="str">
        <f aca="false">IF($A29="","",INDEX(Реестр!$B$2:$B$401,MATCH($A29,Реестр!$W$2:$W$401,0)))</f>
        <v>АО «Атлант Логистик»</v>
      </c>
      <c r="C29" s="24" t="str">
        <f aca="false">IF($A29="","",INDEX(Реестр!$C$2:$C$401,MATCH($A29,Реестр!$W$2:$W$401,0)))</f>
        <v>5239030324</v>
      </c>
      <c r="D29" s="24" t="str">
        <f aca="false">IF($A29="","",INDEX(Реестр!$D$2:$D$401,MATCH($A29,Реестр!$W$2:$W$401,0)))</f>
        <v>5195235071653</v>
      </c>
      <c r="E29" s="24" t="str">
        <f aca="false">IF($A29="","",INDEX(Реестр!$E$2:$E$401,MATCH($A29,Реестр!$W$2:$W$401,0)))</f>
        <v>523901006</v>
      </c>
      <c r="F29" s="24" t="str">
        <f aca="false">IF($A29="","",INDEX(Реестр!$J$2:$J$401,MATCH($A29,Реестр!$W$2:$W$401,0)))</f>
        <v>Нижегородская область</v>
      </c>
      <c r="G29" s="24" t="str">
        <f aca="false">IF($A29="","",INDEX(Реестр!$F$2:$F$401,MATCH($A29,Реестр!$W$2:$W$401,0)))</f>
        <v>г. Нижний Новгород, ул. Садовая, д. 34, оф. 197</v>
      </c>
      <c r="H29" s="24" t="str">
        <f aca="false">IF($A29="","",INDEX(Реестр!$G$2:$G$401,MATCH($A29,Реестр!$W$2:$W$401,0)))</f>
        <v>Иванова Н. А.</v>
      </c>
      <c r="I29" s="24" t="str">
        <f aca="false">IF($A29="","",INDEX(Реестр!$H$2:$H$401,MATCH($A29,Реестр!$W$2:$W$401,0)))</f>
        <v>mail@atlant-logistik.example</v>
      </c>
      <c r="J29" s="24" t="str">
        <f aca="false">IF($A29="","",INDEX(Реестр!$I$2:$I$401,MATCH($A29,Реестр!$W$2:$W$401,0)))</f>
        <v>+7 (831) 590-42-10</v>
      </c>
    </row>
    <row r="30" customFormat="false" ht="15" hidden="false" customHeight="false" outlineLevel="0" collapsed="false">
      <c r="A30" s="21" t="n">
        <f aca="false">IF(ROWS(A$5:A30)&lt;=MAX(Реестр!$W$2:$W$401),ROWS(A$5:A30),"")</f>
        <v>26</v>
      </c>
      <c r="B30" s="24" t="str">
        <f aca="false">IF($A30="","",INDEX(Реестр!$B$2:$B$401,MATCH($A30,Реестр!$W$2:$W$401,0)))</f>
        <v>ООО «Орбита Торг»</v>
      </c>
      <c r="C30" s="24" t="str">
        <f aca="false">IF($A30="","",INDEX(Реестр!$C$2:$C$401,MATCH($A30,Реестр!$W$2:$W$401,0)))</f>
        <v>7730135170</v>
      </c>
      <c r="D30" s="24" t="str">
        <f aca="false">IF($A30="","",INDEX(Реестр!$D$2:$D$401,MATCH($A30,Реестр!$W$2:$W$401,0)))</f>
        <v>1117709141681</v>
      </c>
      <c r="E30" s="24" t="str">
        <f aca="false">IF($A30="","",INDEX(Реестр!$E$2:$E$401,MATCH($A30,Реестр!$W$2:$W$401,0)))</f>
        <v>773043004</v>
      </c>
      <c r="F30" s="24" t="str">
        <f aca="false">IF($A30="","",INDEX(Реестр!$J$2:$J$401,MATCH($A30,Реестр!$W$2:$W$401,0)))</f>
        <v>г. Москва</v>
      </c>
      <c r="G30" s="24" t="str">
        <f aca="false">IF($A30="","",INDEX(Реестр!$F$2:$F$401,MATCH($A30,Реестр!$W$2:$W$401,0)))</f>
        <v>г. Москва, ул. Мира, д. 89, оф. 35</v>
      </c>
      <c r="H30" s="24" t="str">
        <f aca="false">IF($A30="","",INDEX(Реестр!$G$2:$G$401,MATCH($A30,Реестр!$W$2:$W$401,0)))</f>
        <v>Петров Т. В.</v>
      </c>
      <c r="I30" s="24" t="str">
        <f aca="false">IF($A30="","",INDEX(Реестр!$H$2:$H$401,MATCH($A30,Реестр!$W$2:$W$401,0)))</f>
        <v>info@orbita-torg.example</v>
      </c>
      <c r="J30" s="24" t="str">
        <f aca="false">IF($A30="","",INDEX(Реестр!$I$2:$I$401,MATCH($A30,Реестр!$W$2:$W$401,0)))</f>
        <v>8 495 5038580</v>
      </c>
    </row>
    <row r="31" customFormat="false" ht="15" hidden="false" customHeight="false" outlineLevel="0" collapsed="false">
      <c r="A31" s="21" t="n">
        <f aca="false">IF(ROWS(A$5:A31)&lt;=MAX(Реестр!$W$2:$W$401),ROWS(A$5:A31),"")</f>
        <v>27</v>
      </c>
      <c r="B31" s="24" t="str">
        <f aca="false">IF($A31="","",INDEX(Реестр!$B$2:$B$401,MATCH($A31,Реестр!$W$2:$W$401,0)))</f>
        <v>ООО «Вектор Трейд»</v>
      </c>
      <c r="C31" s="24" t="str">
        <f aca="false">IF($A31="","",INDEX(Реестр!$C$2:$C$401,MATCH($A31,Реестр!$W$2:$W$401,0)))</f>
        <v>2444578277</v>
      </c>
      <c r="D31" s="24" t="str">
        <f aca="false">IF($A31="","",INDEX(Реестр!$D$2:$D$401,MATCH($A31,Реестр!$W$2:$W$401,0)))</f>
        <v>1032427408463</v>
      </c>
      <c r="E31" s="24" t="str">
        <f aca="false">IF($A31="","",INDEX(Реестр!$E$2:$E$401,MATCH($A31,Реестр!$W$2:$W$401,0)))</f>
        <v>244401005</v>
      </c>
      <c r="F31" s="24" t="str">
        <f aca="false">IF($A31="","",INDEX(Реестр!$J$2:$J$401,MATCH($A31,Реестр!$W$2:$W$401,0)))</f>
        <v>Красноярский край</v>
      </c>
      <c r="G31" s="24" t="str">
        <f aca="false">IF($A31="","",INDEX(Реестр!$F$2:$F$401,MATCH($A31,Реестр!$W$2:$W$401,0)))</f>
        <v>г. Красноярск, ул. Кирова, д. 120, оф. 275</v>
      </c>
      <c r="H31" s="24" t="str">
        <f aca="false">IF($A31="","",INDEX(Реестр!$G$2:$G$401,MATCH($A31,Реестр!$W$2:$W$401,0)))</f>
        <v>Фёдорова С. В.</v>
      </c>
      <c r="I31" s="24" t="str">
        <f aca="false">IF($A31="","",INDEX(Реестр!$H$2:$H$401,MATCH($A31,Реестр!$W$2:$W$401,0)))</f>
        <v>office@vektor-treid.example</v>
      </c>
      <c r="J31" s="24" t="str">
        <f aca="false">IF($A31="","",INDEX(Реестр!$I$2:$I$401,MATCH($A31,Реестр!$W$2:$W$401,0)))</f>
        <v>+73915475413</v>
      </c>
    </row>
    <row r="32" customFormat="false" ht="15" hidden="false" customHeight="false" outlineLevel="0" collapsed="false">
      <c r="A32" s="21" t="n">
        <f aca="false">IF(ROWS(A$5:A32)&lt;=MAX(Реестр!$W$2:$W$401),ROWS(A$5:A32),"")</f>
        <v>28</v>
      </c>
      <c r="B32" s="24" t="str">
        <f aca="false">IF($A32="","",INDEX(Реестр!$B$2:$B$401,MATCH($A32,Реестр!$W$2:$W$401,0)))</f>
        <v>АО «Вектор Фуд»</v>
      </c>
      <c r="C32" s="24" t="str">
        <f aca="false">IF($A32="","",INDEX(Реестр!$C$2:$C$401,MATCH($A32,Реестр!$W$2:$W$401,0)))</f>
        <v>9119123895</v>
      </c>
      <c r="D32" s="24" t="str">
        <f aca="false">IF($A32="","",INDEX(Реестр!$D$2:$D$401,MATCH($A32,Реестр!$W$2:$W$401,0)))</f>
        <v>1159113353552</v>
      </c>
      <c r="E32" s="24" t="str">
        <f aca="false">IF($A32="","",INDEX(Реестр!$E$2:$E$401,MATCH($A32,Реестр!$W$2:$W$401,0)))</f>
        <v>911943009</v>
      </c>
      <c r="F32" s="24" t="str">
        <f aca="false">IF($A32="","",INDEX(Реестр!$J$2:$J$401,MATCH($A32,Реестр!$W$2:$W$401,0)))</f>
        <v>Республика Крым</v>
      </c>
      <c r="G32" s="24" t="str">
        <f aca="false">IF($A32="","",INDEX(Реестр!$F$2:$F$401,MATCH($A32,Реестр!$W$2:$W$401,0)))</f>
        <v>г. Симферополь, ул. Гагарина, д. 20, оф. 106</v>
      </c>
      <c r="H32" s="24" t="str">
        <f aca="false">IF($A32="","",INDEX(Реестр!$G$2:$G$401,MATCH($A32,Реестр!$W$2:$W$401,0)))</f>
        <v>Семёнов Е. А.</v>
      </c>
      <c r="I32" s="24" t="str">
        <f aca="false">IF($A32="","",INDEX(Реестр!$H$2:$H$401,MATCH($A32,Реестр!$W$2:$W$401,0)))</f>
        <v>mail@vektor-fud.example</v>
      </c>
      <c r="J32" s="24" t="str">
        <f aca="false">IF($A32="","",INDEX(Реестр!$I$2:$I$401,MATCH($A32,Реестр!$W$2:$W$401,0)))</f>
        <v>+7 (365) 520-98-47</v>
      </c>
    </row>
    <row r="33" customFormat="false" ht="15" hidden="false" customHeight="false" outlineLevel="0" collapsed="false">
      <c r="A33" s="21" t="n">
        <f aca="false">IF(ROWS(A$5:A33)&lt;=MAX(Реестр!$W$2:$W$401),ROWS(A$5:A33),"")</f>
        <v>29</v>
      </c>
      <c r="B33" s="24" t="str">
        <f aca="false">IF($A33="","",INDEX(Реестр!$B$2:$B$401,MATCH($A33,Реестр!$W$2:$W$401,0)))</f>
        <v>АО «Заря Монтаж»</v>
      </c>
      <c r="C33" s="24" t="str">
        <f aca="false">IF($A33="","",INDEX(Реестр!$C$2:$C$401,MATCH($A33,Реестр!$W$2:$W$401,0)))</f>
        <v>7824756292</v>
      </c>
      <c r="D33" s="24" t="str">
        <f aca="false">IF($A33="","",INDEX(Реестр!$D$2:$D$401,MATCH($A33,Реестр!$W$2:$W$401,0)))</f>
        <v>1107836286854</v>
      </c>
      <c r="E33" s="24" t="str">
        <f aca="false">IF($A33="","",INDEX(Реестр!$E$2:$E$401,MATCH($A33,Реестр!$W$2:$W$401,0)))</f>
        <v>782401006</v>
      </c>
      <c r="F33" s="24" t="str">
        <f aca="false">IF($A33="","",INDEX(Реестр!$J$2:$J$401,MATCH($A33,Реестр!$W$2:$W$401,0)))</f>
        <v>г. Санкт-Петербург</v>
      </c>
      <c r="G33" s="24" t="str">
        <f aca="false">IF($A33="","",INDEX(Реестр!$F$2:$F$401,MATCH($A33,Реестр!$W$2:$W$401,0)))</f>
        <v>г. Санкт-Петербург, ул. Школьная, д. 12, оф. 156</v>
      </c>
      <c r="H33" s="24" t="str">
        <f aca="false">IF($A33="","",INDEX(Реестр!$G$2:$G$401,MATCH($A33,Реестр!$W$2:$W$401,0)))</f>
        <v>Смирнова Д. А.</v>
      </c>
      <c r="I33" s="24" t="str">
        <f aca="false">IF($A33="","",INDEX(Реестр!$H$2:$H$401,MATCH($A33,Реестр!$W$2:$W$401,0)))</f>
        <v>sales@zarya-montazh.example</v>
      </c>
      <c r="J33" s="24" t="str">
        <f aca="false">IF($A33="","",INDEX(Реестр!$I$2:$I$401,MATCH($A33,Реестр!$W$2:$W$401,0)))</f>
        <v>+7 (812) 571-24-79</v>
      </c>
    </row>
    <row r="34" customFormat="false" ht="15" hidden="false" customHeight="false" outlineLevel="0" collapsed="false">
      <c r="A34" s="21" t="n">
        <f aca="false">IF(ROWS(A$5:A34)&lt;=MAX(Реестр!$W$2:$W$401),ROWS(A$5:A34),"")</f>
        <v>30</v>
      </c>
      <c r="B34" s="24" t="str">
        <f aca="false">IF($A34="","",INDEX(Реестр!$B$2:$B$401,MATCH($A34,Реестр!$W$2:$W$401,0)))</f>
        <v>ООО «Горизонт Софт»</v>
      </c>
      <c r="C34" s="24" t="str">
        <f aca="false">IF($A34="","",INDEX(Реестр!$C$2:$C$401,MATCH($A34,Реестр!$W$2:$W$401,0)))</f>
        <v>2431832494</v>
      </c>
      <c r="D34" s="24" t="str">
        <f aca="false">IF($A34="","",INDEX(Реестр!$D$2:$D$401,MATCH($A34,Реестр!$W$2:$W$401,0)))</f>
        <v>1112410351591</v>
      </c>
      <c r="E34" s="24" t="str">
        <f aca="false">IF($A34="","",INDEX(Реестр!$E$2:$E$401,MATCH($A34,Реестр!$W$2:$W$401,0)))</f>
        <v>243143007</v>
      </c>
      <c r="F34" s="24" t="str">
        <f aca="false">IF($A34="","",INDEX(Реестр!$J$2:$J$401,MATCH($A34,Реестр!$W$2:$W$401,0)))</f>
        <v>Красноярский край</v>
      </c>
      <c r="G34" s="24" t="str">
        <f aca="false">IF($A34="","",INDEX(Реестр!$F$2:$F$401,MATCH($A34,Реестр!$W$2:$W$401,0)))</f>
        <v>г. Красноярск, ул. Победы, д. 14, оф. 107</v>
      </c>
      <c r="H34" s="24" t="str">
        <f aca="false">IF($A34="","",INDEX(Реестр!$G$2:$G$401,MATCH($A34,Реестр!$W$2:$W$401,0)))</f>
        <v>Козлова И. М.</v>
      </c>
      <c r="I34" s="24" t="str">
        <f aca="false">IF($A34="","",INDEX(Реестр!$H$2:$H$401,MATCH($A34,Реестр!$W$2:$W$401,0)))</f>
        <v>mail@gorizont-soft.example</v>
      </c>
      <c r="J34" s="24" t="str">
        <f aca="false">IF($A34="","",INDEX(Реестр!$I$2:$I$401,MATCH($A34,Реестр!$W$2:$W$401,0)))</f>
        <v>+7 (391) 515-43-96</v>
      </c>
    </row>
    <row r="35" customFormat="false" ht="15" hidden="false" customHeight="false" outlineLevel="0" collapsed="false">
      <c r="A35" s="21" t="n">
        <f aca="false">IF(ROWS(A$5:A35)&lt;=MAX(Реестр!$W$2:$W$401),ROWS(A$5:A35),"")</f>
        <v>31</v>
      </c>
      <c r="B35" s="24" t="str">
        <f aca="false">IF($A35="","",INDEX(Реестр!$B$2:$B$401,MATCH($A35,Реестр!$W$2:$W$401,0)))</f>
        <v>ООО «Линия Трейд»</v>
      </c>
      <c r="C35" s="24" t="str">
        <f aca="false">IF($A35="","",INDEX(Реестр!$C$2:$C$401,MATCH($A35,Реестр!$W$2:$W$401,0)))</f>
        <v>5019991379</v>
      </c>
      <c r="D35" s="24" t="str">
        <f aca="false">IF($A35="","",INDEX(Реестр!$D$2:$D$401,MATCH($A35,Реестр!$W$2:$W$401,0)))</f>
        <v>5045013857422</v>
      </c>
      <c r="E35" s="24" t="str">
        <f aca="false">IF($A35="","",INDEX(Реестр!$E$2:$E$401,MATCH($A35,Реестр!$W$2:$W$401,0)))</f>
        <v>501901009</v>
      </c>
      <c r="F35" s="24" t="str">
        <f aca="false">IF($A35="","",INDEX(Реестр!$J$2:$J$401,MATCH($A35,Реестр!$W$2:$W$401,0)))</f>
        <v>Московская область</v>
      </c>
      <c r="G35" s="24" t="str">
        <f aca="false">IF($A35="","",INDEX(Реестр!$F$2:$F$401,MATCH($A35,Реестр!$W$2:$W$401,0)))</f>
        <v>г. Красногорск, ул. Ленина, д. 4, оф. 162</v>
      </c>
      <c r="H35" s="24" t="str">
        <f aca="false">IF($A35="","",INDEX(Реестр!$G$2:$G$401,MATCH($A35,Реестр!$W$2:$W$401,0)))</f>
        <v>Фёдорова А. Д.</v>
      </c>
      <c r="I35" s="24" t="str">
        <f aca="false">IF($A35="","",INDEX(Реестр!$H$2:$H$401,MATCH($A35,Реестр!$W$2:$W$401,0)))</f>
        <v>office@liniya-treid.example</v>
      </c>
      <c r="J35" s="24" t="str">
        <f aca="false">IF($A35="","",INDEX(Реестр!$I$2:$I$401,MATCH($A35,Реестр!$W$2:$W$401,0)))</f>
        <v>8 498 5098335</v>
      </c>
    </row>
    <row r="36" customFormat="false" ht="15" hidden="false" customHeight="false" outlineLevel="0" collapsed="false">
      <c r="A36" s="21" t="n">
        <f aca="false">IF(ROWS(A$5:A36)&lt;=MAX(Реестр!$W$2:$W$401),ROWS(A$5:A36),"")</f>
        <v>32</v>
      </c>
      <c r="B36" s="24" t="str">
        <f aca="false">IF($A36="","",INDEX(Реестр!$B$2:$B$401,MATCH($A36,Реестр!$W$2:$W$401,0)))</f>
        <v>АО «Альфа Стандарт»</v>
      </c>
      <c r="C36" s="24" t="str">
        <f aca="false">IF($A36="","",INDEX(Реестр!$C$2:$C$401,MATCH($A36,Реестр!$W$2:$W$401,0)))</f>
        <v>2403469110</v>
      </c>
      <c r="D36" s="24" t="str">
        <f aca="false">IF($A36="","",INDEX(Реестр!$D$2:$D$401,MATCH($A36,Реестр!$W$2:$W$401,0)))</f>
        <v>5232432904347</v>
      </c>
      <c r="E36" s="24" t="str">
        <f aca="false">IF($A36="","",INDEX(Реестр!$E$2:$E$401,MATCH($A36,Реестр!$W$2:$W$401,0)))</f>
        <v>240343001</v>
      </c>
      <c r="F36" s="24" t="str">
        <f aca="false">IF($A36="","",INDEX(Реестр!$J$2:$J$401,MATCH($A36,Реестр!$W$2:$W$401,0)))</f>
        <v>Красноярский край</v>
      </c>
      <c r="G36" s="24" t="str">
        <f aca="false">IF($A36="","",INDEX(Реестр!$F$2:$F$401,MATCH($A36,Реестр!$W$2:$W$401,0)))</f>
        <v>г. Красноярск, ул. Кирова, д. 84, оф. 176</v>
      </c>
      <c r="H36" s="24" t="str">
        <f aca="false">IF($A36="","",INDEX(Реестр!$G$2:$G$401,MATCH($A36,Реестр!$W$2:$W$401,0)))</f>
        <v>Морозов Т. И.</v>
      </c>
      <c r="I36" s="24" t="str">
        <f aca="false">IF($A36="","",INDEX(Реестр!$H$2:$H$401,MATCH($A36,Реестр!$W$2:$W$401,0)))</f>
        <v>mail@alfa-standart.example</v>
      </c>
      <c r="J36" s="24" t="str">
        <f aca="false">IF($A36="","",INDEX(Реестр!$I$2:$I$401,MATCH($A36,Реестр!$W$2:$W$401,0)))</f>
        <v>+73915664780</v>
      </c>
    </row>
    <row r="37" customFormat="false" ht="15" hidden="false" customHeight="false" outlineLevel="0" collapsed="false">
      <c r="A37" s="21" t="n">
        <f aca="false">IF(ROWS(A$5:A37)&lt;=MAX(Реестр!$W$2:$W$401),ROWS(A$5:A37),"")</f>
        <v>33</v>
      </c>
      <c r="B37" s="24" t="str">
        <f aca="false">IF($A37="","",INDEX(Реестр!$B$2:$B$401,MATCH($A37,Реестр!$W$2:$W$401,0)))</f>
        <v>ООО «Альфа Мед»</v>
      </c>
      <c r="C37" s="24" t="str">
        <f aca="false">IF($A37="","",INDEX(Реестр!$C$2:$C$401,MATCH($A37,Реестр!$W$2:$W$401,0)))</f>
        <v>7844011731</v>
      </c>
      <c r="D37" s="24" t="str">
        <f aca="false">IF($A37="","",INDEX(Реестр!$D$2:$D$401,MATCH($A37,Реестр!$W$2:$W$401,0)))</f>
        <v>1037848691430</v>
      </c>
      <c r="E37" s="24" t="str">
        <f aca="false">IF($A37="","",INDEX(Реестр!$E$2:$E$401,MATCH($A37,Реестр!$W$2:$W$401,0)))</f>
        <v>784443006</v>
      </c>
      <c r="F37" s="24" t="str">
        <f aca="false">IF($A37="","",INDEX(Реестр!$J$2:$J$401,MATCH($A37,Реестр!$W$2:$W$401,0)))</f>
        <v>г. Санкт-Петербург</v>
      </c>
      <c r="G37" s="24" t="str">
        <f aca="false">IF($A37="","",INDEX(Реестр!$F$2:$F$401,MATCH($A37,Реестр!$W$2:$W$401,0)))</f>
        <v>г. Санкт-Петербург, ул. Советская, д. 51, оф. 68</v>
      </c>
      <c r="H37" s="24" t="str">
        <f aca="false">IF($A37="","",INDEX(Реестр!$G$2:$G$401,MATCH($A37,Реестр!$W$2:$W$401,0)))</f>
        <v>Соколова И. Н.</v>
      </c>
      <c r="I37" s="24" t="str">
        <f aca="false">IF($A37="","",INDEX(Реестр!$H$2:$H$401,MATCH($A37,Реестр!$W$2:$W$401,0)))</f>
        <v>office@alfa-med.example</v>
      </c>
      <c r="J37" s="24" t="str">
        <f aca="false">IF($A37="","",INDEX(Реестр!$I$2:$I$401,MATCH($A37,Реестр!$W$2:$W$401,0)))</f>
        <v>8 812 5188074</v>
      </c>
    </row>
    <row r="38" customFormat="false" ht="15" hidden="false" customHeight="false" outlineLevel="0" collapsed="false">
      <c r="A38" s="21" t="n">
        <f aca="false">IF(ROWS(A$5:A38)&lt;=MAX(Реестр!$W$2:$W$401),ROWS(A$5:A38),"")</f>
        <v>34</v>
      </c>
      <c r="B38" s="24" t="str">
        <f aca="false">IF($A38="","",INDEX(Реестр!$B$2:$B$401,MATCH($A38,Реестр!$W$2:$W$401,0)))</f>
        <v>АО «Юпитер Софт»</v>
      </c>
      <c r="C38" s="24" t="str">
        <f aca="false">IF($A38="","",INDEX(Реестр!$C$2:$C$401,MATCH($A38,Реестр!$W$2:$W$401,0)))</f>
        <v>5208924970</v>
      </c>
      <c r="D38" s="24" t="str">
        <f aca="false">IF($A38="","",INDEX(Реестр!$D$2:$D$401,MATCH($A38,Реестр!$W$2:$W$401,0)))</f>
        <v>1185209323936</v>
      </c>
      <c r="E38" s="24" t="str">
        <f aca="false">IF($A38="","",INDEX(Реестр!$E$2:$E$401,MATCH($A38,Реестр!$W$2:$W$401,0)))</f>
        <v>520801006</v>
      </c>
      <c r="F38" s="24" t="str">
        <f aca="false">IF($A38="","",INDEX(Реестр!$J$2:$J$401,MATCH($A38,Реестр!$W$2:$W$401,0)))</f>
        <v>Нижегородская область</v>
      </c>
      <c r="G38" s="24" t="str">
        <f aca="false">IF($A38="","",INDEX(Реестр!$F$2:$F$401,MATCH($A38,Реестр!$W$2:$W$401,0)))</f>
        <v>г. Нижний Новгород, ул. Парковая, д. 34, оф. 139</v>
      </c>
      <c r="H38" s="24" t="str">
        <f aca="false">IF($A38="","",INDEX(Реестр!$G$2:$G$401,MATCH($A38,Реестр!$W$2:$W$401,0)))</f>
        <v>Морозова Д. М.</v>
      </c>
      <c r="I38" s="24" t="str">
        <f aca="false">IF($A38="","",INDEX(Реестр!$H$2:$H$401,MATCH($A38,Реестр!$W$2:$W$401,0)))</f>
        <v>info@yupiter-soft.example</v>
      </c>
      <c r="J38" s="24" t="str">
        <f aca="false">IF($A38="","",INDEX(Реестр!$I$2:$I$401,MATCH($A38,Реестр!$W$2:$W$401,0)))</f>
        <v>8 831 5593226</v>
      </c>
    </row>
    <row r="39" customFormat="false" ht="15" hidden="false" customHeight="false" outlineLevel="0" collapsed="false">
      <c r="A39" s="21" t="n">
        <f aca="false">IF(ROWS(A$5:A39)&lt;=MAX(Реестр!$W$2:$W$401),ROWS(A$5:A39),"")</f>
        <v>35</v>
      </c>
      <c r="B39" s="24" t="str">
        <f aca="false">IF($A39="","",INDEX(Реестр!$B$2:$B$401,MATCH($A39,Реестр!$W$2:$W$401,0)))</f>
        <v>ООО «Вектор Снаб»</v>
      </c>
      <c r="C39" s="24" t="str">
        <f aca="false">IF($A39="","",INDEX(Реестр!$C$2:$C$401,MATCH($A39,Реестр!$W$2:$W$401,0)))</f>
        <v>5209348511</v>
      </c>
      <c r="D39" s="24" t="str">
        <f aca="false">IF($A39="","",INDEX(Реестр!$D$2:$D$401,MATCH($A39,Реестр!$W$2:$W$401,0)))</f>
        <v>5145201235097</v>
      </c>
      <c r="E39" s="24" t="str">
        <f aca="false">IF($A39="","",INDEX(Реестр!$E$2:$E$401,MATCH($A39,Реестр!$W$2:$W$401,0)))</f>
        <v>520943002</v>
      </c>
      <c r="F39" s="24" t="str">
        <f aca="false">IF($A39="","",INDEX(Реестр!$J$2:$J$401,MATCH($A39,Реестр!$W$2:$W$401,0)))</f>
        <v>Нижегородская область</v>
      </c>
      <c r="G39" s="24" t="str">
        <f aca="false">IF($A39="","",INDEX(Реестр!$F$2:$F$401,MATCH($A39,Реестр!$W$2:$W$401,0)))</f>
        <v>г. Нижний Новгород, ул. Гагарина, д. 48, оф. 207</v>
      </c>
      <c r="H39" s="24" t="str">
        <f aca="false">IF($A39="","",INDEX(Реестр!$G$2:$G$401,MATCH($A39,Реестр!$W$2:$W$401,0)))</f>
        <v>Семёнов Д. В.</v>
      </c>
      <c r="I39" s="24" t="str">
        <f aca="false">IF($A39="","",INDEX(Реестр!$H$2:$H$401,MATCH($A39,Реестр!$W$2:$W$401,0)))</f>
        <v>sales@vektor-snab.example</v>
      </c>
      <c r="J39" s="24" t="str">
        <f aca="false">IF($A39="","",INDEX(Реестр!$I$2:$I$401,MATCH($A39,Реестр!$W$2:$W$401,0)))</f>
        <v>+7 (831) 588-10-81</v>
      </c>
    </row>
    <row r="40" customFormat="false" ht="15" hidden="false" customHeight="false" outlineLevel="0" collapsed="false">
      <c r="A40" s="21" t="n">
        <f aca="false">IF(ROWS(A$5:A40)&lt;=MAX(Реестр!$W$2:$W$401),ROWS(A$5:A40),"")</f>
        <v>36</v>
      </c>
      <c r="B40" s="24" t="str">
        <f aca="false">IF($A40="","",INDEX(Реестр!$B$2:$B$401,MATCH($A40,Реестр!$W$2:$W$401,0)))</f>
        <v>АО «Тандем Снаб»</v>
      </c>
      <c r="C40" s="24" t="str">
        <f aca="false">IF($A40="","",INDEX(Реестр!$C$2:$C$401,MATCH($A40,Реестр!$W$2:$W$401,0)))</f>
        <v>7746524020</v>
      </c>
      <c r="D40" s="24" t="str">
        <f aca="false">IF($A40="","",INDEX(Реестр!$D$2:$D$401,MATCH($A40,Реестр!$W$2:$W$401,0)))</f>
        <v>1057720525213</v>
      </c>
      <c r="E40" s="24" t="str">
        <f aca="false">IF($A40="","",INDEX(Реестр!$E$2:$E$401,MATCH($A40,Реестр!$W$2:$W$401,0)))</f>
        <v>774601006</v>
      </c>
      <c r="F40" s="24" t="str">
        <f aca="false">IF($A40="","",INDEX(Реестр!$J$2:$J$401,MATCH($A40,Реестр!$W$2:$W$401,0)))</f>
        <v>г. Москва</v>
      </c>
      <c r="G40" s="24" t="str">
        <f aca="false">IF($A40="","",INDEX(Реестр!$F$2:$F$401,MATCH($A40,Реестр!$W$2:$W$401,0)))</f>
        <v>г. Москва, ул. Мира, д. 11, оф. 3</v>
      </c>
      <c r="H40" s="24" t="str">
        <f aca="false">IF($A40="","",INDEX(Реестр!$G$2:$G$401,MATCH($A40,Реестр!$W$2:$W$401,0)))</f>
        <v>Семёнов Д. О.</v>
      </c>
      <c r="I40" s="24" t="str">
        <f aca="false">IF($A40="","",INDEX(Реестр!$H$2:$H$401,MATCH($A40,Реестр!$W$2:$W$401,0)))</f>
        <v>office@tandem-snab.example</v>
      </c>
      <c r="J40" s="24" t="str">
        <f aca="false">IF($A40="","",INDEX(Реестр!$I$2:$I$401,MATCH($A40,Реестр!$W$2:$W$401,0)))</f>
        <v>+7 (495) 503-41-75</v>
      </c>
    </row>
    <row r="41" customFormat="false" ht="15" hidden="false" customHeight="false" outlineLevel="0" collapsed="false">
      <c r="A41" s="21" t="n">
        <f aca="false">IF(ROWS(A$5:A41)&lt;=MAX(Реестр!$W$2:$W$401),ROWS(A$5:A41),"")</f>
        <v>37</v>
      </c>
      <c r="B41" s="24" t="str">
        <f aca="false">IF($A41="","",INDEX(Реестр!$B$2:$B$401,MATCH($A41,Реестр!$W$2:$W$401,0)))</f>
        <v>ООО «Дельта Логистик»</v>
      </c>
      <c r="C41" s="24" t="str">
        <f aca="false">IF($A41="","",INDEX(Реестр!$C$2:$C$401,MATCH($A41,Реестр!$W$2:$W$401,0)))</f>
        <v>7720218444</v>
      </c>
      <c r="D41" s="24" t="str">
        <f aca="false">IF($A41="","",INDEX(Реестр!$D$2:$D$401,MATCH($A41,Реестр!$W$2:$W$401,0)))</f>
        <v>5087749580793</v>
      </c>
      <c r="E41" s="24" t="str">
        <f aca="false">IF($A41="","",INDEX(Реестр!$E$2:$E$401,MATCH($A41,Реестр!$W$2:$W$401,0)))</f>
        <v>772001007</v>
      </c>
      <c r="F41" s="24" t="str">
        <f aca="false">IF($A41="","",INDEX(Реестр!$J$2:$J$401,MATCH($A41,Реестр!$W$2:$W$401,0)))</f>
        <v>г. Москва</v>
      </c>
      <c r="G41" s="24" t="str">
        <f aca="false">IF($A41="","",INDEX(Реестр!$F$2:$F$401,MATCH($A41,Реестр!$W$2:$W$401,0)))</f>
        <v>г. Москва, ул. Заводская, д. 13, оф. 173</v>
      </c>
      <c r="H41" s="24" t="str">
        <f aca="false">IF($A41="","",INDEX(Реестр!$G$2:$G$401,MATCH($A41,Реестр!$W$2:$W$401,0)))</f>
        <v>Иванов А. А.</v>
      </c>
      <c r="I41" s="24" t="str">
        <f aca="false">IF($A41="","",INDEX(Реестр!$H$2:$H$401,MATCH($A41,Реестр!$W$2:$W$401,0)))</f>
        <v>mail@delta-logistik.example</v>
      </c>
      <c r="J41" s="24" t="str">
        <f aca="false">IF($A41="","",INDEX(Реестр!$I$2:$I$401,MATCH($A41,Реестр!$W$2:$W$401,0)))</f>
        <v>+7 (495) 522-85-41</v>
      </c>
    </row>
    <row r="42" customFormat="false" ht="15" hidden="false" customHeight="false" outlineLevel="0" collapsed="false">
      <c r="A42" s="21" t="n">
        <f aca="false">IF(ROWS(A$5:A42)&lt;=MAX(Реестр!$W$2:$W$401),ROWS(A$5:A42),"")</f>
        <v>38</v>
      </c>
      <c r="B42" s="24" t="str">
        <f aca="false">IF($A42="","",INDEX(Реестр!$B$2:$B$401,MATCH($A42,Реестр!$W$2:$W$401,0)))</f>
        <v>ООО «Заря Логистик»</v>
      </c>
      <c r="C42" s="24" t="str">
        <f aca="false">IF($A42="","",INDEX(Реестр!$C$2:$C$401,MATCH($A42,Реестр!$W$2:$W$401,0)))</f>
        <v>7827161222</v>
      </c>
      <c r="D42" s="24" t="str">
        <f aca="false">IF($A42="","",INDEX(Реестр!$D$2:$D$401,MATCH($A42,Реестр!$W$2:$W$401,0)))</f>
        <v>5197808177397</v>
      </c>
      <c r="E42" s="24" t="str">
        <f aca="false">IF($A42="","",INDEX(Реестр!$E$2:$E$401,MATCH($A42,Реестр!$W$2:$W$401,0)))</f>
        <v>782745002</v>
      </c>
      <c r="F42" s="24" t="str">
        <f aca="false">IF($A42="","",INDEX(Реестр!$J$2:$J$401,MATCH($A42,Реестр!$W$2:$W$401,0)))</f>
        <v>г. Санкт-Петербург</v>
      </c>
      <c r="G42" s="24" t="str">
        <f aca="false">IF($A42="","",INDEX(Реестр!$F$2:$F$401,MATCH($A42,Реестр!$W$2:$W$401,0)))</f>
        <v>г. Санкт-Петербург, ул. Школьная, д. 63, оф. 12</v>
      </c>
      <c r="H42" s="24" t="str">
        <f aca="false">IF($A42="","",INDEX(Реестр!$G$2:$G$401,MATCH($A42,Реестр!$W$2:$W$401,0)))</f>
        <v>Попов Д. В.</v>
      </c>
      <c r="I42" s="24" t="str">
        <f aca="false">IF($A42="","",INDEX(Реестр!$H$2:$H$401,MATCH($A42,Реестр!$W$2:$W$401,0)))</f>
        <v>zakaz@zarya-logistik.example</v>
      </c>
      <c r="J42" s="24" t="str">
        <f aca="false">IF($A42="","",INDEX(Реестр!$I$2:$I$401,MATCH($A42,Реестр!$W$2:$W$401,0)))</f>
        <v>8 812 5272404</v>
      </c>
    </row>
    <row r="43" customFormat="false" ht="15" hidden="false" customHeight="false" outlineLevel="0" collapsed="false">
      <c r="A43" s="21" t="n">
        <f aca="false">IF(ROWS(A$5:A43)&lt;=MAX(Реестр!$W$2:$W$401),ROWS(A$5:A43),"")</f>
        <v>39</v>
      </c>
      <c r="B43" s="24" t="str">
        <f aca="false">IF($A43="","",INDEX(Реестр!$B$2:$B$401,MATCH($A43,Реестр!$W$2:$W$401,0)))</f>
        <v>ООО «Радуга Трейд»</v>
      </c>
      <c r="C43" s="24" t="str">
        <f aca="false">IF($A43="","",INDEX(Реестр!$C$2:$C$401,MATCH($A43,Реестр!$W$2:$W$401,0)))</f>
        <v>2410677544</v>
      </c>
      <c r="D43" s="24" t="str">
        <f aca="false">IF($A43="","",INDEX(Реестр!$D$2:$D$401,MATCH($A43,Реестр!$W$2:$W$401,0)))</f>
        <v>1202402863992</v>
      </c>
      <c r="E43" s="24" t="str">
        <f aca="false">IF($A43="","",INDEX(Реестр!$E$2:$E$401,MATCH($A43,Реестр!$W$2:$W$401,0)))</f>
        <v>241045003</v>
      </c>
      <c r="F43" s="24" t="str">
        <f aca="false">IF($A43="","",INDEX(Реестр!$J$2:$J$401,MATCH($A43,Реестр!$W$2:$W$401,0)))</f>
        <v>Красноярский край</v>
      </c>
      <c r="G43" s="24" t="str">
        <f aca="false">IF($A43="","",INDEX(Реестр!$F$2:$F$401,MATCH($A43,Реестр!$W$2:$W$401,0)))</f>
        <v>г. Красноярск, ул. Ленина, д. 68, оф. 69</v>
      </c>
      <c r="H43" s="24" t="str">
        <f aca="false">IF($A43="","",INDEX(Реестр!$G$2:$G$401,MATCH($A43,Реестр!$W$2:$W$401,0)))</f>
        <v>Алексеева О. О.</v>
      </c>
      <c r="I43" s="24" t="str">
        <f aca="false">IF($A43="","",INDEX(Реестр!$H$2:$H$401,MATCH($A43,Реестр!$W$2:$W$401,0)))</f>
        <v>mail@raduga-treid.example</v>
      </c>
      <c r="J43" s="24" t="str">
        <f aca="false">IF($A43="","",INDEX(Реестр!$I$2:$I$401,MATCH($A43,Реестр!$W$2:$W$401,0)))</f>
        <v>8 391 5028322</v>
      </c>
    </row>
    <row r="44" customFormat="false" ht="15" hidden="false" customHeight="false" outlineLevel="0" collapsed="false">
      <c r="A44" s="21" t="n">
        <f aca="false">IF(ROWS(A$5:A44)&lt;=MAX(Реестр!$W$2:$W$401),ROWS(A$5:A44),"")</f>
        <v>40</v>
      </c>
      <c r="B44" s="24" t="str">
        <f aca="false">IF($A44="","",INDEX(Реестр!$B$2:$B$401,MATCH($A44,Реестр!$W$2:$W$401,0)))</f>
        <v>ООО «Навигатор Энерго»</v>
      </c>
      <c r="C44" s="24" t="str">
        <f aca="false">IF($A44="","",INDEX(Реестр!$C$2:$C$401,MATCH($A44,Реестр!$W$2:$W$401,0)))</f>
        <v>7744778452</v>
      </c>
      <c r="D44" s="24" t="str">
        <f aca="false">IF($A44="","",INDEX(Реестр!$D$2:$D$401,MATCH($A44,Реестр!$W$2:$W$401,0)))</f>
        <v>5037725078925</v>
      </c>
      <c r="E44" s="24" t="str">
        <f aca="false">IF($A44="","",INDEX(Реестр!$E$2:$E$401,MATCH($A44,Реестр!$W$2:$W$401,0)))</f>
        <v>774401009</v>
      </c>
      <c r="F44" s="24" t="str">
        <f aca="false">IF($A44="","",INDEX(Реестр!$J$2:$J$401,MATCH($A44,Реестр!$W$2:$W$401,0)))</f>
        <v>г. Москва</v>
      </c>
      <c r="G44" s="24" t="str">
        <f aca="false">IF($A44="","",INDEX(Реестр!$F$2:$F$401,MATCH($A44,Реестр!$W$2:$W$401,0)))</f>
        <v>г. Москва, ул. Набережная, д. 76, оф. 285</v>
      </c>
      <c r="H44" s="24" t="str">
        <f aca="false">IF($A44="","",INDEX(Реестр!$G$2:$G$401,MATCH($A44,Реестр!$W$2:$W$401,0)))</f>
        <v>Павлова Н. А.</v>
      </c>
      <c r="I44" s="24" t="str">
        <f aca="false">IF($A44="","",INDEX(Реестр!$H$2:$H$401,MATCH($A44,Реестр!$W$2:$W$401,0)))</f>
        <v>zakaz@navigator-energo.example</v>
      </c>
      <c r="J44" s="24" t="str">
        <f aca="false">IF($A44="","",INDEX(Реестр!$I$2:$I$401,MATCH($A44,Реестр!$W$2:$W$401,0)))</f>
        <v>8 495 5328005</v>
      </c>
    </row>
    <row r="45" customFormat="false" ht="15" hidden="false" customHeight="false" outlineLevel="0" collapsed="false">
      <c r="A45" s="21" t="n">
        <f aca="false">IF(ROWS(A$5:A45)&lt;=MAX(Реестр!$W$2:$W$401),ROWS(A$5:A45),"")</f>
        <v>41</v>
      </c>
      <c r="B45" s="24" t="str">
        <f aca="false">IF($A45="","",INDEX(Реестр!$B$2:$B$401,MATCH($A45,Реестр!$W$2:$W$401,0)))</f>
        <v>ООО «Тандем Энерго»</v>
      </c>
      <c r="C45" s="24" t="str">
        <f aca="false">IF($A45="","",INDEX(Реестр!$C$2:$C$401,MATCH($A45,Реестр!$W$2:$W$401,0)))</f>
        <v>6312503441</v>
      </c>
      <c r="D45" s="24" t="str">
        <f aca="false">IF($A45="","",INDEX(Реестр!$D$2:$D$401,MATCH($A45,Реестр!$W$2:$W$401,0)))</f>
        <v>5156347255059</v>
      </c>
      <c r="E45" s="24" t="str">
        <f aca="false">IF($A45="","",INDEX(Реестр!$E$2:$E$401,MATCH($A45,Реестр!$W$2:$W$401,0)))</f>
        <v>631243009</v>
      </c>
      <c r="F45" s="24" t="str">
        <f aca="false">IF($A45="","",INDEX(Реестр!$J$2:$J$401,MATCH($A45,Реестр!$W$2:$W$401,0)))</f>
        <v>Самарская область</v>
      </c>
      <c r="G45" s="24" t="str">
        <f aca="false">IF($A45="","",INDEX(Реестр!$F$2:$F$401,MATCH($A45,Реестр!$W$2:$W$401,0)))</f>
        <v>г. Самара, ул. Советская, д. 118, оф. 240</v>
      </c>
      <c r="H45" s="24" t="str">
        <f aca="false">IF($A45="","",INDEX(Реестр!$G$2:$G$401,MATCH($A45,Реестр!$W$2:$W$401,0)))</f>
        <v>Кузнецова Е. С.</v>
      </c>
      <c r="I45" s="24" t="str">
        <f aca="false">IF($A45="","",INDEX(Реестр!$H$2:$H$401,MATCH($A45,Реестр!$W$2:$W$401,0)))</f>
        <v>zakaz@tandem-energo.example</v>
      </c>
      <c r="J45" s="24" t="str">
        <f aca="false">IF($A45="","",INDEX(Реестр!$I$2:$I$401,MATCH($A45,Реестр!$W$2:$W$401,0)))</f>
        <v>+7 (846) 588-14-92</v>
      </c>
    </row>
    <row r="46" customFormat="false" ht="15" hidden="false" customHeight="false" outlineLevel="0" collapsed="false">
      <c r="A46" s="21" t="n">
        <f aca="false">IF(ROWS(A$5:A46)&lt;=MAX(Реестр!$W$2:$W$401),ROWS(A$5:A46),"")</f>
        <v>42</v>
      </c>
      <c r="B46" s="24" t="str">
        <f aca="false">IF($A46="","",INDEX(Реестр!$B$2:$B$401,MATCH($A46,Реестр!$W$2:$W$401,0)))</f>
        <v>ООО «Эталон Сервис»</v>
      </c>
      <c r="C46" s="24" t="str">
        <f aca="false">IF($A46="","",INDEX(Реестр!$C$2:$C$401,MATCH($A46,Реестр!$W$2:$W$401,0)))</f>
        <v>5227444031</v>
      </c>
      <c r="D46" s="24" t="str">
        <f aca="false">IF($A46="","",INDEX(Реестр!$D$2:$D$401,MATCH($A46,Реестр!$W$2:$W$401,0)))</f>
        <v>5035239728992</v>
      </c>
      <c r="E46" s="24" t="str">
        <f aca="false">IF($A46="","",INDEX(Реестр!$E$2:$E$401,MATCH($A46,Реестр!$W$2:$W$401,0)))</f>
        <v>522743009</v>
      </c>
      <c r="F46" s="24" t="str">
        <f aca="false">IF($A46="","",INDEX(Реестр!$J$2:$J$401,MATCH($A46,Реестр!$W$2:$W$401,0)))</f>
        <v>Нижегородская область</v>
      </c>
      <c r="G46" s="24" t="str">
        <f aca="false">IF($A46="","",INDEX(Реестр!$F$2:$F$401,MATCH($A46,Реестр!$W$2:$W$401,0)))</f>
        <v>г. Нижний Новгород, ул. Ленина, д. 99, оф. 54</v>
      </c>
      <c r="H46" s="24" t="str">
        <f aca="false">IF($A46="","",INDEX(Реестр!$G$2:$G$401,MATCH($A46,Реестр!$W$2:$W$401,0)))</f>
        <v>Михайлова С. Д.</v>
      </c>
      <c r="I46" s="24" t="str">
        <f aca="false">IF($A46="","",INDEX(Реестр!$H$2:$H$401,MATCH($A46,Реестр!$W$2:$W$401,0)))</f>
        <v>mail@etalon-servis.example</v>
      </c>
      <c r="J46" s="24" t="str">
        <f aca="false">IF($A46="","",INDEX(Реестр!$I$2:$I$401,MATCH($A46,Реестр!$W$2:$W$401,0)))</f>
        <v>+7 (831) 532-37-23</v>
      </c>
    </row>
    <row r="47" customFormat="false" ht="15" hidden="false" customHeight="false" outlineLevel="0" collapsed="false">
      <c r="A47" s="21" t="n">
        <f aca="false">IF(ROWS(A$5:A47)&lt;=MAX(Реестр!$W$2:$W$401),ROWS(A$5:A47),"")</f>
        <v>43</v>
      </c>
      <c r="B47" s="24" t="str">
        <f aca="false">IF($A47="","",INDEX(Реестр!$B$2:$B$401,MATCH($A47,Реестр!$W$2:$W$401,0)))</f>
        <v>ООО «Меридиан Транс»</v>
      </c>
      <c r="C47" s="24" t="str">
        <f aca="false">IF($A47="","",INDEX(Реестр!$C$2:$C$401,MATCH($A47,Реестр!$W$2:$W$401,0)))</f>
        <v>9226966508</v>
      </c>
      <c r="D47" s="24" t="str">
        <f aca="false">IF($A47="","",INDEX(Реестр!$D$2:$D$401,MATCH($A47,Реестр!$W$2:$W$401,0)))</f>
        <v>1099224173113</v>
      </c>
      <c r="E47" s="24" t="str">
        <f aca="false">IF($A47="","",INDEX(Реестр!$E$2:$E$401,MATCH($A47,Реестр!$W$2:$W$401,0)))</f>
        <v>922601003</v>
      </c>
      <c r="F47" s="24" t="str">
        <f aca="false">IF($A47="","",INDEX(Реестр!$J$2:$J$401,MATCH($A47,Реестр!$W$2:$W$401,0)))</f>
        <v>г. Севастополь</v>
      </c>
      <c r="G47" s="24" t="str">
        <f aca="false">IF($A47="","",INDEX(Реестр!$F$2:$F$401,MATCH($A47,Реестр!$W$2:$W$401,0)))</f>
        <v>г. Севастополь, ул. Советская, д. 23, оф. 111</v>
      </c>
      <c r="H47" s="24" t="str">
        <f aca="false">IF($A47="","",INDEX(Реестр!$G$2:$G$401,MATCH($A47,Реестр!$W$2:$W$401,0)))</f>
        <v>Павлова И. В.</v>
      </c>
      <c r="I47" s="24" t="str">
        <f aca="false">IF($A47="","",INDEX(Реестр!$H$2:$H$401,MATCH($A47,Реестр!$W$2:$W$401,0)))</f>
        <v>sales@meridian-trans.example</v>
      </c>
      <c r="J47" s="24" t="str">
        <f aca="false">IF($A47="","",INDEX(Реестр!$I$2:$I$401,MATCH($A47,Реестр!$W$2:$W$401,0)))</f>
        <v>+78695512669</v>
      </c>
    </row>
    <row r="48" customFormat="false" ht="15" hidden="false" customHeight="false" outlineLevel="0" collapsed="false">
      <c r="A48" s="21" t="n">
        <f aca="false">IF(ROWS(A$5:A48)&lt;=MAX(Реестр!$W$2:$W$401),ROWS(A$5:A48),"")</f>
        <v>44</v>
      </c>
      <c r="B48" s="24" t="str">
        <f aca="false">IF($A48="","",INDEX(Реестр!$B$2:$B$401,MATCH($A48,Реестр!$W$2:$W$401,0)))</f>
        <v>АО «Заря Мед»</v>
      </c>
      <c r="C48" s="24" t="str">
        <f aca="false">IF($A48="","",INDEX(Реестр!$C$2:$C$401,MATCH($A48,Реестр!$W$2:$W$401,0)))</f>
        <v>5020224632</v>
      </c>
      <c r="D48" s="24" t="str">
        <f aca="false">IF($A48="","",INDEX(Реестр!$D$2:$D$401,MATCH($A48,Реестр!$W$2:$W$401,0)))</f>
        <v>5145034901666</v>
      </c>
      <c r="E48" s="24" t="str">
        <f aca="false">IF($A48="","",INDEX(Реестр!$E$2:$E$401,MATCH($A48,Реестр!$W$2:$W$401,0)))</f>
        <v>502001005</v>
      </c>
      <c r="F48" s="24" t="str">
        <f aca="false">IF($A48="","",INDEX(Реестр!$J$2:$J$401,MATCH($A48,Реестр!$W$2:$W$401,0)))</f>
        <v>Московская область</v>
      </c>
      <c r="G48" s="24" t="str">
        <f aca="false">IF($A48="","",INDEX(Реестр!$F$2:$F$401,MATCH($A48,Реестр!$W$2:$W$401,0)))</f>
        <v>г. Красногорск, ул. Кирова, д. 20, оф. 132</v>
      </c>
      <c r="H48" s="24" t="str">
        <f aca="false">IF($A48="","",INDEX(Реестр!$G$2:$G$401,MATCH($A48,Реестр!$W$2:$W$401,0)))</f>
        <v>Петрова А. С.</v>
      </c>
      <c r="I48" s="24" t="str">
        <f aca="false">IF($A48="","",INDEX(Реестр!$H$2:$H$401,MATCH($A48,Реестр!$W$2:$W$401,0)))</f>
        <v>office@zarya-med.example</v>
      </c>
      <c r="J48" s="24" t="str">
        <f aca="false">IF($A48="","",INDEX(Реестр!$I$2:$I$401,MATCH($A48,Реестр!$W$2:$W$401,0)))</f>
        <v>+7 (498) 596-67-65</v>
      </c>
    </row>
    <row r="49" customFormat="false" ht="15" hidden="false" customHeight="false" outlineLevel="0" collapsed="false">
      <c r="A49" s="21" t="n">
        <f aca="false">IF(ROWS(A$5:A49)&lt;=MAX(Реестр!$W$2:$W$401),ROWS(A$5:A49),"")</f>
        <v>45</v>
      </c>
      <c r="B49" s="24" t="str">
        <f aca="false">IF($A49="","",INDEX(Реестр!$B$2:$B$401,MATCH($A49,Реестр!$W$2:$W$401,0)))</f>
        <v>ООО «Орбита Пласт»</v>
      </c>
      <c r="C49" s="24" t="str">
        <f aca="false">IF($A49="","",INDEX(Реестр!$C$2:$C$401,MATCH($A49,Реестр!$W$2:$W$401,0)))</f>
        <v>1617959381</v>
      </c>
      <c r="D49" s="24" t="str">
        <f aca="false">IF($A49="","",INDEX(Реестр!$D$2:$D$401,MATCH($A49,Реестр!$W$2:$W$401,0)))</f>
        <v>5141626051771</v>
      </c>
      <c r="E49" s="24" t="str">
        <f aca="false">IF($A49="","",INDEX(Реестр!$E$2:$E$401,MATCH($A49,Реестр!$W$2:$W$401,0)))</f>
        <v>161701008</v>
      </c>
      <c r="F49" s="24" t="str">
        <f aca="false">IF($A49="","",INDEX(Реестр!$J$2:$J$401,MATCH($A49,Реестр!$W$2:$W$401,0)))</f>
        <v>Республика Татарстан</v>
      </c>
      <c r="G49" s="24" t="str">
        <f aca="false">IF($A49="","",INDEX(Реестр!$F$2:$F$401,MATCH($A49,Реестр!$W$2:$W$401,0)))</f>
        <v>г. Казань, ул. Мира, д. 29, оф. 117</v>
      </c>
      <c r="H49" s="24" t="str">
        <f aca="false">IF($A49="","",INDEX(Реестр!$G$2:$G$401,MATCH($A49,Реестр!$W$2:$W$401,0)))</f>
        <v>Николаев Н. М.</v>
      </c>
      <c r="I49" s="24" t="str">
        <f aca="false">IF($A49="","",INDEX(Реестр!$H$2:$H$401,MATCH($A49,Реестр!$W$2:$W$401,0)))</f>
        <v>zakaz@orbita-plast.example</v>
      </c>
      <c r="J49" s="24" t="str">
        <f aca="false">IF($A49="","",INDEX(Реестр!$I$2:$I$401,MATCH($A49,Реестр!$W$2:$W$401,0)))</f>
        <v>+7 (843) 592-16-94</v>
      </c>
    </row>
    <row r="50" customFormat="false" ht="15" hidden="false" customHeight="false" outlineLevel="0" collapsed="false">
      <c r="A50" s="21" t="n">
        <f aca="false">IF(ROWS(A$5:A50)&lt;=MAX(Реестр!$W$2:$W$401),ROWS(A$5:A50),"")</f>
        <v>46</v>
      </c>
      <c r="B50" s="24" t="str">
        <f aca="false">IF($A50="","",INDEX(Реестр!$B$2:$B$401,MATCH($A50,Реестр!$W$2:$W$401,0)))</f>
        <v>АО «Заря Принт»</v>
      </c>
      <c r="C50" s="24" t="str">
        <f aca="false">IF($A50="","",INDEX(Реестр!$C$2:$C$401,MATCH($A50,Реестр!$W$2:$W$401,0)))</f>
        <v>7720058751</v>
      </c>
      <c r="D50" s="24" t="str">
        <f aca="false">IF($A50="","",INDEX(Реестр!$D$2:$D$401,MATCH($A50,Реестр!$W$2:$W$401,0)))</f>
        <v>1167712034885</v>
      </c>
      <c r="E50" s="24" t="str">
        <f aca="false">IF($A50="","",INDEX(Реестр!$E$2:$E$401,MATCH($A50,Реестр!$W$2:$W$401,0)))</f>
        <v>772001007</v>
      </c>
      <c r="F50" s="24" t="str">
        <f aca="false">IF($A50="","",INDEX(Реестр!$J$2:$J$401,MATCH($A50,Реестр!$W$2:$W$401,0)))</f>
        <v>г. Москва</v>
      </c>
      <c r="G50" s="24" t="str">
        <f aca="false">IF($A50="","",INDEX(Реестр!$F$2:$F$401,MATCH($A50,Реестр!$W$2:$W$401,0)))</f>
        <v>г. Москва, ул. Набережная, д. 32, оф. 66</v>
      </c>
      <c r="H50" s="24" t="str">
        <f aca="false">IF($A50="","",INDEX(Реестр!$G$2:$G$401,MATCH($A50,Реестр!$W$2:$W$401,0)))</f>
        <v>Фёдорова О. Т.</v>
      </c>
      <c r="I50" s="24" t="str">
        <f aca="false">IF($A50="","",INDEX(Реестр!$H$2:$H$401,MATCH($A50,Реестр!$W$2:$W$401,0)))</f>
        <v>zakaz@zarya-print.example</v>
      </c>
      <c r="J50" s="24" t="str">
        <f aca="false">IF($A50="","",INDEX(Реестр!$I$2:$I$401,MATCH($A50,Реестр!$W$2:$W$401,0)))</f>
        <v>8 495 5500600</v>
      </c>
    </row>
    <row r="51" customFormat="false" ht="15" hidden="false" customHeight="false" outlineLevel="0" collapsed="false">
      <c r="A51" s="21" t="n">
        <f aca="false">IF(ROWS(A$5:A51)&lt;=MAX(Реестр!$W$2:$W$401),ROWS(A$5:A51),"")</f>
        <v>47</v>
      </c>
      <c r="B51" s="24" t="str">
        <f aca="false">IF($A51="","",INDEX(Реестр!$B$2:$B$401,MATCH($A51,Реестр!$W$2:$W$401,0)))</f>
        <v>ООО «Юпитер Торг»</v>
      </c>
      <c r="C51" s="24" t="str">
        <f aca="false">IF($A51="","",INDEX(Реестр!$C$2:$C$401,MATCH($A51,Реестр!$W$2:$W$401,0)))</f>
        <v>2302745444</v>
      </c>
      <c r="D51" s="24" t="str">
        <f aca="false">IF($A51="","",INDEX(Реестр!$D$2:$D$401,MATCH($A51,Реестр!$W$2:$W$401,0)))</f>
        <v>5152343029350</v>
      </c>
      <c r="E51" s="24" t="str">
        <f aca="false">IF($A51="","",INDEX(Реестр!$E$2:$E$401,MATCH($A51,Реестр!$W$2:$W$401,0)))</f>
        <v>230201003</v>
      </c>
      <c r="F51" s="24" t="str">
        <f aca="false">IF($A51="","",INDEX(Реестр!$J$2:$J$401,MATCH($A51,Реестр!$W$2:$W$401,0)))</f>
        <v>Краснодарский край</v>
      </c>
      <c r="G51" s="24" t="str">
        <f aca="false">IF($A51="","",INDEX(Реестр!$F$2:$F$401,MATCH($A51,Реестр!$W$2:$W$401,0)))</f>
        <v>г. Краснодар, ул. Набережная, д. 104, оф. 66</v>
      </c>
      <c r="H51" s="24" t="str">
        <f aca="false">IF($A51="","",INDEX(Реестр!$G$2:$G$401,MATCH($A51,Реестр!$W$2:$W$401,0)))</f>
        <v>Николаева Д. А.</v>
      </c>
      <c r="I51" s="24" t="str">
        <f aca="false">IF($A51="","",INDEX(Реестр!$H$2:$H$401,MATCH($A51,Реестр!$W$2:$W$401,0)))</f>
        <v>office@yupiter-torg.example</v>
      </c>
      <c r="J51" s="24" t="str">
        <f aca="false">IF($A51="","",INDEX(Реестр!$I$2:$I$401,MATCH($A51,Реестр!$W$2:$W$401,0)))</f>
        <v>+78615091727</v>
      </c>
    </row>
    <row r="52" customFormat="false" ht="15" hidden="false" customHeight="false" outlineLevel="0" collapsed="false">
      <c r="A52" s="21" t="n">
        <f aca="false">IF(ROWS(A$5:A52)&lt;=MAX(Реестр!$W$2:$W$401),ROWS(A$5:A52),"")</f>
        <v>48</v>
      </c>
      <c r="B52" s="24" t="str">
        <f aca="false">IF($A52="","",INDEX(Реестр!$B$2:$B$401,MATCH($A52,Реестр!$W$2:$W$401,0)))</f>
        <v>АО «Гранит Принт»</v>
      </c>
      <c r="C52" s="24" t="str">
        <f aca="false">IF($A52="","",INDEX(Реестр!$C$2:$C$401,MATCH($A52,Реестр!$W$2:$W$401,0)))</f>
        <v>6317409587</v>
      </c>
      <c r="D52" s="24" t="str">
        <f aca="false">IF($A52="","",INDEX(Реестр!$D$2:$D$401,MATCH($A52,Реестр!$W$2:$W$401,0)))</f>
        <v>1176334188007</v>
      </c>
      <c r="E52" s="24" t="str">
        <f aca="false">IF($A52="","",INDEX(Реестр!$E$2:$E$401,MATCH($A52,Реестр!$W$2:$W$401,0)))</f>
        <v>631701007</v>
      </c>
      <c r="F52" s="24" t="str">
        <f aca="false">IF($A52="","",INDEX(Реестр!$J$2:$J$401,MATCH($A52,Реестр!$W$2:$W$401,0)))</f>
        <v>Самарская область</v>
      </c>
      <c r="G52" s="24" t="str">
        <f aca="false">IF($A52="","",INDEX(Реестр!$F$2:$F$401,MATCH($A52,Реестр!$W$2:$W$401,0)))</f>
        <v>г. Самара, ул. Победы, д. 104, оф. 79</v>
      </c>
      <c r="H52" s="24" t="str">
        <f aca="false">IF($A52="","",INDEX(Реестр!$G$2:$G$401,MATCH($A52,Реестр!$W$2:$W$401,0)))</f>
        <v>Николаева Т. В.</v>
      </c>
      <c r="I52" s="24" t="str">
        <f aca="false">IF($A52="","",INDEX(Реестр!$H$2:$H$401,MATCH($A52,Реестр!$W$2:$W$401,0)))</f>
        <v>mail@granit-print.example</v>
      </c>
      <c r="J52" s="24" t="str">
        <f aca="false">IF($A52="","",INDEX(Реестр!$I$2:$I$401,MATCH($A52,Реестр!$W$2:$W$401,0)))</f>
        <v>8 846 5888763</v>
      </c>
    </row>
    <row r="53" customFormat="false" ht="15" hidden="false" customHeight="false" outlineLevel="0" collapsed="false">
      <c r="A53" s="21" t="n">
        <f aca="false">IF(ROWS(A$5:A53)&lt;=MAX(Реестр!$W$2:$W$401),ROWS(A$5:A53),"")</f>
        <v>49</v>
      </c>
      <c r="B53" s="24" t="str">
        <f aca="false">IF($A53="","",INDEX(Реестр!$B$2:$B$401,MATCH($A53,Реестр!$W$2:$W$401,0)))</f>
        <v>АО «Атлант Сервис»</v>
      </c>
      <c r="C53" s="24" t="str">
        <f aca="false">IF($A53="","",INDEX(Реестр!$C$2:$C$401,MATCH($A53,Реестр!$W$2:$W$401,0)))</f>
        <v>2405697016</v>
      </c>
      <c r="D53" s="24" t="str">
        <f aca="false">IF($A53="","",INDEX(Реестр!$D$2:$D$401,MATCH($A53,Реестр!$W$2:$W$401,0)))</f>
        <v>1082414220602</v>
      </c>
      <c r="E53" s="24" t="str">
        <f aca="false">IF($A53="","",INDEX(Реестр!$E$2:$E$401,MATCH($A53,Реестр!$W$2:$W$401,0)))</f>
        <v>240501003</v>
      </c>
      <c r="F53" s="24" t="str">
        <f aca="false">IF($A53="","",INDEX(Реестр!$J$2:$J$401,MATCH($A53,Реестр!$W$2:$W$401,0)))</f>
        <v>Красноярский край</v>
      </c>
      <c r="G53" s="24" t="str">
        <f aca="false">IF($A53="","",INDEX(Реестр!$F$2:$F$401,MATCH($A53,Реестр!$W$2:$W$401,0)))</f>
        <v>г. Красноярск, ул. Победы, д. 56, оф. 203</v>
      </c>
      <c r="H53" s="24" t="str">
        <f aca="false">IF($A53="","",INDEX(Реестр!$G$2:$G$401,MATCH($A53,Реестр!$W$2:$W$401,0)))</f>
        <v>Семёнова С. Е.</v>
      </c>
      <c r="I53" s="24" t="str">
        <f aca="false">IF($A53="","",INDEX(Реестр!$H$2:$H$401,MATCH($A53,Реестр!$W$2:$W$401,0)))</f>
        <v>sales@atlant-servis.example</v>
      </c>
      <c r="J53" s="24" t="str">
        <f aca="false">IF($A53="","",INDEX(Реестр!$I$2:$I$401,MATCH($A53,Реестр!$W$2:$W$401,0)))</f>
        <v>8 391 5920714</v>
      </c>
    </row>
    <row r="54" customFormat="false" ht="15" hidden="false" customHeight="false" outlineLevel="0" collapsed="false">
      <c r="A54" s="21" t="n">
        <f aca="false">IF(ROWS(A$5:A54)&lt;=MAX(Реестр!$W$2:$W$401),ROWS(A$5:A54),"")</f>
        <v>50</v>
      </c>
      <c r="B54" s="24" t="str">
        <f aca="false">IF($A54="","",INDEX(Реестр!$B$2:$B$401,MATCH($A54,Реестр!$W$2:$W$401,0)))</f>
        <v>ООО «Линия Софт»</v>
      </c>
      <c r="C54" s="24" t="str">
        <f aca="false">IF($A54="","",INDEX(Реестр!$C$2:$C$401,MATCH($A54,Реестр!$W$2:$W$401,0)))</f>
        <v>6137357971</v>
      </c>
      <c r="D54" s="24" t="str">
        <f aca="false">IF($A54="","",INDEX(Реестр!$D$2:$D$401,MATCH($A54,Реестр!$W$2:$W$401,0)))</f>
        <v>5046124871360</v>
      </c>
      <c r="E54" s="24" t="str">
        <f aca="false">IF($A54="","",INDEX(Реестр!$E$2:$E$401,MATCH($A54,Реестр!$W$2:$W$401,0)))</f>
        <v>613701003</v>
      </c>
      <c r="F54" s="24" t="str">
        <f aca="false">IF($A54="","",INDEX(Реестр!$J$2:$J$401,MATCH($A54,Реестр!$W$2:$W$401,0)))</f>
        <v>Ростовская область</v>
      </c>
      <c r="G54" s="24" t="str">
        <f aca="false">IF($A54="","",INDEX(Реестр!$F$2:$F$401,MATCH($A54,Реестр!$W$2:$W$401,0)))</f>
        <v>г. Ростов-на-Дону, ул. Кирова, д. 96, оф. 192</v>
      </c>
      <c r="H54" s="24" t="str">
        <f aca="false">IF($A54="","",INDEX(Реестр!$G$2:$G$401,MATCH($A54,Реестр!$W$2:$W$401,0)))</f>
        <v>Павлова Д. Е.</v>
      </c>
      <c r="I54" s="24" t="str">
        <f aca="false">IF($A54="","",INDEX(Реестр!$H$2:$H$401,MATCH($A54,Реестр!$W$2:$W$401,0)))</f>
        <v>office@liniya-soft.example</v>
      </c>
      <c r="J54" s="24" t="str">
        <f aca="false">IF($A54="","",INDEX(Реестр!$I$2:$I$401,MATCH($A54,Реестр!$W$2:$W$401,0)))</f>
        <v>+7 (863) 578-33-17</v>
      </c>
    </row>
    <row r="55" customFormat="false" ht="15" hidden="false" customHeight="false" outlineLevel="0" collapsed="false">
      <c r="A55" s="21" t="n">
        <f aca="false">IF(ROWS(A$5:A55)&lt;=MAX(Реестр!$W$2:$W$401),ROWS(A$5:A55),"")</f>
        <v>51</v>
      </c>
      <c r="B55" s="24" t="str">
        <f aca="false">IF($A55="","",INDEX(Реестр!$B$2:$B$401,MATCH($A55,Реестр!$W$2:$W$401,0)))</f>
        <v>ООО «Заря Групп»</v>
      </c>
      <c r="C55" s="24" t="str">
        <f aca="false">IF($A55="","",INDEX(Реестр!$C$2:$C$401,MATCH($A55,Реестр!$W$2:$W$401,0)))</f>
        <v>9207639008</v>
      </c>
      <c r="D55" s="24" t="str">
        <f aca="false">IF($A55="","",INDEX(Реестр!$D$2:$D$401,MATCH($A55,Реестр!$W$2:$W$401,0)))</f>
        <v>5089219427622</v>
      </c>
      <c r="E55" s="24" t="str">
        <f aca="false">IF($A55="","",INDEX(Реестр!$E$2:$E$401,MATCH($A55,Реестр!$W$2:$W$401,0)))</f>
        <v>920701007</v>
      </c>
      <c r="F55" s="24" t="str">
        <f aca="false">IF($A55="","",INDEX(Реестр!$J$2:$J$401,MATCH($A55,Реестр!$W$2:$W$401,0)))</f>
        <v>г. Севастополь</v>
      </c>
      <c r="G55" s="24" t="str">
        <f aca="false">IF($A55="","",INDEX(Реестр!$F$2:$F$401,MATCH($A55,Реестр!$W$2:$W$401,0)))</f>
        <v>г. Севастополь, ул. Ленина, д. 91, оф. 219</v>
      </c>
      <c r="H55" s="24" t="str">
        <f aca="false">IF($A55="","",INDEX(Реестр!$G$2:$G$401,MATCH($A55,Реестр!$W$2:$W$401,0)))</f>
        <v>Егоров И. Н.</v>
      </c>
      <c r="I55" s="24" t="str">
        <f aca="false">IF($A55="","",INDEX(Реестр!$H$2:$H$401,MATCH($A55,Реестр!$W$2:$W$401,0)))</f>
        <v>mail@zarya-grupp.example</v>
      </c>
      <c r="J55" s="24" t="str">
        <f aca="false">IF($A55="","",INDEX(Реестр!$I$2:$I$401,MATCH($A55,Реестр!$W$2:$W$401,0)))</f>
        <v>8 869 5081417</v>
      </c>
    </row>
    <row r="56" customFormat="false" ht="15" hidden="false" customHeight="false" outlineLevel="0" collapsed="false">
      <c r="A56" s="21" t="n">
        <f aca="false">IF(ROWS(A$5:A56)&lt;=MAX(Реестр!$W$2:$W$401),ROWS(A$5:A56),"")</f>
        <v>52</v>
      </c>
      <c r="B56" s="24" t="str">
        <f aca="false">IF($A56="","",INDEX(Реестр!$B$2:$B$401,MATCH($A56,Реестр!$W$2:$W$401,0)))</f>
        <v>ООО «Прогресс Мед»</v>
      </c>
      <c r="C56" s="24" t="str">
        <f aca="false">IF($A56="","",INDEX(Реестр!$C$2:$C$401,MATCH($A56,Реестр!$W$2:$W$401,0)))</f>
        <v>7703337956</v>
      </c>
      <c r="D56" s="24" t="str">
        <f aca="false">IF($A56="","",INDEX(Реестр!$D$2:$D$401,MATCH($A56,Реестр!$W$2:$W$401,0)))</f>
        <v>1197746259787</v>
      </c>
      <c r="E56" s="24" t="str">
        <f aca="false">IF($A56="","",INDEX(Реестр!$E$2:$E$401,MATCH($A56,Реестр!$W$2:$W$401,0)))</f>
        <v>770343009</v>
      </c>
      <c r="F56" s="24" t="str">
        <f aca="false">IF($A56="","",INDEX(Реестр!$J$2:$J$401,MATCH($A56,Реестр!$W$2:$W$401,0)))</f>
        <v>г. Москва</v>
      </c>
      <c r="G56" s="24" t="str">
        <f aca="false">IF($A56="","",INDEX(Реестр!$F$2:$F$401,MATCH($A56,Реестр!$W$2:$W$401,0)))</f>
        <v>г. Москва, ул. Победы, д. 116, оф. 37</v>
      </c>
      <c r="H56" s="24" t="str">
        <f aca="false">IF($A56="","",INDEX(Реестр!$G$2:$G$401,MATCH($A56,Реестр!$W$2:$W$401,0)))</f>
        <v>Смирнов С. О.</v>
      </c>
      <c r="I56" s="24" t="str">
        <f aca="false">IF($A56="","",INDEX(Реестр!$H$2:$H$401,MATCH($A56,Реестр!$W$2:$W$401,0)))</f>
        <v>sales@progress-med.example</v>
      </c>
      <c r="J56" s="24" t="str">
        <f aca="false">IF($A56="","",INDEX(Реестр!$I$2:$I$401,MATCH($A56,Реестр!$W$2:$W$401,0)))</f>
        <v>8 495 5974615</v>
      </c>
    </row>
    <row r="57" customFormat="false" ht="15" hidden="false" customHeight="false" outlineLevel="0" collapsed="false">
      <c r="A57" s="21" t="n">
        <f aca="false">IF(ROWS(A$5:A57)&lt;=MAX(Реестр!$W$2:$W$401),ROWS(A$5:A57),"")</f>
        <v>53</v>
      </c>
      <c r="B57" s="24" t="str">
        <f aca="false">IF($A57="","",INDEX(Реестр!$B$2:$B$401,MATCH($A57,Реестр!$W$2:$W$401,0)))</f>
        <v>ООО «Заря Софт»</v>
      </c>
      <c r="C57" s="24" t="str">
        <f aca="false">IF($A57="","",INDEX(Реестр!$C$2:$C$401,MATCH($A57,Реестр!$W$2:$W$401,0)))</f>
        <v>7737977739</v>
      </c>
      <c r="D57" s="24" t="str">
        <f aca="false">IF($A57="","",INDEX(Реестр!$D$2:$D$401,MATCH($A57,Реестр!$W$2:$W$401,0)))</f>
        <v>1227740215284</v>
      </c>
      <c r="E57" s="24" t="str">
        <f aca="false">IF($A57="","",INDEX(Реестр!$E$2:$E$401,MATCH($A57,Реестр!$W$2:$W$401,0)))</f>
        <v>773701009</v>
      </c>
      <c r="F57" s="24" t="str">
        <f aca="false">IF($A57="","",INDEX(Реестр!$J$2:$J$401,MATCH($A57,Реестр!$W$2:$W$401,0)))</f>
        <v>г. Москва</v>
      </c>
      <c r="G57" s="24" t="str">
        <f aca="false">IF($A57="","",INDEX(Реестр!$F$2:$F$401,MATCH($A57,Реестр!$W$2:$W$401,0)))</f>
        <v>г. Москва, ул. Кирова, д. 65, оф. 31</v>
      </c>
      <c r="H57" s="24" t="str">
        <f aca="false">IF($A57="","",INDEX(Реестр!$G$2:$G$401,MATCH($A57,Реестр!$W$2:$W$401,0)))</f>
        <v>Петров С. М.</v>
      </c>
      <c r="I57" s="24" t="str">
        <f aca="false">IF($A57="","",INDEX(Реестр!$H$2:$H$401,MATCH($A57,Реестр!$W$2:$W$401,0)))</f>
        <v>mail@zarya-soft.example</v>
      </c>
      <c r="J57" s="24" t="str">
        <f aca="false">IF($A57="","",INDEX(Реестр!$I$2:$I$401,MATCH($A57,Реестр!$W$2:$W$401,0)))</f>
        <v>+7 (495) 574-87-52</v>
      </c>
    </row>
    <row r="58" customFormat="false" ht="15" hidden="false" customHeight="false" outlineLevel="0" collapsed="false">
      <c r="A58" s="21" t="n">
        <f aca="false">IF(ROWS(A$5:A58)&lt;=MAX(Реестр!$W$2:$W$401),ROWS(A$5:A58),"")</f>
        <v>54</v>
      </c>
      <c r="B58" s="24" t="str">
        <f aca="false">IF($A58="","",INDEX(Реестр!$B$2:$B$401,MATCH($A58,Реестр!$W$2:$W$401,0)))</f>
        <v>ООО «Тандем Торг»</v>
      </c>
      <c r="C58" s="24" t="str">
        <f aca="false">IF($A58="","",INDEX(Реестр!$C$2:$C$401,MATCH($A58,Реестр!$W$2:$W$401,0)))</f>
        <v>2303960363</v>
      </c>
      <c r="D58" s="24" t="str">
        <f aca="false">IF($A58="","",INDEX(Реестр!$D$2:$D$401,MATCH($A58,Реестр!$W$2:$W$401,0)))</f>
        <v>5132324684102</v>
      </c>
      <c r="E58" s="24" t="str">
        <f aca="false">IF($A58="","",INDEX(Реестр!$E$2:$E$401,MATCH($A58,Реестр!$W$2:$W$401,0)))</f>
        <v>230301007</v>
      </c>
      <c r="F58" s="24" t="str">
        <f aca="false">IF($A58="","",INDEX(Реестр!$J$2:$J$401,MATCH($A58,Реестр!$W$2:$W$401,0)))</f>
        <v>Краснодарский край</v>
      </c>
      <c r="G58" s="24" t="str">
        <f aca="false">IF($A58="","",INDEX(Реестр!$F$2:$F$401,MATCH($A58,Реестр!$W$2:$W$401,0)))</f>
        <v>г. Краснодар, ул. Победы, д. 104, оф. 71</v>
      </c>
      <c r="H58" s="24" t="str">
        <f aca="false">IF($A58="","",INDEX(Реестр!$G$2:$G$401,MATCH($A58,Реестр!$W$2:$W$401,0)))</f>
        <v>Степанова Т. В.</v>
      </c>
      <c r="I58" s="24" t="str">
        <f aca="false">IF($A58="","",INDEX(Реестр!$H$2:$H$401,MATCH($A58,Реестр!$W$2:$W$401,0)))</f>
        <v>mail@tandem-torg.example</v>
      </c>
      <c r="J58" s="24" t="str">
        <f aca="false">IF($A58="","",INDEX(Реестр!$I$2:$I$401,MATCH($A58,Реестр!$W$2:$W$401,0)))</f>
        <v>8 861 5338843</v>
      </c>
    </row>
    <row r="59" customFormat="false" ht="15" hidden="false" customHeight="false" outlineLevel="0" collapsed="false">
      <c r="A59" s="21" t="n">
        <f aca="false">IF(ROWS(A$5:A59)&lt;=MAX(Реестр!$W$2:$W$401),ROWS(A$5:A59),"")</f>
        <v>55</v>
      </c>
      <c r="B59" s="24" t="str">
        <f aca="false">IF($A59="","",INDEX(Реестр!$B$2:$B$401,MATCH($A59,Реестр!$W$2:$W$401,0)))</f>
        <v>АО «Гранит Трейд»</v>
      </c>
      <c r="C59" s="24" t="str">
        <f aca="false">IF($A59="","",INDEX(Реестр!$C$2:$C$401,MATCH($A59,Реестр!$W$2:$W$401,0)))</f>
        <v>7706283723</v>
      </c>
      <c r="D59" s="24" t="str">
        <f aca="false">IF($A59="","",INDEX(Реестр!$D$2:$D$401,MATCH($A59,Реестр!$W$2:$W$401,0)))</f>
        <v>5177724030094</v>
      </c>
      <c r="E59" s="24" t="str">
        <f aca="false">IF($A59="","",INDEX(Реестр!$E$2:$E$401,MATCH($A59,Реестр!$W$2:$W$401,0)))</f>
        <v>770643005</v>
      </c>
      <c r="F59" s="24" t="str">
        <f aca="false">IF($A59="","",INDEX(Реестр!$J$2:$J$401,MATCH($A59,Реестр!$W$2:$W$401,0)))</f>
        <v>г. Москва</v>
      </c>
      <c r="G59" s="24" t="str">
        <f aca="false">IF($A59="","",INDEX(Реестр!$F$2:$F$401,MATCH($A59,Реестр!$W$2:$W$401,0)))</f>
        <v>г. Москва, ул. Советская, д. 54, оф. 198</v>
      </c>
      <c r="H59" s="24" t="str">
        <f aca="false">IF($A59="","",INDEX(Реестр!$G$2:$G$401,MATCH($A59,Реестр!$W$2:$W$401,0)))</f>
        <v>Соколова С. О.</v>
      </c>
      <c r="I59" s="24" t="str">
        <f aca="false">IF($A59="","",INDEX(Реестр!$H$2:$H$401,MATCH($A59,Реестр!$W$2:$W$401,0)))</f>
        <v>sales@granit-treid.example</v>
      </c>
      <c r="J59" s="24" t="str">
        <f aca="false">IF($A59="","",INDEX(Реестр!$I$2:$I$401,MATCH($A59,Реестр!$W$2:$W$401,0)))</f>
        <v>+74955321947</v>
      </c>
    </row>
    <row r="60" customFormat="false" ht="15" hidden="false" customHeight="false" outlineLevel="0" collapsed="false">
      <c r="A60" s="21" t="n">
        <f aca="false">IF(ROWS(A$5:A60)&lt;=MAX(Реестр!$W$2:$W$401),ROWS(A$5:A60),"")</f>
        <v>56</v>
      </c>
      <c r="B60" s="24" t="str">
        <f aca="false">IF($A60="","",INDEX(Реестр!$B$2:$B$401,MATCH($A60,Реестр!$W$2:$W$401,0)))</f>
        <v>ООО «Тандем Консалт»</v>
      </c>
      <c r="C60" s="24" t="str">
        <f aca="false">IF($A60="","",INDEX(Реестр!$C$2:$C$401,MATCH($A60,Реестр!$W$2:$W$401,0)))</f>
        <v>7742853626</v>
      </c>
      <c r="D60" s="24" t="str">
        <f aca="false">IF($A60="","",INDEX(Реестр!$D$2:$D$401,MATCH($A60,Реестр!$W$2:$W$401,0)))</f>
        <v>5037728805516</v>
      </c>
      <c r="E60" s="24" t="str">
        <f aca="false">IF($A60="","",INDEX(Реестр!$E$2:$E$401,MATCH($A60,Реестр!$W$2:$W$401,0)))</f>
        <v>774201007</v>
      </c>
      <c r="F60" s="24" t="str">
        <f aca="false">IF($A60="","",INDEX(Реестр!$J$2:$J$401,MATCH($A60,Реестр!$W$2:$W$401,0)))</f>
        <v>г. Москва</v>
      </c>
      <c r="G60" s="24" t="str">
        <f aca="false">IF($A60="","",INDEX(Реестр!$F$2:$F$401,MATCH($A60,Реестр!$W$2:$W$401,0)))</f>
        <v>г. Москва, ул. Парковая, д. 14, оф. 139</v>
      </c>
      <c r="H60" s="24" t="str">
        <f aca="false">IF($A60="","",INDEX(Реестр!$G$2:$G$401,MATCH($A60,Реестр!$W$2:$W$401,0)))</f>
        <v>Смирнов Д. И.</v>
      </c>
      <c r="I60" s="24" t="str">
        <f aca="false">IF($A60="","",INDEX(Реестр!$H$2:$H$401,MATCH($A60,Реестр!$W$2:$W$401,0)))</f>
        <v>office@tandem-konsalt.example</v>
      </c>
      <c r="J60" s="24" t="str">
        <f aca="false">IF($A60="","",INDEX(Реестр!$I$2:$I$401,MATCH($A60,Реестр!$W$2:$W$401,0)))</f>
        <v>+74955289232</v>
      </c>
    </row>
    <row r="61" customFormat="false" ht="15" hidden="false" customHeight="false" outlineLevel="0" collapsed="false">
      <c r="A61" s="21" t="n">
        <f aca="false">IF(ROWS(A$5:A61)&lt;=MAX(Реестр!$W$2:$W$401),ROWS(A$5:A61),"")</f>
        <v>57</v>
      </c>
      <c r="B61" s="24" t="str">
        <f aca="false">IF($A61="","",INDEX(Реестр!$B$2:$B$401,MATCH($A61,Реестр!$W$2:$W$401,0)))</f>
        <v>ООО «Прогресс Стандарт»</v>
      </c>
      <c r="C61" s="24" t="str">
        <f aca="false">IF($A61="","",INDEX(Реестр!$C$2:$C$401,MATCH($A61,Реестр!$W$2:$W$401,0)))</f>
        <v>9125574448</v>
      </c>
      <c r="D61" s="24" t="str">
        <f aca="false">IF($A61="","",INDEX(Реестр!$D$2:$D$401,MATCH($A61,Реестр!$W$2:$W$401,0)))</f>
        <v>1179110904257</v>
      </c>
      <c r="E61" s="24" t="str">
        <f aca="false">IF($A61="","",INDEX(Реестр!$E$2:$E$401,MATCH($A61,Реестр!$W$2:$W$401,0)))</f>
        <v>912501007</v>
      </c>
      <c r="F61" s="24" t="str">
        <f aca="false">IF($A61="","",INDEX(Реестр!$J$2:$J$401,MATCH($A61,Реестр!$W$2:$W$401,0)))</f>
        <v>Республика Крым</v>
      </c>
      <c r="G61" s="24" t="str">
        <f aca="false">IF($A61="","",INDEX(Реестр!$F$2:$F$401,MATCH($A61,Реестр!$W$2:$W$401,0)))</f>
        <v>г. Симферополь, ул. Садовая, д. 38, оф. 40</v>
      </c>
      <c r="H61" s="24" t="str">
        <f aca="false">IF($A61="","",INDEX(Реестр!$G$2:$G$401,MATCH($A61,Реестр!$W$2:$W$401,0)))</f>
        <v>Павлова Н. С.</v>
      </c>
      <c r="I61" s="24" t="str">
        <f aca="false">IF($A61="","",INDEX(Реестр!$H$2:$H$401,MATCH($A61,Реестр!$W$2:$W$401,0)))</f>
        <v>office@progress-standart.example</v>
      </c>
      <c r="J61" s="24" t="str">
        <f aca="false">IF($A61="","",INDEX(Реестр!$I$2:$I$401,MATCH($A61,Реестр!$W$2:$W$401,0)))</f>
        <v>8 365 5524337</v>
      </c>
    </row>
    <row r="62" customFormat="false" ht="15" hidden="false" customHeight="false" outlineLevel="0" collapsed="false">
      <c r="A62" s="21" t="n">
        <f aca="false">IF(ROWS(A$5:A62)&lt;=MAX(Реестр!$W$2:$W$401),ROWS(A$5:A62),"")</f>
        <v>58</v>
      </c>
      <c r="B62" s="24" t="str">
        <f aca="false">IF($A62="","",INDEX(Реестр!$B$2:$B$401,MATCH($A62,Реестр!$W$2:$W$401,0)))</f>
        <v>ООО «Эталон Мед»</v>
      </c>
      <c r="C62" s="24" t="str">
        <f aca="false">IF($A62="","",INDEX(Реестр!$C$2:$C$401,MATCH($A62,Реестр!$W$2:$W$401,0)))</f>
        <v>2344481306</v>
      </c>
      <c r="D62" s="24" t="str">
        <f aca="false">IF($A62="","",INDEX(Реестр!$D$2:$D$401,MATCH($A62,Реестр!$W$2:$W$401,0)))</f>
        <v>5212344581950</v>
      </c>
      <c r="E62" s="24" t="str">
        <f aca="false">IF($A62="","",INDEX(Реестр!$E$2:$E$401,MATCH($A62,Реестр!$W$2:$W$401,0)))</f>
        <v>234445002</v>
      </c>
      <c r="F62" s="24" t="str">
        <f aca="false">IF($A62="","",INDEX(Реестр!$J$2:$J$401,MATCH($A62,Реестр!$W$2:$W$401,0)))</f>
        <v>Краснодарский край</v>
      </c>
      <c r="G62" s="24" t="str">
        <f aca="false">IF($A62="","",INDEX(Реестр!$F$2:$F$401,MATCH($A62,Реестр!$W$2:$W$401,0)))</f>
        <v>г. Краснодар, ул. Заводская, д. 49, оф. 265</v>
      </c>
      <c r="H62" s="24" t="str">
        <f aca="false">IF($A62="","",INDEX(Реестр!$G$2:$G$401,MATCH($A62,Реестр!$W$2:$W$401,0)))</f>
        <v>Морозов А. Е.</v>
      </c>
      <c r="I62" s="24" t="str">
        <f aca="false">IF($A62="","",INDEX(Реестр!$H$2:$H$401,MATCH($A62,Реестр!$W$2:$W$401,0)))</f>
        <v>sales@etalon-med.example</v>
      </c>
      <c r="J62" s="24" t="str">
        <f aca="false">IF($A62="","",INDEX(Реестр!$I$2:$I$401,MATCH($A62,Реестр!$W$2:$W$401,0)))</f>
        <v>+78615602827</v>
      </c>
    </row>
    <row r="63" customFormat="false" ht="15" hidden="false" customHeight="false" outlineLevel="0" collapsed="false">
      <c r="A63" s="21" t="n">
        <f aca="false">IF(ROWS(A$5:A63)&lt;=MAX(Реестр!$W$2:$W$401),ROWS(A$5:A63),"")</f>
        <v>59</v>
      </c>
      <c r="B63" s="24" t="str">
        <f aca="false">IF($A63="","",INDEX(Реестр!$B$2:$B$401,MATCH($A63,Реестр!$W$2:$W$401,0)))</f>
        <v>ООО «Гранит Логистик»</v>
      </c>
      <c r="C63" s="24" t="str">
        <f aca="false">IF($A63="","",INDEX(Реестр!$C$2:$C$401,MATCH($A63,Реестр!$W$2:$W$401,0)))</f>
        <v>7421642609</v>
      </c>
      <c r="D63" s="24" t="str">
        <f aca="false">IF($A63="","",INDEX(Реестр!$D$2:$D$401,MATCH($A63,Реестр!$W$2:$W$401,0)))</f>
        <v>5157428015058</v>
      </c>
      <c r="E63" s="24" t="str">
        <f aca="false">IF($A63="","",INDEX(Реестр!$E$2:$E$401,MATCH($A63,Реестр!$W$2:$W$401,0)))</f>
        <v>742101006</v>
      </c>
      <c r="F63" s="24" t="str">
        <f aca="false">IF($A63="","",INDEX(Реестр!$J$2:$J$401,MATCH($A63,Реестр!$W$2:$W$401,0)))</f>
        <v>Челябинская область</v>
      </c>
      <c r="G63" s="24" t="str">
        <f aca="false">IF($A63="","",INDEX(Реестр!$F$2:$F$401,MATCH($A63,Реестр!$W$2:$W$401,0)))</f>
        <v>г. Челябинск, ул. Школьная, д. 83, оф. 271</v>
      </c>
      <c r="H63" s="24" t="str">
        <f aca="false">IF($A63="","",INDEX(Реестр!$G$2:$G$401,MATCH($A63,Реестр!$W$2:$W$401,0)))</f>
        <v>Егоров В. С.</v>
      </c>
      <c r="I63" s="24" t="str">
        <f aca="false">IF($A63="","",INDEX(Реестр!$H$2:$H$401,MATCH($A63,Реестр!$W$2:$W$401,0)))</f>
        <v>office@granit-logistik.example</v>
      </c>
      <c r="J63" s="24" t="str">
        <f aca="false">IF($A63="","",INDEX(Реестр!$I$2:$I$401,MATCH($A63,Реестр!$W$2:$W$401,0)))</f>
        <v>+73515953612</v>
      </c>
    </row>
    <row r="64" customFormat="false" ht="15" hidden="false" customHeight="false" outlineLevel="0" collapsed="false">
      <c r="A64" s="21" t="n">
        <f aca="false">IF(ROWS(A$5:A64)&lt;=MAX(Реестр!$W$2:$W$401),ROWS(A$5:A64),"")</f>
        <v>60</v>
      </c>
      <c r="B64" s="24" t="str">
        <f aca="false">IF($A64="","",INDEX(Реестр!$B$2:$B$401,MATCH($A64,Реестр!$W$2:$W$401,0)))</f>
        <v>АО «Линия Торг»</v>
      </c>
      <c r="C64" s="24" t="str">
        <f aca="false">IF($A64="","",INDEX(Реестр!$C$2:$C$401,MATCH($A64,Реестр!$W$2:$W$401,0)))</f>
        <v>5433444196</v>
      </c>
      <c r="D64" s="24" t="str">
        <f aca="false">IF($A64="","",INDEX(Реестр!$D$2:$D$401,MATCH($A64,Реестр!$W$2:$W$401,0)))</f>
        <v>1045426245457</v>
      </c>
      <c r="E64" s="24" t="str">
        <f aca="false">IF($A64="","",INDEX(Реестр!$E$2:$E$401,MATCH($A64,Реестр!$W$2:$W$401,0)))</f>
        <v>543301005</v>
      </c>
      <c r="F64" s="24" t="str">
        <f aca="false">IF($A64="","",INDEX(Реестр!$J$2:$J$401,MATCH($A64,Реестр!$W$2:$W$401,0)))</f>
        <v>Новосибирская область</v>
      </c>
      <c r="G64" s="24" t="str">
        <f aca="false">IF($A64="","",INDEX(Реестр!$F$2:$F$401,MATCH($A64,Реестр!$W$2:$W$401,0)))</f>
        <v>г. Новосибирск, ул. Набережная, д. 59, оф. 35</v>
      </c>
      <c r="H64" s="24" t="str">
        <f aca="false">IF($A64="","",INDEX(Реестр!$G$2:$G$401,MATCH($A64,Реестр!$W$2:$W$401,0)))</f>
        <v>Егорова В. Н.</v>
      </c>
      <c r="I64" s="24" t="str">
        <f aca="false">IF($A64="","",INDEX(Реестр!$H$2:$H$401,MATCH($A64,Реестр!$W$2:$W$401,0)))</f>
        <v>zakaz@liniya-torg.example</v>
      </c>
      <c r="J64" s="24" t="str">
        <f aca="false">IF($A64="","",INDEX(Реестр!$I$2:$I$401,MATCH($A64,Реестр!$W$2:$W$401,0)))</f>
        <v>+7 (383) 557-43-76</v>
      </c>
    </row>
    <row r="65" customFormat="false" ht="15" hidden="false" customHeight="false" outlineLevel="0" collapsed="false">
      <c r="A65" s="21" t="n">
        <f aca="false">IF(ROWS(A$5:A65)&lt;=MAX(Реестр!$W$2:$W$401),ROWS(A$5:A65),"")</f>
        <v>61</v>
      </c>
      <c r="B65" s="24" t="str">
        <f aca="false">IF($A65="","",INDEX(Реестр!$B$2:$B$401,MATCH($A65,Реестр!$W$2:$W$401,0)))</f>
        <v>ООО «Альфа Софт»</v>
      </c>
      <c r="C65" s="24" t="str">
        <f aca="false">IF($A65="","",INDEX(Реестр!$C$2:$C$401,MATCH($A65,Реестр!$W$2:$W$401,0)))</f>
        <v>9221753739</v>
      </c>
      <c r="D65" s="24" t="str">
        <f aca="false">IF($A65="","",INDEX(Реестр!$D$2:$D$401,MATCH($A65,Реестр!$W$2:$W$401,0)))</f>
        <v>1179241674204</v>
      </c>
      <c r="E65" s="24" t="str">
        <f aca="false">IF($A65="","",INDEX(Реестр!$E$2:$E$401,MATCH($A65,Реестр!$W$2:$W$401,0)))</f>
        <v>922143004</v>
      </c>
      <c r="F65" s="24" t="str">
        <f aca="false">IF($A65="","",INDEX(Реестр!$J$2:$J$401,MATCH($A65,Реестр!$W$2:$W$401,0)))</f>
        <v>г. Севастополь</v>
      </c>
      <c r="G65" s="24" t="str">
        <f aca="false">IF($A65="","",INDEX(Реестр!$F$2:$F$401,MATCH($A65,Реестр!$W$2:$W$401,0)))</f>
        <v>г. Севастополь, ул. Садовая, д. 52, оф. 247</v>
      </c>
      <c r="H65" s="24" t="str">
        <f aca="false">IF($A65="","",INDEX(Реестр!$G$2:$G$401,MATCH($A65,Реестр!$W$2:$W$401,0)))</f>
        <v>Новикова Д. Д.</v>
      </c>
      <c r="I65" s="24" t="str">
        <f aca="false">IF($A65="","",INDEX(Реестр!$H$2:$H$401,MATCH($A65,Реестр!$W$2:$W$401,0)))</f>
        <v>mail@alfa-soft.example</v>
      </c>
      <c r="J65" s="24" t="str">
        <f aca="false">IF($A65="","",INDEX(Реестр!$I$2:$I$401,MATCH($A65,Реестр!$W$2:$W$401,0)))</f>
        <v>+7 (869) 561-19-49</v>
      </c>
    </row>
    <row r="66" customFormat="false" ht="15" hidden="false" customHeight="false" outlineLevel="0" collapsed="false">
      <c r="A66" s="21" t="n">
        <f aca="false">IF(ROWS(A$5:A66)&lt;=MAX(Реестр!$W$2:$W$401),ROWS(A$5:A66),"")</f>
        <v>62</v>
      </c>
      <c r="B66" s="24" t="str">
        <f aca="false">IF($A66="","",INDEX(Реестр!$B$2:$B$401,MATCH($A66,Реестр!$W$2:$W$401,0)))</f>
        <v>ООО «Берег Стандарт»</v>
      </c>
      <c r="C66" s="24" t="str">
        <f aca="false">IF($A66="","",INDEX(Реестр!$C$2:$C$401,MATCH($A66,Реестр!$W$2:$W$401,0)))</f>
        <v>7831150657</v>
      </c>
      <c r="D66" s="24" t="str">
        <f aca="false">IF($A66="","",INDEX(Реестр!$D$2:$D$401,MATCH($A66,Реестр!$W$2:$W$401,0)))</f>
        <v>1077847586772</v>
      </c>
      <c r="E66" s="24" t="str">
        <f aca="false">IF($A66="","",INDEX(Реестр!$E$2:$E$401,MATCH($A66,Реестр!$W$2:$W$401,0)))</f>
        <v>783101005</v>
      </c>
      <c r="F66" s="24" t="str">
        <f aca="false">IF($A66="","",INDEX(Реестр!$J$2:$J$401,MATCH($A66,Реестр!$W$2:$W$401,0)))</f>
        <v>г. Санкт-Петербург</v>
      </c>
      <c r="G66" s="24" t="str">
        <f aca="false">IF($A66="","",INDEX(Реестр!$F$2:$F$401,MATCH($A66,Реестр!$W$2:$W$401,0)))</f>
        <v>г. Санкт-Петербург, ул. Ленина, д. 38, оф. 115</v>
      </c>
      <c r="H66" s="24" t="str">
        <f aca="false">IF($A66="","",INDEX(Реестр!$G$2:$G$401,MATCH($A66,Реестр!$W$2:$W$401,0)))</f>
        <v>Новикова В. Н.</v>
      </c>
      <c r="I66" s="24" t="str">
        <f aca="false">IF($A66="","",INDEX(Реестр!$H$2:$H$401,MATCH($A66,Реестр!$W$2:$W$401,0)))</f>
        <v>info@bereg-standart.example</v>
      </c>
      <c r="J66" s="24" t="str">
        <f aca="false">IF($A66="","",INDEX(Реестр!$I$2:$I$401,MATCH($A66,Реестр!$W$2:$W$401,0)))</f>
        <v>+7 (812) 573-63-45</v>
      </c>
    </row>
    <row r="67" customFormat="false" ht="15" hidden="false" customHeight="false" outlineLevel="0" collapsed="false">
      <c r="A67" s="21" t="n">
        <f aca="false">IF(ROWS(A$5:A67)&lt;=MAX(Реестр!$W$2:$W$401),ROWS(A$5:A67),"")</f>
        <v>63</v>
      </c>
      <c r="B67" s="24" t="str">
        <f aca="false">IF($A67="","",INDEX(Реестр!$B$2:$B$401,MATCH($A67,Реестр!$W$2:$W$401,0)))</f>
        <v>ООО «Заря Транс»</v>
      </c>
      <c r="C67" s="24" t="str">
        <f aca="false">IF($A67="","",INDEX(Реестр!$C$2:$C$401,MATCH($A67,Реестр!$W$2:$W$401,0)))</f>
        <v>2412619185</v>
      </c>
      <c r="D67" s="24" t="str">
        <f aca="false">IF($A67="","",INDEX(Реестр!$D$2:$D$401,MATCH($A67,Реестр!$W$2:$W$401,0)))</f>
        <v>1032446472992</v>
      </c>
      <c r="E67" s="24" t="str">
        <f aca="false">IF($A67="","",INDEX(Реестр!$E$2:$E$401,MATCH($A67,Реестр!$W$2:$W$401,0)))</f>
        <v>241201009</v>
      </c>
      <c r="F67" s="24" t="str">
        <f aca="false">IF($A67="","",INDEX(Реестр!$J$2:$J$401,MATCH($A67,Реестр!$W$2:$W$401,0)))</f>
        <v>Красноярский край</v>
      </c>
      <c r="G67" s="24" t="str">
        <f aca="false">IF($A67="","",INDEX(Реестр!$F$2:$F$401,MATCH($A67,Реестр!$W$2:$W$401,0)))</f>
        <v>г. Красноярск, ул. Садовая, д. 46, оф. 298</v>
      </c>
      <c r="H67" s="24" t="str">
        <f aca="false">IF($A67="","",INDEX(Реестр!$G$2:$G$401,MATCH($A67,Реестр!$W$2:$W$401,0)))</f>
        <v>Козлова Т. А.</v>
      </c>
      <c r="I67" s="24" t="str">
        <f aca="false">IF($A67="","",INDEX(Реестр!$H$2:$H$401,MATCH($A67,Реестр!$W$2:$W$401,0)))</f>
        <v>mail@zarya-trans.example</v>
      </c>
      <c r="J67" s="24" t="str">
        <f aca="false">IF($A67="","",INDEX(Реестр!$I$2:$I$401,MATCH($A67,Реестр!$W$2:$W$401,0)))</f>
        <v>+73915097853</v>
      </c>
    </row>
    <row r="68" customFormat="false" ht="15" hidden="false" customHeight="false" outlineLevel="0" collapsed="false">
      <c r="A68" s="21" t="n">
        <f aca="false">IF(ROWS(A$5:A68)&lt;=MAX(Реестр!$W$2:$W$401),ROWS(A$5:A68),"")</f>
        <v>64</v>
      </c>
      <c r="B68" s="24" t="str">
        <f aca="false">IF($A68="","",INDEX(Реестр!$B$2:$B$401,MATCH($A68,Реестр!$W$2:$W$401,0)))</f>
        <v>ООО «Дельта Агро»</v>
      </c>
      <c r="C68" s="24" t="str">
        <f aca="false">IF($A68="","",INDEX(Реестр!$C$2:$C$401,MATCH($A68,Реестр!$W$2:$W$401,0)))</f>
        <v>2305409105</v>
      </c>
      <c r="D68" s="24" t="str">
        <f aca="false">IF($A68="","",INDEX(Реестр!$D$2:$D$401,MATCH($A68,Реестр!$W$2:$W$401,0)))</f>
        <v>5122324430091</v>
      </c>
      <c r="E68" s="24" t="str">
        <f aca="false">IF($A68="","",INDEX(Реестр!$E$2:$E$401,MATCH($A68,Реестр!$W$2:$W$401,0)))</f>
        <v>230543003</v>
      </c>
      <c r="F68" s="24" t="str">
        <f aca="false">IF($A68="","",INDEX(Реестр!$J$2:$J$401,MATCH($A68,Реестр!$W$2:$W$401,0)))</f>
        <v>Краснодарский край</v>
      </c>
      <c r="G68" s="24" t="str">
        <f aca="false">IF($A68="","",INDEX(Реестр!$F$2:$F$401,MATCH($A68,Реестр!$W$2:$W$401,0)))</f>
        <v>г. Краснодар, ул. Победы, д. 22, оф. 106</v>
      </c>
      <c r="H68" s="24" t="str">
        <f aca="false">IF($A68="","",INDEX(Реестр!$G$2:$G$401,MATCH($A68,Реестр!$W$2:$W$401,0)))</f>
        <v>Иванов А. Н.</v>
      </c>
      <c r="I68" s="24" t="str">
        <f aca="false">IF($A68="","",INDEX(Реестр!$H$2:$H$401,MATCH($A68,Реестр!$W$2:$W$401,0)))</f>
        <v>mail@delta-agro.example</v>
      </c>
      <c r="J68" s="24" t="str">
        <f aca="false">IF($A68="","",INDEX(Реестр!$I$2:$I$401,MATCH($A68,Реестр!$W$2:$W$401,0)))</f>
        <v>+7 (861) 566-78-76</v>
      </c>
    </row>
    <row r="69" customFormat="false" ht="15" hidden="false" customHeight="false" outlineLevel="0" collapsed="false">
      <c r="A69" s="21" t="n">
        <f aca="false">IF(ROWS(A$5:A69)&lt;=MAX(Реестр!$W$2:$W$401),ROWS(A$5:A69),"")</f>
        <v>65</v>
      </c>
      <c r="B69" s="24" t="str">
        <f aca="false">IF($A69="","",INDEX(Реестр!$B$2:$B$401,MATCH($A69,Реестр!$W$2:$W$401,0)))</f>
        <v>ООО «Берег Технологии»</v>
      </c>
      <c r="C69" s="24" t="str">
        <f aca="false">IF($A69="","",INDEX(Реестр!$C$2:$C$401,MATCH($A69,Реестр!$W$2:$W$401,0)))</f>
        <v>7440043671</v>
      </c>
      <c r="D69" s="24" t="str">
        <f aca="false">IF($A69="","",INDEX(Реестр!$D$2:$D$401,MATCH($A69,Реестр!$W$2:$W$401,0)))</f>
        <v>1097416658778</v>
      </c>
      <c r="E69" s="24" t="str">
        <f aca="false">IF($A69="","",INDEX(Реестр!$E$2:$E$401,MATCH($A69,Реестр!$W$2:$W$401,0)))</f>
        <v>744001004</v>
      </c>
      <c r="F69" s="24" t="str">
        <f aca="false">IF($A69="","",INDEX(Реестр!$J$2:$J$401,MATCH($A69,Реестр!$W$2:$W$401,0)))</f>
        <v>Челябинская область</v>
      </c>
      <c r="G69" s="24" t="str">
        <f aca="false">IF($A69="","",INDEX(Реестр!$F$2:$F$401,MATCH($A69,Реестр!$W$2:$W$401,0)))</f>
        <v>г. Челябинск, ул. Ленина, д. 102, оф. 175</v>
      </c>
      <c r="H69" s="24" t="str">
        <f aca="false">IF($A69="","",INDEX(Реестр!$G$2:$G$401,MATCH($A69,Реестр!$W$2:$W$401,0)))</f>
        <v>Попова С. М.</v>
      </c>
      <c r="I69" s="24" t="str">
        <f aca="false">IF($A69="","",INDEX(Реестр!$H$2:$H$401,MATCH($A69,Реестр!$W$2:$W$401,0)))</f>
        <v>sales@bereg-tekhnologii.example</v>
      </c>
      <c r="J69" s="24" t="str">
        <f aca="false">IF($A69="","",INDEX(Реестр!$I$2:$I$401,MATCH($A69,Реестр!$W$2:$W$401,0)))</f>
        <v>+73515119905</v>
      </c>
    </row>
    <row r="70" customFormat="false" ht="15" hidden="false" customHeight="false" outlineLevel="0" collapsed="false">
      <c r="A70" s="21" t="n">
        <f aca="false">IF(ROWS(A$5:A70)&lt;=MAX(Реестр!$W$2:$W$401),ROWS(A$5:A70),"")</f>
        <v>66</v>
      </c>
      <c r="B70" s="24" t="str">
        <f aca="false">IF($A70="","",INDEX(Реестр!$B$2:$B$401,MATCH($A70,Реестр!$W$2:$W$401,0)))</f>
        <v>ООО «Юпитер Консалт»</v>
      </c>
      <c r="C70" s="24" t="str">
        <f aca="false">IF($A70="","",INDEX(Реестр!$C$2:$C$401,MATCH($A70,Реестр!$W$2:$W$401,0)))</f>
        <v>2321962116</v>
      </c>
      <c r="D70" s="24" t="str">
        <f aca="false">IF($A70="","",INDEX(Реестр!$D$2:$D$401,MATCH($A70,Реестр!$W$2:$W$401,0)))</f>
        <v>1232342726835</v>
      </c>
      <c r="E70" s="24" t="str">
        <f aca="false">IF($A70="","",INDEX(Реестр!$E$2:$E$401,MATCH($A70,Реестр!$W$2:$W$401,0)))</f>
        <v>232101008</v>
      </c>
      <c r="F70" s="24" t="str">
        <f aca="false">IF($A70="","",INDEX(Реестр!$J$2:$J$401,MATCH($A70,Реестр!$W$2:$W$401,0)))</f>
        <v>Краснодарский край</v>
      </c>
      <c r="G70" s="24" t="str">
        <f aca="false">IF($A70="","",INDEX(Реестр!$F$2:$F$401,MATCH($A70,Реестр!$W$2:$W$401,0)))</f>
        <v>г. Краснодар, ул. Садовая, д. 15, оф. 75</v>
      </c>
      <c r="H70" s="24" t="str">
        <f aca="false">IF($A70="","",INDEX(Реестр!$G$2:$G$401,MATCH($A70,Реестр!$W$2:$W$401,0)))</f>
        <v>Егоров О. А.</v>
      </c>
      <c r="I70" s="24" t="str">
        <f aca="false">IF($A70="","",INDEX(Реестр!$H$2:$H$401,MATCH($A70,Реестр!$W$2:$W$401,0)))</f>
        <v>mail@yupiter-konsalt.example</v>
      </c>
      <c r="J70" s="24" t="str">
        <f aca="false">IF($A70="","",INDEX(Реестр!$I$2:$I$401,MATCH($A70,Реестр!$W$2:$W$401,0)))</f>
        <v>+78615983412</v>
      </c>
    </row>
    <row r="71" customFormat="false" ht="15" hidden="false" customHeight="false" outlineLevel="0" collapsed="false">
      <c r="A71" s="21" t="n">
        <f aca="false">IF(ROWS(A$5:A71)&lt;=MAX(Реестр!$W$2:$W$401),ROWS(A$5:A71),"")</f>
        <v>67</v>
      </c>
      <c r="B71" s="24" t="str">
        <f aca="false">IF($A71="","",INDEX(Реестр!$B$2:$B$401,MATCH($A71,Реестр!$W$2:$W$401,0)))</f>
        <v>ООО «Вектор Сервис»</v>
      </c>
      <c r="C71" s="24" t="str">
        <f aca="false">IF($A71="","",INDEX(Реестр!$C$2:$C$401,MATCH($A71,Реестр!$W$2:$W$401,0)))</f>
        <v>7803953356</v>
      </c>
      <c r="D71" s="24" t="str">
        <f aca="false">IF($A71="","",INDEX(Реестр!$D$2:$D$401,MATCH($A71,Реестр!$W$2:$W$401,0)))</f>
        <v>5087802656299</v>
      </c>
      <c r="E71" s="24" t="str">
        <f aca="false">IF($A71="","",INDEX(Реестр!$E$2:$E$401,MATCH($A71,Реестр!$W$2:$W$401,0)))</f>
        <v>780301001</v>
      </c>
      <c r="F71" s="24" t="str">
        <f aca="false">IF($A71="","",INDEX(Реестр!$J$2:$J$401,MATCH($A71,Реестр!$W$2:$W$401,0)))</f>
        <v>г. Санкт-Петербург</v>
      </c>
      <c r="G71" s="24" t="str">
        <f aca="false">IF($A71="","",INDEX(Реестр!$F$2:$F$401,MATCH($A71,Реестр!$W$2:$W$401,0)))</f>
        <v>г. Санкт-Петербург, ул. Набережная, д. 50, оф. 81</v>
      </c>
      <c r="H71" s="24" t="str">
        <f aca="false">IF($A71="","",INDEX(Реестр!$G$2:$G$401,MATCH($A71,Реестр!$W$2:$W$401,0)))</f>
        <v>Егорова И. Н.</v>
      </c>
      <c r="I71" s="24" t="str">
        <f aca="false">IF($A71="","",INDEX(Реестр!$H$2:$H$401,MATCH($A71,Реестр!$W$2:$W$401,0)))</f>
        <v>zakaz@vektor-servis.example</v>
      </c>
      <c r="J71" s="24" t="str">
        <f aca="false">IF($A71="","",INDEX(Реестр!$I$2:$I$401,MATCH($A71,Реестр!$W$2:$W$401,0)))</f>
        <v>8 812 5441497</v>
      </c>
    </row>
    <row r="72" customFormat="false" ht="15" hidden="false" customHeight="false" outlineLevel="0" collapsed="false">
      <c r="A72" s="21" t="n">
        <f aca="false">IF(ROWS(A$5:A72)&lt;=MAX(Реестр!$W$2:$W$401),ROWS(A$5:A72),"")</f>
        <v>68</v>
      </c>
      <c r="B72" s="24" t="str">
        <f aca="false">IF($A72="","",INDEX(Реестр!$B$2:$B$401,MATCH($A72,Реестр!$W$2:$W$401,0)))</f>
        <v>АО «Заря Технологии»</v>
      </c>
      <c r="C72" s="24" t="str">
        <f aca="false">IF($A72="","",INDEX(Реестр!$C$2:$C$401,MATCH($A72,Реестр!$W$2:$W$401,0)))</f>
        <v>9201349609</v>
      </c>
      <c r="D72" s="24" t="str">
        <f aca="false">IF($A72="","",INDEX(Реестр!$D$2:$D$401,MATCH($A72,Реестр!$W$2:$W$401,0)))</f>
        <v>1059203380059</v>
      </c>
      <c r="E72" s="24" t="str">
        <f aca="false">IF($A72="","",INDEX(Реестр!$E$2:$E$401,MATCH($A72,Реестр!$W$2:$W$401,0)))</f>
        <v>920101008</v>
      </c>
      <c r="F72" s="24" t="str">
        <f aca="false">IF($A72="","",INDEX(Реестр!$J$2:$J$401,MATCH($A72,Реестр!$W$2:$W$401,0)))</f>
        <v>г. Севастополь</v>
      </c>
      <c r="G72" s="24" t="str">
        <f aca="false">IF($A72="","",INDEX(Реестр!$F$2:$F$401,MATCH($A72,Реестр!$W$2:$W$401,0)))</f>
        <v>г. Севастополь, ул. Советская, д. 52, оф. 46</v>
      </c>
      <c r="H72" s="24" t="str">
        <f aca="false">IF($A72="","",INDEX(Реестр!$G$2:$G$401,MATCH($A72,Реестр!$W$2:$W$401,0)))</f>
        <v>Фёдоров О. В.</v>
      </c>
      <c r="I72" s="24" t="str">
        <f aca="false">IF($A72="","",INDEX(Реестр!$H$2:$H$401,MATCH($A72,Реестр!$W$2:$W$401,0)))</f>
        <v>mail@zarya-tekhnologii.example</v>
      </c>
      <c r="J72" s="24" t="str">
        <f aca="false">IF($A72="","",INDEX(Реестр!$I$2:$I$401,MATCH($A72,Реестр!$W$2:$W$401,0)))</f>
        <v>+7 (869) 587-97-27</v>
      </c>
    </row>
    <row r="73" customFormat="false" ht="15" hidden="false" customHeight="false" outlineLevel="0" collapsed="false">
      <c r="A73" s="21" t="n">
        <f aca="false">IF(ROWS(A$5:A73)&lt;=MAX(Реестр!$W$2:$W$401),ROWS(A$5:A73),"")</f>
        <v>69</v>
      </c>
      <c r="B73" s="24" t="str">
        <f aca="false">IF($A73="","",INDEX(Реестр!$B$2:$B$401,MATCH($A73,Реестр!$W$2:$W$401,0)))</f>
        <v>ООО «Квант Групп»</v>
      </c>
      <c r="C73" s="24" t="str">
        <f aca="false">IF($A73="","",INDEX(Реестр!$C$2:$C$401,MATCH($A73,Реестр!$W$2:$W$401,0)))</f>
        <v>2331048712</v>
      </c>
      <c r="D73" s="24" t="str">
        <f aca="false">IF($A73="","",INDEX(Реестр!$D$2:$D$401,MATCH($A73,Реестр!$W$2:$W$401,0)))</f>
        <v>1092306587560</v>
      </c>
      <c r="E73" s="24" t="str">
        <f aca="false">IF($A73="","",INDEX(Реестр!$E$2:$E$401,MATCH($A73,Реестр!$W$2:$W$401,0)))</f>
        <v>233101008</v>
      </c>
      <c r="F73" s="24" t="str">
        <f aca="false">IF($A73="","",INDEX(Реестр!$J$2:$J$401,MATCH($A73,Реестр!$W$2:$W$401,0)))</f>
        <v>Краснодарский край</v>
      </c>
      <c r="G73" s="24" t="str">
        <f aca="false">IF($A73="","",INDEX(Реестр!$F$2:$F$401,MATCH($A73,Реестр!$W$2:$W$401,0)))</f>
        <v>г. Краснодар, ул. Ленина, д. 114, оф. 200</v>
      </c>
      <c r="H73" s="24" t="str">
        <f aca="false">IF($A73="","",INDEX(Реестр!$G$2:$G$401,MATCH($A73,Реестр!$W$2:$W$401,0)))</f>
        <v>Степанов А. Н.</v>
      </c>
      <c r="I73" s="24" t="str">
        <f aca="false">IF($A73="","",INDEX(Реестр!$H$2:$H$401,MATCH($A73,Реестр!$W$2:$W$401,0)))</f>
        <v>info@kvant-grupp.example</v>
      </c>
      <c r="J73" s="24" t="str">
        <f aca="false">IF($A73="","",INDEX(Реестр!$I$2:$I$401,MATCH($A73,Реестр!$W$2:$W$401,0)))</f>
        <v>8 861 5396702</v>
      </c>
    </row>
    <row r="74" customFormat="false" ht="15" hidden="false" customHeight="false" outlineLevel="0" collapsed="false">
      <c r="A74" s="21" t="n">
        <f aca="false">IF(ROWS(A$5:A74)&lt;=MAX(Реестр!$W$2:$W$401),ROWS(A$5:A74),"")</f>
        <v>70</v>
      </c>
      <c r="B74" s="24" t="str">
        <f aca="false">IF($A74="","",INDEX(Реестр!$B$2:$B$401,MATCH($A74,Реестр!$W$2:$W$401,0)))</f>
        <v>ООО «Линия Мед»</v>
      </c>
      <c r="C74" s="24" t="str">
        <f aca="false">IF($A74="","",INDEX(Реестр!$C$2:$C$401,MATCH($A74,Реестр!$W$2:$W$401,0)))</f>
        <v>2433315396</v>
      </c>
      <c r="D74" s="24" t="str">
        <f aca="false">IF($A74="","",INDEX(Реестр!$D$2:$D$401,MATCH($A74,Реестр!$W$2:$W$401,0)))</f>
        <v>5152433761321</v>
      </c>
      <c r="E74" s="24" t="str">
        <f aca="false">IF($A74="","",INDEX(Реестр!$E$2:$E$401,MATCH($A74,Реестр!$W$2:$W$401,0)))</f>
        <v>243301008</v>
      </c>
      <c r="F74" s="24" t="str">
        <f aca="false">IF($A74="","",INDEX(Реестр!$J$2:$J$401,MATCH($A74,Реестр!$W$2:$W$401,0)))</f>
        <v>Красноярский край</v>
      </c>
      <c r="G74" s="24" t="str">
        <f aca="false">IF($A74="","",INDEX(Реестр!$F$2:$F$401,MATCH($A74,Реестр!$W$2:$W$401,0)))</f>
        <v>г. Красноярск, ул. Победы, д. 59, оф. 222</v>
      </c>
      <c r="H74" s="24" t="str">
        <f aca="false">IF($A74="","",INDEX(Реестр!$G$2:$G$401,MATCH($A74,Реестр!$W$2:$W$401,0)))</f>
        <v>Новиков Т. Н.</v>
      </c>
      <c r="I74" s="24" t="str">
        <f aca="false">IF($A74="","",INDEX(Реестр!$H$2:$H$401,MATCH($A74,Реестр!$W$2:$W$401,0)))</f>
        <v>info@liniya-med.example</v>
      </c>
      <c r="J74" s="24" t="str">
        <f aca="false">IF($A74="","",INDEX(Реестр!$I$2:$I$401,MATCH($A74,Реестр!$W$2:$W$401,0)))</f>
        <v>8 391 5200468</v>
      </c>
    </row>
    <row r="75" customFormat="false" ht="15" hidden="false" customHeight="false" outlineLevel="0" collapsed="false">
      <c r="A75" s="21" t="n">
        <f aca="false">IF(ROWS(A$5:A75)&lt;=MAX(Реестр!$W$2:$W$401),ROWS(A$5:A75),"")</f>
        <v>71</v>
      </c>
      <c r="B75" s="24" t="str">
        <f aca="false">IF($A75="","",INDEX(Реестр!$B$2:$B$401,MATCH($A75,Реестр!$W$2:$W$401,0)))</f>
        <v>ООО «Феникс Логистик»</v>
      </c>
      <c r="C75" s="24" t="str">
        <f aca="false">IF($A75="","",INDEX(Реестр!$C$2:$C$401,MATCH($A75,Реестр!$W$2:$W$401,0)))</f>
        <v>7801400035</v>
      </c>
      <c r="D75" s="24" t="str">
        <f aca="false">IF($A75="","",INDEX(Реестр!$D$2:$D$401,MATCH($A75,Реестр!$W$2:$W$401,0)))</f>
        <v>5147807732397</v>
      </c>
      <c r="E75" s="24" t="str">
        <f aca="false">IF($A75="","",INDEX(Реестр!$E$2:$E$401,MATCH($A75,Реестр!$W$2:$W$401,0)))</f>
        <v>780101002</v>
      </c>
      <c r="F75" s="24" t="str">
        <f aca="false">IF($A75="","",INDEX(Реестр!$J$2:$J$401,MATCH($A75,Реестр!$W$2:$W$401,0)))</f>
        <v>г. Санкт-Петербург</v>
      </c>
      <c r="G75" s="24" t="str">
        <f aca="false">IF($A75="","",INDEX(Реестр!$F$2:$F$401,MATCH($A75,Реестр!$W$2:$W$401,0)))</f>
        <v>г. Санкт-Петербург, ул. Набережная, д. 105, оф. 121</v>
      </c>
      <c r="H75" s="24" t="str">
        <f aca="false">IF($A75="","",INDEX(Реестр!$G$2:$G$401,MATCH($A75,Реестр!$W$2:$W$401,0)))</f>
        <v>Лебедев О. И.</v>
      </c>
      <c r="I75" s="24" t="str">
        <f aca="false">IF($A75="","",INDEX(Реестр!$H$2:$H$401,MATCH($A75,Реестр!$W$2:$W$401,0)))</f>
        <v>office@feniks-logistik.example</v>
      </c>
      <c r="J75" s="24" t="str">
        <f aca="false">IF($A75="","",INDEX(Реестр!$I$2:$I$401,MATCH($A75,Реестр!$W$2:$W$401,0)))</f>
        <v>+7 (812) 512-70-78</v>
      </c>
    </row>
    <row r="76" customFormat="false" ht="15" hidden="false" customHeight="false" outlineLevel="0" collapsed="false">
      <c r="A76" s="21" t="n">
        <f aca="false">IF(ROWS(A$5:A76)&lt;=MAX(Реестр!$W$2:$W$401),ROWS(A$5:A76),"")</f>
        <v>72</v>
      </c>
      <c r="B76" s="24" t="str">
        <f aca="false">IF($A76="","",INDEX(Реестр!$B$2:$B$401,MATCH($A76,Реестр!$W$2:$W$401,0)))</f>
        <v>ООО «Атлант Трейд»</v>
      </c>
      <c r="C76" s="24" t="str">
        <f aca="false">IF($A76="","",INDEX(Реестр!$C$2:$C$401,MATCH($A76,Реестр!$W$2:$W$401,0)))</f>
        <v>9212135310</v>
      </c>
      <c r="D76" s="24" t="str">
        <f aca="false">IF($A76="","",INDEX(Реестр!$D$2:$D$401,MATCH($A76,Реестр!$W$2:$W$401,0)))</f>
        <v>5239233630818</v>
      </c>
      <c r="E76" s="24" t="str">
        <f aca="false">IF($A76="","",INDEX(Реестр!$E$2:$E$401,MATCH($A76,Реестр!$W$2:$W$401,0)))</f>
        <v>921201008</v>
      </c>
      <c r="F76" s="24" t="str">
        <f aca="false">IF($A76="","",INDEX(Реестр!$J$2:$J$401,MATCH($A76,Реестр!$W$2:$W$401,0)))</f>
        <v>г. Севастополь</v>
      </c>
      <c r="G76" s="24" t="str">
        <f aca="false">IF($A76="","",INDEX(Реестр!$F$2:$F$401,MATCH($A76,Реестр!$W$2:$W$401,0)))</f>
        <v>г. Севастополь, ул. Набережная, д. 91, оф. 148</v>
      </c>
      <c r="H76" s="24" t="str">
        <f aca="false">IF($A76="","",INDEX(Реестр!$G$2:$G$401,MATCH($A76,Реестр!$W$2:$W$401,0)))</f>
        <v>Фёдоров С. И.</v>
      </c>
      <c r="I76" s="24" t="str">
        <f aca="false">IF($A76="","",INDEX(Реестр!$H$2:$H$401,MATCH($A76,Реестр!$W$2:$W$401,0)))</f>
        <v>mail@atlant-treid.example</v>
      </c>
      <c r="J76" s="24" t="str">
        <f aca="false">IF($A76="","",INDEX(Реестр!$I$2:$I$401,MATCH($A76,Реестр!$W$2:$W$401,0)))</f>
        <v>+78695676968</v>
      </c>
    </row>
    <row r="77" customFormat="false" ht="15" hidden="false" customHeight="false" outlineLevel="0" collapsed="false">
      <c r="A77" s="21" t="n">
        <f aca="false">IF(ROWS(A$5:A77)&lt;=MAX(Реестр!$W$2:$W$401),ROWS(A$5:A77),"")</f>
        <v>73</v>
      </c>
      <c r="B77" s="24" t="str">
        <f aca="false">IF($A77="","",INDEX(Реестр!$B$2:$B$401,MATCH($A77,Реестр!$W$2:$W$401,0)))</f>
        <v>ООО «Атлант Принт»</v>
      </c>
      <c r="C77" s="24" t="str">
        <f aca="false">IF($A77="","",INDEX(Реестр!$C$2:$C$401,MATCH($A77,Реестр!$W$2:$W$401,0)))</f>
        <v>7712650795</v>
      </c>
      <c r="D77" s="24" t="str">
        <f aca="false">IF($A77="","",INDEX(Реестр!$D$2:$D$401,MATCH($A77,Реестр!$W$2:$W$401,0)))</f>
        <v>1137723824347</v>
      </c>
      <c r="E77" s="24" t="str">
        <f aca="false">IF($A77="","",INDEX(Реестр!$E$2:$E$401,MATCH($A77,Реестр!$W$2:$W$401,0)))</f>
        <v>771201007</v>
      </c>
      <c r="F77" s="24" t="str">
        <f aca="false">IF($A77="","",INDEX(Реестр!$J$2:$J$401,MATCH($A77,Реестр!$W$2:$W$401,0)))</f>
        <v>г. Москва</v>
      </c>
      <c r="G77" s="24" t="str">
        <f aca="false">IF($A77="","",INDEX(Реестр!$F$2:$F$401,MATCH($A77,Реестр!$W$2:$W$401,0)))</f>
        <v>г. Москва, ул. Центральная, д. 15, оф. 226</v>
      </c>
      <c r="H77" s="24" t="str">
        <f aca="false">IF($A77="","",INDEX(Реестр!$G$2:$G$401,MATCH($A77,Реестр!$W$2:$W$401,0)))</f>
        <v>Лебедев С. Д.</v>
      </c>
      <c r="I77" s="24" t="str">
        <f aca="false">IF($A77="","",INDEX(Реестр!$H$2:$H$401,MATCH($A77,Реестр!$W$2:$W$401,0)))</f>
        <v>mail@atlant-print.example</v>
      </c>
      <c r="J77" s="24" t="str">
        <f aca="false">IF($A77="","",INDEX(Реестр!$I$2:$I$401,MATCH($A77,Реестр!$W$2:$W$401,0)))</f>
        <v>+7 (495) 596-73-26</v>
      </c>
    </row>
    <row r="78" customFormat="false" ht="15" hidden="false" customHeight="false" outlineLevel="0" collapsed="false">
      <c r="A78" s="21" t="n">
        <f aca="false">IF(ROWS(A$5:A78)&lt;=MAX(Реестр!$W$2:$W$401),ROWS(A$5:A78),"")</f>
        <v>74</v>
      </c>
      <c r="B78" s="24" t="str">
        <f aca="false">IF($A78="","",INDEX(Реестр!$B$2:$B$401,MATCH($A78,Реестр!$W$2:$W$401,0)))</f>
        <v>ООО «Горизонт Пласт»</v>
      </c>
      <c r="C78" s="24" t="str">
        <f aca="false">IF($A78="","",INDEX(Реестр!$C$2:$C$401,MATCH($A78,Реестр!$W$2:$W$401,0)))</f>
        <v>6607743390</v>
      </c>
      <c r="D78" s="24" t="str">
        <f aca="false">IF($A78="","",INDEX(Реестр!$D$2:$D$401,MATCH($A78,Реестр!$W$2:$W$401,0)))</f>
        <v>5026640782614</v>
      </c>
      <c r="E78" s="24" t="str">
        <f aca="false">IF($A78="","",INDEX(Реестр!$E$2:$E$401,MATCH($A78,Реестр!$W$2:$W$401,0)))</f>
        <v>660701008</v>
      </c>
      <c r="F78" s="24" t="str">
        <f aca="false">IF($A78="","",INDEX(Реестр!$J$2:$J$401,MATCH($A78,Реестр!$W$2:$W$401,0)))</f>
        <v>Свердловская область</v>
      </c>
      <c r="G78" s="24" t="str">
        <f aca="false">IF($A78="","",INDEX(Реестр!$F$2:$F$401,MATCH($A78,Реестр!$W$2:$W$401,0)))</f>
        <v>г. Екатеринбург, ул. Гагарина, д. 89, оф. 240</v>
      </c>
      <c r="H78" s="24" t="str">
        <f aca="false">IF($A78="","",INDEX(Реестр!$G$2:$G$401,MATCH($A78,Реестр!$W$2:$W$401,0)))</f>
        <v>Смирнова В. Т.</v>
      </c>
      <c r="I78" s="24" t="str">
        <f aca="false">IF($A78="","",INDEX(Реестр!$H$2:$H$401,MATCH($A78,Реестр!$W$2:$W$401,0)))</f>
        <v>mail@gorizont-plast.example</v>
      </c>
      <c r="J78" s="24" t="str">
        <f aca="false">IF($A78="","",INDEX(Реестр!$I$2:$I$401,MATCH($A78,Реестр!$W$2:$W$401,0)))</f>
        <v>8 343 5142763</v>
      </c>
    </row>
    <row r="79" customFormat="false" ht="15" hidden="false" customHeight="false" outlineLevel="0" collapsed="false">
      <c r="A79" s="21" t="n">
        <f aca="false">IF(ROWS(A$5:A79)&lt;=MAX(Реестр!$W$2:$W$401),ROWS(A$5:A79),"")</f>
        <v>75</v>
      </c>
      <c r="B79" s="24" t="str">
        <f aca="false">IF($A79="","",INDEX(Реестр!$B$2:$B$401,MATCH($A79,Реестр!$W$2:$W$401,0)))</f>
        <v>ООО «Импульс Торг»</v>
      </c>
      <c r="C79" s="24" t="str">
        <f aca="false">IF($A79="","",INDEX(Реестр!$C$2:$C$401,MATCH($A79,Реестр!$W$2:$W$401,0)))</f>
        <v>5420845137</v>
      </c>
      <c r="D79" s="24" t="str">
        <f aca="false">IF($A79="","",INDEX(Реестр!$D$2:$D$401,MATCH($A79,Реестр!$W$2:$W$401,0)))</f>
        <v>1175436210421</v>
      </c>
      <c r="E79" s="24" t="str">
        <f aca="false">IF($A79="","",INDEX(Реестр!$E$2:$E$401,MATCH($A79,Реестр!$W$2:$W$401,0)))</f>
        <v>542043006</v>
      </c>
      <c r="F79" s="24" t="str">
        <f aca="false">IF($A79="","",INDEX(Реестр!$J$2:$J$401,MATCH($A79,Реестр!$W$2:$W$401,0)))</f>
        <v>Новосибирская область</v>
      </c>
      <c r="G79" s="24" t="str">
        <f aca="false">IF($A79="","",INDEX(Реестр!$F$2:$F$401,MATCH($A79,Реестр!$W$2:$W$401,0)))</f>
        <v>г. Новосибирск, ул. Центральная, д. 5, оф. 156</v>
      </c>
      <c r="H79" s="24" t="str">
        <f aca="false">IF($A79="","",INDEX(Реестр!$G$2:$G$401,MATCH($A79,Реестр!$W$2:$W$401,0)))</f>
        <v>Петрова Д. В.</v>
      </c>
      <c r="I79" s="24" t="str">
        <f aca="false">IF($A79="","",INDEX(Реестр!$H$2:$H$401,MATCH($A79,Реестр!$W$2:$W$401,0)))</f>
        <v>office@impuls-torg.example</v>
      </c>
      <c r="J79" s="24" t="str">
        <f aca="false">IF($A79="","",INDEX(Реестр!$I$2:$I$401,MATCH($A79,Реестр!$W$2:$W$401,0)))</f>
        <v>+7 (383) 576-73-42</v>
      </c>
    </row>
    <row r="80" customFormat="false" ht="15" hidden="false" customHeight="false" outlineLevel="0" collapsed="false">
      <c r="A80" s="21" t="n">
        <f aca="false">IF(ROWS(A$5:A80)&lt;=MAX(Реестр!$W$2:$W$401),ROWS(A$5:A80),"")</f>
        <v>76</v>
      </c>
      <c r="B80" s="24" t="str">
        <f aca="false">IF($A80="","",INDEX(Реестр!$B$2:$B$401,MATCH($A80,Реестр!$W$2:$W$401,0)))</f>
        <v>ООО «Атлант Пласт»</v>
      </c>
      <c r="C80" s="24" t="str">
        <f aca="false">IF($A80="","",INDEX(Реестр!$C$2:$C$401,MATCH($A80,Реестр!$W$2:$W$401,0)))</f>
        <v>9216701140</v>
      </c>
      <c r="D80" s="24" t="str">
        <f aca="false">IF($A80="","",INDEX(Реестр!$D$2:$D$401,MATCH($A80,Реестр!$W$2:$W$401,0)))</f>
        <v>5129214456388</v>
      </c>
      <c r="E80" s="24" t="str">
        <f aca="false">IF($A80="","",INDEX(Реестр!$E$2:$E$401,MATCH($A80,Реестр!$W$2:$W$401,0)))</f>
        <v>921601001</v>
      </c>
      <c r="F80" s="24" t="str">
        <f aca="false">IF($A80="","",INDEX(Реестр!$J$2:$J$401,MATCH($A80,Реестр!$W$2:$W$401,0)))</f>
        <v>г. Севастополь</v>
      </c>
      <c r="G80" s="24" t="str">
        <f aca="false">IF($A80="","",INDEX(Реестр!$F$2:$F$401,MATCH($A80,Реестр!$W$2:$W$401,0)))</f>
        <v>г. Севастополь, ул. Школьная, д. 61, оф. 25</v>
      </c>
      <c r="H80" s="24" t="str">
        <f aca="false">IF($A80="","",INDEX(Реестр!$G$2:$G$401,MATCH($A80,Реестр!$W$2:$W$401,0)))</f>
        <v>Степанова Н. О.</v>
      </c>
      <c r="I80" s="24" t="str">
        <f aca="false">IF($A80="","",INDEX(Реестр!$H$2:$H$401,MATCH($A80,Реестр!$W$2:$W$401,0)))</f>
        <v>sales@atlant-plast.example</v>
      </c>
      <c r="J80" s="24" t="str">
        <f aca="false">IF($A80="","",INDEX(Реестр!$I$2:$I$401,MATCH($A80,Реестр!$W$2:$W$401,0)))</f>
        <v>8 869 5759858</v>
      </c>
    </row>
    <row r="81" customFormat="false" ht="15" hidden="false" customHeight="false" outlineLevel="0" collapsed="false">
      <c r="A81" s="21" t="n">
        <f aca="false">IF(ROWS(A$5:A81)&lt;=MAX(Реестр!$W$2:$W$401),ROWS(A$5:A81),"")</f>
        <v>77</v>
      </c>
      <c r="B81" s="24" t="str">
        <f aca="false">IF($A81="","",INDEX(Реестр!$B$2:$B$401,MATCH($A81,Реестр!$W$2:$W$401,0)))</f>
        <v>ООО «Юпитер Мед»</v>
      </c>
      <c r="C81" s="24" t="str">
        <f aca="false">IF($A81="","",INDEX(Реестр!$C$2:$C$401,MATCH($A81,Реестр!$W$2:$W$401,0)))</f>
        <v>7724264917</v>
      </c>
      <c r="D81" s="24" t="str">
        <f aca="false">IF($A81="","",INDEX(Реестр!$D$2:$D$401,MATCH($A81,Реестр!$W$2:$W$401,0)))</f>
        <v>1037723057525</v>
      </c>
      <c r="E81" s="24" t="str">
        <f aca="false">IF($A81="","",INDEX(Реестр!$E$2:$E$401,MATCH($A81,Реестр!$W$2:$W$401,0)))</f>
        <v>772401008</v>
      </c>
      <c r="F81" s="24" t="str">
        <f aca="false">IF($A81="","",INDEX(Реестр!$J$2:$J$401,MATCH($A81,Реестр!$W$2:$W$401,0)))</f>
        <v>г. Москва</v>
      </c>
      <c r="G81" s="24" t="str">
        <f aca="false">IF($A81="","",INDEX(Реестр!$F$2:$F$401,MATCH($A81,Реестр!$W$2:$W$401,0)))</f>
        <v>г. Москва, ул. Кирова, д. 105, оф. 233</v>
      </c>
      <c r="H81" s="24" t="str">
        <f aca="false">IF($A81="","",INDEX(Реестр!$G$2:$G$401,MATCH($A81,Реестр!$W$2:$W$401,0)))</f>
        <v>Васильева В. Н.</v>
      </c>
      <c r="I81" s="24" t="str">
        <f aca="false">IF($A81="","",INDEX(Реестр!$H$2:$H$401,MATCH($A81,Реестр!$W$2:$W$401,0)))</f>
        <v>mail@yupiter-med.example</v>
      </c>
      <c r="J81" s="24" t="str">
        <f aca="false">IF($A81="","",INDEX(Реестр!$I$2:$I$401,MATCH($A81,Реестр!$W$2:$W$401,0)))</f>
        <v>+74955507840</v>
      </c>
    </row>
    <row r="82" customFormat="false" ht="15" hidden="false" customHeight="false" outlineLevel="0" collapsed="false">
      <c r="A82" s="21" t="n">
        <f aca="false">IF(ROWS(A$5:A82)&lt;=MAX(Реестр!$W$2:$W$401),ROWS(A$5:A82),"")</f>
        <v>78</v>
      </c>
      <c r="B82" s="24" t="str">
        <f aca="false">IF($A82="","",INDEX(Реестр!$B$2:$B$401,MATCH($A82,Реестр!$W$2:$W$401,0)))</f>
        <v>ООО «Меридиан Логистик»</v>
      </c>
      <c r="C82" s="24" t="str">
        <f aca="false">IF($A82="","",INDEX(Реестр!$C$2:$C$401,MATCH($A82,Реестр!$W$2:$W$401,0)))</f>
        <v>7713174997</v>
      </c>
      <c r="D82" s="24" t="str">
        <f aca="false">IF($A82="","",INDEX(Реестр!$D$2:$D$401,MATCH($A82,Реестр!$W$2:$W$401,0)))</f>
        <v>1217747269079</v>
      </c>
      <c r="E82" s="24" t="str">
        <f aca="false">IF($A82="","",INDEX(Реестр!$E$2:$E$401,MATCH($A82,Реестр!$W$2:$W$401,0)))</f>
        <v>771301007</v>
      </c>
      <c r="F82" s="24" t="str">
        <f aca="false">IF($A82="","",INDEX(Реестр!$J$2:$J$401,MATCH($A82,Реестр!$W$2:$W$401,0)))</f>
        <v>г. Москва</v>
      </c>
      <c r="G82" s="24" t="str">
        <f aca="false">IF($A82="","",INDEX(Реестр!$F$2:$F$401,MATCH($A82,Реестр!$W$2:$W$401,0)))</f>
        <v>г. Москва, ул. Центральная, д. 102, оф. 138</v>
      </c>
      <c r="H82" s="24" t="str">
        <f aca="false">IF($A82="","",INDEX(Реестр!$G$2:$G$401,MATCH($A82,Реестр!$W$2:$W$401,0)))</f>
        <v>Иванов А. Е.</v>
      </c>
      <c r="I82" s="24" t="str">
        <f aca="false">IF($A82="","",INDEX(Реестр!$H$2:$H$401,MATCH($A82,Реестр!$W$2:$W$401,0)))</f>
        <v>zakaz@meridian-logistik.example</v>
      </c>
      <c r="J82" s="24" t="str">
        <f aca="false">IF($A82="","",INDEX(Реестр!$I$2:$I$401,MATCH($A82,Реестр!$W$2:$W$401,0)))</f>
        <v>8 495 5934763</v>
      </c>
    </row>
    <row r="83" customFormat="false" ht="15" hidden="false" customHeight="false" outlineLevel="0" collapsed="false">
      <c r="A83" s="21" t="n">
        <f aca="false">IF(ROWS(A$5:A83)&lt;=MAX(Реестр!$W$2:$W$401),ROWS(A$5:A83),"")</f>
        <v>79</v>
      </c>
      <c r="B83" s="24" t="str">
        <f aca="false">IF($A83="","",INDEX(Реестр!$B$2:$B$401,MATCH($A83,Реестр!$W$2:$W$401,0)))</f>
        <v>ООО «Импульс Групп»</v>
      </c>
      <c r="C83" s="24" t="str">
        <f aca="false">IF($A83="","",INDEX(Реестр!$C$2:$C$401,MATCH($A83,Реестр!$W$2:$W$401,0)))</f>
        <v>5245350523</v>
      </c>
      <c r="D83" s="24" t="str">
        <f aca="false">IF($A83="","",INDEX(Реестр!$D$2:$D$401,MATCH($A83,Реестр!$W$2:$W$401,0)))</f>
        <v>5095213088416</v>
      </c>
      <c r="E83" s="24" t="str">
        <f aca="false">IF($A83="","",INDEX(Реестр!$E$2:$E$401,MATCH($A83,Реестр!$W$2:$W$401,0)))</f>
        <v>524543002</v>
      </c>
      <c r="F83" s="24" t="str">
        <f aca="false">IF($A83="","",INDEX(Реестр!$J$2:$J$401,MATCH($A83,Реестр!$W$2:$W$401,0)))</f>
        <v>Нижегородская область</v>
      </c>
      <c r="G83" s="24" t="str">
        <f aca="false">IF($A83="","",INDEX(Реестр!$F$2:$F$401,MATCH($A83,Реестр!$W$2:$W$401,0)))</f>
        <v>г. Нижний Новгород, ул. Набережная, д. 71, оф. 49</v>
      </c>
      <c r="H83" s="24" t="str">
        <f aca="false">IF($A83="","",INDEX(Реестр!$G$2:$G$401,MATCH($A83,Реестр!$W$2:$W$401,0)))</f>
        <v>Козлов Е. А.</v>
      </c>
      <c r="I83" s="24" t="str">
        <f aca="false">IF($A83="","",INDEX(Реестр!$H$2:$H$401,MATCH($A83,Реестр!$W$2:$W$401,0)))</f>
        <v>mail@impuls-grupp.example</v>
      </c>
      <c r="J83" s="24" t="str">
        <f aca="false">IF($A83="","",INDEX(Реестр!$I$2:$I$401,MATCH($A83,Реестр!$W$2:$W$401,0)))</f>
        <v>8 831 5198040</v>
      </c>
    </row>
    <row r="84" customFormat="false" ht="15" hidden="false" customHeight="false" outlineLevel="0" collapsed="false">
      <c r="A84" s="21" t="n">
        <f aca="false">IF(ROWS(A$5:A84)&lt;=MAX(Реестр!$W$2:$W$401),ROWS(A$5:A84),"")</f>
        <v>80</v>
      </c>
      <c r="B84" s="24" t="str">
        <f aca="false">IF($A84="","",INDEX(Реестр!$B$2:$B$401,MATCH($A84,Реестр!$W$2:$W$401,0)))</f>
        <v>ООО «Дельта Энерго»</v>
      </c>
      <c r="C84" s="24" t="str">
        <f aca="false">IF($A84="","",INDEX(Реестр!$C$2:$C$401,MATCH($A84,Реестр!$W$2:$W$401,0)))</f>
        <v>6112821334</v>
      </c>
      <c r="D84" s="24" t="str">
        <f aca="false">IF($A84="","",INDEX(Реестр!$D$2:$D$401,MATCH($A84,Реестр!$W$2:$W$401,0)))</f>
        <v>1246125502688</v>
      </c>
      <c r="E84" s="24" t="str">
        <f aca="false">IF($A84="","",INDEX(Реестр!$E$2:$E$401,MATCH($A84,Реестр!$W$2:$W$401,0)))</f>
        <v>611243002</v>
      </c>
      <c r="F84" s="24" t="str">
        <f aca="false">IF($A84="","",INDEX(Реестр!$J$2:$J$401,MATCH($A84,Реестр!$W$2:$W$401,0)))</f>
        <v>Ростовская область</v>
      </c>
      <c r="G84" s="24" t="str">
        <f aca="false">IF($A84="","",INDEX(Реестр!$F$2:$F$401,MATCH($A84,Реестр!$W$2:$W$401,0)))</f>
        <v>г. Ростов-на-Дону, ул. Советская, д. 108, оф. 6</v>
      </c>
      <c r="H84" s="24" t="str">
        <f aca="false">IF($A84="","",INDEX(Реестр!$G$2:$G$401,MATCH($A84,Реестр!$W$2:$W$401,0)))</f>
        <v>Петров Е. Д.</v>
      </c>
      <c r="I84" s="24" t="str">
        <f aca="false">IF($A84="","",INDEX(Реестр!$H$2:$H$401,MATCH($A84,Реестр!$W$2:$W$401,0)))</f>
        <v>mail@delta-energo.example</v>
      </c>
      <c r="J84" s="24" t="str">
        <f aca="false">IF($A84="","",INDEX(Реестр!$I$2:$I$401,MATCH($A84,Реестр!$W$2:$W$401,0)))</f>
        <v>+7 (863) 542-82-91</v>
      </c>
    </row>
    <row r="85" customFormat="false" ht="15" hidden="false" customHeight="false" outlineLevel="0" collapsed="false">
      <c r="A85" s="21" t="n">
        <f aca="false">IF(ROWS(A$5:A85)&lt;=MAX(Реестр!$W$2:$W$401),ROWS(A$5:A85),"")</f>
        <v>81</v>
      </c>
      <c r="B85" s="24" t="str">
        <f aca="false">IF($A85="","",INDEX(Реестр!$B$2:$B$401,MATCH($A85,Реестр!$W$2:$W$401,0)))</f>
        <v>ООО «Импульс Консалт»</v>
      </c>
      <c r="C85" s="24" t="str">
        <f aca="false">IF($A85="","",INDEX(Реестр!$C$2:$C$401,MATCH($A85,Реестр!$W$2:$W$401,0)))</f>
        <v>7803271473</v>
      </c>
      <c r="D85" s="24" t="str">
        <f aca="false">IF($A85="","",INDEX(Реестр!$D$2:$D$401,MATCH($A85,Реестр!$W$2:$W$401,0)))</f>
        <v>1127842664201</v>
      </c>
      <c r="E85" s="24" t="str">
        <f aca="false">IF($A85="","",INDEX(Реестр!$E$2:$E$401,MATCH($A85,Реестр!$W$2:$W$401,0)))</f>
        <v>780345004</v>
      </c>
      <c r="F85" s="24" t="str">
        <f aca="false">IF($A85="","",INDEX(Реестр!$J$2:$J$401,MATCH($A85,Реестр!$W$2:$W$401,0)))</f>
        <v>г. Санкт-Петербург</v>
      </c>
      <c r="G85" s="24" t="str">
        <f aca="false">IF($A85="","",INDEX(Реестр!$F$2:$F$401,MATCH($A85,Реестр!$W$2:$W$401,0)))</f>
        <v>г. Санкт-Петербург, ул. Кирова, д. 18, оф. 244</v>
      </c>
      <c r="H85" s="24" t="str">
        <f aca="false">IF($A85="","",INDEX(Реестр!$G$2:$G$401,MATCH($A85,Реестр!$W$2:$W$401,0)))</f>
        <v>Кузнецова О. Е.</v>
      </c>
      <c r="I85" s="24" t="str">
        <f aca="false">IF($A85="","",INDEX(Реестр!$H$2:$H$401,MATCH($A85,Реестр!$W$2:$W$401,0)))</f>
        <v>info@impuls-konsalt.example</v>
      </c>
      <c r="J85" s="24" t="str">
        <f aca="false">IF($A85="","",INDEX(Реестр!$I$2:$I$401,MATCH($A85,Реестр!$W$2:$W$401,0)))</f>
        <v>+7 (812) 548-34-36</v>
      </c>
    </row>
    <row r="86" customFormat="false" ht="15" hidden="false" customHeight="false" outlineLevel="0" collapsed="false">
      <c r="A86" s="21" t="n">
        <f aca="false">IF(ROWS(A$5:A86)&lt;=MAX(Реестр!$W$2:$W$401),ROWS(A$5:A86),"")</f>
        <v>82</v>
      </c>
      <c r="B86" s="24" t="str">
        <f aca="false">IF($A86="","",INDEX(Реестр!$B$2:$B$401,MATCH($A86,Реестр!$W$2:$W$401,0)))</f>
        <v>ООО «Берег Групп»</v>
      </c>
      <c r="C86" s="24" t="str">
        <f aca="false">IF($A86="","",INDEX(Реестр!$C$2:$C$401,MATCH($A86,Реестр!$W$2:$W$401,0)))</f>
        <v>2319979070</v>
      </c>
      <c r="D86" s="24" t="str">
        <f aca="false">IF($A86="","",INDEX(Реестр!$D$2:$D$401,MATCH($A86,Реестр!$W$2:$W$401,0)))</f>
        <v>1112320209693</v>
      </c>
      <c r="E86" s="24" t="str">
        <f aca="false">IF($A86="","",INDEX(Реестр!$E$2:$E$401,MATCH($A86,Реестр!$W$2:$W$401,0)))</f>
        <v>231901005</v>
      </c>
      <c r="F86" s="24" t="str">
        <f aca="false">IF($A86="","",INDEX(Реестр!$J$2:$J$401,MATCH($A86,Реестр!$W$2:$W$401,0)))</f>
        <v>Краснодарский край</v>
      </c>
      <c r="G86" s="24" t="str">
        <f aca="false">IF($A86="","",INDEX(Реестр!$F$2:$F$401,MATCH($A86,Реестр!$W$2:$W$401,0)))</f>
        <v>г. Краснодар, ул. Парковая, д. 16, оф. 118</v>
      </c>
      <c r="H86" s="24" t="str">
        <f aca="false">IF($A86="","",INDEX(Реестр!$G$2:$G$401,MATCH($A86,Реестр!$W$2:$W$401,0)))</f>
        <v>Петров Е. Т.</v>
      </c>
      <c r="I86" s="24" t="str">
        <f aca="false">IF($A86="","",INDEX(Реестр!$H$2:$H$401,MATCH($A86,Реестр!$W$2:$W$401,0)))</f>
        <v>mail@bereg-grupp.example</v>
      </c>
      <c r="J86" s="24" t="str">
        <f aca="false">IF($A86="","",INDEX(Реестр!$I$2:$I$401,MATCH($A86,Реестр!$W$2:$W$401,0)))</f>
        <v>+78615014777</v>
      </c>
    </row>
    <row r="87" customFormat="false" ht="15" hidden="false" customHeight="false" outlineLevel="0" collapsed="false">
      <c r="A87" s="21" t="n">
        <f aca="false">IF(ROWS(A$5:A87)&lt;=MAX(Реестр!$W$2:$W$401),ROWS(A$5:A87),"")</f>
        <v>83</v>
      </c>
      <c r="B87" s="24" t="str">
        <f aca="false">IF($A87="","",INDEX(Реестр!$B$2:$B$401,MATCH($A87,Реестр!$W$2:$W$401,0)))</f>
        <v>ООО «Навигатор Транс»</v>
      </c>
      <c r="C87" s="24" t="str">
        <f aca="false">IF($A87="","",INDEX(Реестр!$C$2:$C$401,MATCH($A87,Реестр!$W$2:$W$401,0)))</f>
        <v>7438521112</v>
      </c>
      <c r="D87" s="24" t="str">
        <f aca="false">IF($A87="","",INDEX(Реестр!$D$2:$D$401,MATCH($A87,Реестр!$W$2:$W$401,0)))</f>
        <v>1217445424987</v>
      </c>
      <c r="E87" s="24" t="str">
        <f aca="false">IF($A87="","",INDEX(Реестр!$E$2:$E$401,MATCH($A87,Реестр!$W$2:$W$401,0)))</f>
        <v>743801001</v>
      </c>
      <c r="F87" s="24" t="str">
        <f aca="false">IF($A87="","",INDEX(Реестр!$J$2:$J$401,MATCH($A87,Реестр!$W$2:$W$401,0)))</f>
        <v>Челябинская область</v>
      </c>
      <c r="G87" s="24" t="str">
        <f aca="false">IF($A87="","",INDEX(Реестр!$F$2:$F$401,MATCH($A87,Реестр!$W$2:$W$401,0)))</f>
        <v>г. Челябинск, ул. Гагарина, д. 110, оф. 174</v>
      </c>
      <c r="H87" s="24" t="str">
        <f aca="false">IF($A87="","",INDEX(Реестр!$G$2:$G$401,MATCH($A87,Реестр!$W$2:$W$401,0)))</f>
        <v>Морозова Т. Т.</v>
      </c>
      <c r="I87" s="24" t="str">
        <f aca="false">IF($A87="","",INDEX(Реестр!$H$2:$H$401,MATCH($A87,Реестр!$W$2:$W$401,0)))</f>
        <v>mail@navigator-trans.example</v>
      </c>
      <c r="J87" s="24" t="str">
        <f aca="false">IF($A87="","",INDEX(Реестр!$I$2:$I$401,MATCH($A87,Реестр!$W$2:$W$401,0)))</f>
        <v>+7 (351) 518-25-93</v>
      </c>
    </row>
    <row r="88" customFormat="false" ht="15" hidden="false" customHeight="false" outlineLevel="0" collapsed="false">
      <c r="A88" s="21" t="n">
        <f aca="false">IF(ROWS(A$5:A88)&lt;=MAX(Реестр!$W$2:$W$401),ROWS(A$5:A88),"")</f>
        <v>84</v>
      </c>
      <c r="B88" s="24" t="str">
        <f aca="false">IF($A88="","",INDEX(Реестр!$B$2:$B$401,MATCH($A88,Реестр!$W$2:$W$401,0)))</f>
        <v>АО «Гранит Пласт»</v>
      </c>
      <c r="C88" s="24" t="str">
        <f aca="false">IF($A88="","",INDEX(Реестр!$C$2:$C$401,MATCH($A88,Реестр!$W$2:$W$401,0)))</f>
        <v>5241428779</v>
      </c>
      <c r="D88" s="24" t="str">
        <f aca="false">IF($A88="","",INDEX(Реестр!$D$2:$D$401,MATCH($A88,Реестр!$W$2:$W$401,0)))</f>
        <v>5035207925253</v>
      </c>
      <c r="E88" s="24" t="str">
        <f aca="false">IF($A88="","",INDEX(Реестр!$E$2:$E$401,MATCH($A88,Реестр!$W$2:$W$401,0)))</f>
        <v>524101007</v>
      </c>
      <c r="F88" s="24" t="str">
        <f aca="false">IF($A88="","",INDEX(Реестр!$J$2:$J$401,MATCH($A88,Реестр!$W$2:$W$401,0)))</f>
        <v>Нижегородская область</v>
      </c>
      <c r="G88" s="24" t="str">
        <f aca="false">IF($A88="","",INDEX(Реестр!$F$2:$F$401,MATCH($A88,Реестр!$W$2:$W$401,0)))</f>
        <v>г. Нижний Новгород, ул. Заводская, д. 24, оф. 55</v>
      </c>
      <c r="H88" s="24" t="str">
        <f aca="false">IF($A88="","",INDEX(Реестр!$G$2:$G$401,MATCH($A88,Реестр!$W$2:$W$401,0)))</f>
        <v>Павлова Е. В.</v>
      </c>
      <c r="I88" s="24" t="str">
        <f aca="false">IF($A88="","",INDEX(Реестр!$H$2:$H$401,MATCH($A88,Реестр!$W$2:$W$401,0)))</f>
        <v>zakaz@granit-plast.example</v>
      </c>
      <c r="J88" s="24" t="str">
        <f aca="false">IF($A88="","",INDEX(Реестр!$I$2:$I$401,MATCH($A88,Реестр!$W$2:$W$401,0)))</f>
        <v>+78315105721</v>
      </c>
    </row>
    <row r="89" customFormat="false" ht="15" hidden="false" customHeight="false" outlineLevel="0" collapsed="false">
      <c r="A89" s="21" t="n">
        <f aca="false">IF(ROWS(A$5:A89)&lt;=MAX(Реестр!$W$2:$W$401),ROWS(A$5:A89),"")</f>
        <v>85</v>
      </c>
      <c r="B89" s="24" t="str">
        <f aca="false">IF($A89="","",INDEX(Реестр!$B$2:$B$401,MATCH($A89,Реестр!$W$2:$W$401,0)))</f>
        <v>АО «Эталон Агро»</v>
      </c>
      <c r="C89" s="24" t="str">
        <f aca="false">IF($A89="","",INDEX(Реестр!$C$2:$C$401,MATCH($A89,Реестр!$W$2:$W$401,0)))</f>
        <v>7736820044</v>
      </c>
      <c r="D89" s="24" t="str">
        <f aca="false">IF($A89="","",INDEX(Реестр!$D$2:$D$401,MATCH($A89,Реестр!$W$2:$W$401,0)))</f>
        <v>5227705817565</v>
      </c>
      <c r="E89" s="24" t="str">
        <f aca="false">IF($A89="","",INDEX(Реестр!$E$2:$E$401,MATCH($A89,Реестр!$W$2:$W$401,0)))</f>
        <v>773601008</v>
      </c>
      <c r="F89" s="24" t="str">
        <f aca="false">IF($A89="","",INDEX(Реестр!$J$2:$J$401,MATCH($A89,Реестр!$W$2:$W$401,0)))</f>
        <v>г. Москва</v>
      </c>
      <c r="G89" s="24" t="str">
        <f aca="false">IF($A89="","",INDEX(Реестр!$F$2:$F$401,MATCH($A89,Реестр!$W$2:$W$401,0)))</f>
        <v>г. Москва, ул. Ленина, д. 67, оф. 97</v>
      </c>
      <c r="H89" s="24" t="str">
        <f aca="false">IF($A89="","",INDEX(Реестр!$G$2:$G$401,MATCH($A89,Реестр!$W$2:$W$401,0)))</f>
        <v>Козлова С. С.</v>
      </c>
      <c r="I89" s="24" t="str">
        <f aca="false">IF($A89="","",INDEX(Реестр!$H$2:$H$401,MATCH($A89,Реестр!$W$2:$W$401,0)))</f>
        <v>mail@etalon-agro.example</v>
      </c>
      <c r="J89" s="24" t="str">
        <f aca="false">IF($A89="","",INDEX(Реестр!$I$2:$I$401,MATCH($A89,Реестр!$W$2:$W$401,0)))</f>
        <v>+74955783737</v>
      </c>
    </row>
    <row r="90" customFormat="false" ht="15" hidden="false" customHeight="false" outlineLevel="0" collapsed="false">
      <c r="A90" s="21" t="n">
        <f aca="false">IF(ROWS(A$5:A90)&lt;=MAX(Реестр!$W$2:$W$401),ROWS(A$5:A90),"")</f>
        <v>86</v>
      </c>
      <c r="B90" s="24" t="str">
        <f aca="false">IF($A90="","",INDEX(Реестр!$B$2:$B$401,MATCH($A90,Реестр!$W$2:$W$401,0)))</f>
        <v>ООО «Линия Технологии»</v>
      </c>
      <c r="C90" s="24" t="str">
        <f aca="false">IF($A90="","",INDEX(Реестр!$C$2:$C$401,MATCH($A90,Реестр!$W$2:$W$401,0)))</f>
        <v>6123885690</v>
      </c>
      <c r="D90" s="24" t="str">
        <f aca="false">IF($A90="","",INDEX(Реестр!$D$2:$D$401,MATCH($A90,Реестр!$W$2:$W$401,0)))</f>
        <v>1126148042019</v>
      </c>
      <c r="E90" s="24" t="str">
        <f aca="false">IF($A90="","",INDEX(Реестр!$E$2:$E$401,MATCH($A90,Реестр!$W$2:$W$401,0)))</f>
        <v>612301002</v>
      </c>
      <c r="F90" s="24" t="str">
        <f aca="false">IF($A90="","",INDEX(Реестр!$J$2:$J$401,MATCH($A90,Реестр!$W$2:$W$401,0)))</f>
        <v>Ростовская область</v>
      </c>
      <c r="G90" s="24" t="str">
        <f aca="false">IF($A90="","",INDEX(Реестр!$F$2:$F$401,MATCH($A90,Реестр!$W$2:$W$401,0)))</f>
        <v>г. Ростов-на-Дону, ул. Гагарина, д. 101, оф. 200</v>
      </c>
      <c r="H90" s="24" t="str">
        <f aca="false">IF($A90="","",INDEX(Реестр!$G$2:$G$401,MATCH($A90,Реестр!$W$2:$W$401,0)))</f>
        <v>Степанова В. А.</v>
      </c>
      <c r="I90" s="24" t="str">
        <f aca="false">IF($A90="","",INDEX(Реестр!$H$2:$H$401,MATCH($A90,Реестр!$W$2:$W$401,0)))</f>
        <v>mail@liniya-tekhnologii.example</v>
      </c>
      <c r="J90" s="24" t="str">
        <f aca="false">IF($A90="","",INDEX(Реестр!$I$2:$I$401,MATCH($A90,Реестр!$W$2:$W$401,0)))</f>
        <v>8 863 5259196</v>
      </c>
    </row>
    <row r="91" customFormat="false" ht="15" hidden="false" customHeight="false" outlineLevel="0" collapsed="false">
      <c r="A91" s="21" t="n">
        <f aca="false">IF(ROWS(A$5:A91)&lt;=MAX(Реестр!$W$2:$W$401),ROWS(A$5:A91),"")</f>
        <v>87</v>
      </c>
      <c r="B91" s="24" t="str">
        <f aca="false">IF($A91="","",INDEX(Реестр!$B$2:$B$401,MATCH($A91,Реестр!$W$2:$W$401,0)))</f>
        <v>ООО «Импульс Пласт»</v>
      </c>
      <c r="C91" s="24" t="str">
        <f aca="false">IF($A91="","",INDEX(Реестр!$C$2:$C$401,MATCH($A91,Реестр!$W$2:$W$401,0)))</f>
        <v>9136579656</v>
      </c>
      <c r="D91" s="24" t="str">
        <f aca="false">IF($A91="","",INDEX(Реестр!$D$2:$D$401,MATCH($A91,Реестр!$W$2:$W$401,0)))</f>
        <v>5099103653611</v>
      </c>
      <c r="E91" s="24" t="str">
        <f aca="false">IF($A91="","",INDEX(Реестр!$E$2:$E$401,MATCH($A91,Реестр!$W$2:$W$401,0)))</f>
        <v>913601001</v>
      </c>
      <c r="F91" s="24" t="str">
        <f aca="false">IF($A91="","",INDEX(Реестр!$J$2:$J$401,MATCH($A91,Реестр!$W$2:$W$401,0)))</f>
        <v>Республика Крым</v>
      </c>
      <c r="G91" s="24" t="str">
        <f aca="false">IF($A91="","",INDEX(Реестр!$F$2:$F$401,MATCH($A91,Реестр!$W$2:$W$401,0)))</f>
        <v>г. Симферополь, ул. Победы, д. 83, оф. 59</v>
      </c>
      <c r="H91" s="24" t="str">
        <f aca="false">IF($A91="","",INDEX(Реестр!$G$2:$G$401,MATCH($A91,Реестр!$W$2:$W$401,0)))</f>
        <v>Петрова Д. А.</v>
      </c>
      <c r="I91" s="24" t="str">
        <f aca="false">IF($A91="","",INDEX(Реестр!$H$2:$H$401,MATCH($A91,Реестр!$W$2:$W$401,0)))</f>
        <v>mail@impuls-plast.example</v>
      </c>
      <c r="J91" s="24" t="str">
        <f aca="false">IF($A91="","",INDEX(Реестр!$I$2:$I$401,MATCH($A91,Реестр!$W$2:$W$401,0)))</f>
        <v>+7 (365) 588-37-73</v>
      </c>
    </row>
    <row r="92" customFormat="false" ht="15" hidden="false" customHeight="false" outlineLevel="0" collapsed="false">
      <c r="A92" s="21" t="n">
        <f aca="false">IF(ROWS(A$5:A92)&lt;=MAX(Реестр!$W$2:$W$401),ROWS(A$5:A92),"")</f>
        <v>88</v>
      </c>
      <c r="B92" s="24" t="str">
        <f aca="false">IF($A92="","",INDEX(Реестр!$B$2:$B$401,MATCH($A92,Реестр!$W$2:$W$401,0)))</f>
        <v>АО «Дельта Транс»</v>
      </c>
      <c r="C92" s="24" t="str">
        <f aca="false">IF($A92="","",INDEX(Реестр!$C$2:$C$401,MATCH($A92,Реестр!$W$2:$W$401,0)))</f>
        <v>7711172480</v>
      </c>
      <c r="D92" s="24" t="str">
        <f aca="false">IF($A92="","",INDEX(Реестр!$D$2:$D$401,MATCH($A92,Реестр!$W$2:$W$401,0)))</f>
        <v>5127738754336</v>
      </c>
      <c r="E92" s="24" t="str">
        <f aca="false">IF($A92="","",INDEX(Реестр!$E$2:$E$401,MATCH($A92,Реестр!$W$2:$W$401,0)))</f>
        <v>771101001</v>
      </c>
      <c r="F92" s="24" t="str">
        <f aca="false">IF($A92="","",INDEX(Реестр!$J$2:$J$401,MATCH($A92,Реестр!$W$2:$W$401,0)))</f>
        <v>г. Москва</v>
      </c>
      <c r="G92" s="24" t="str">
        <f aca="false">IF($A92="","",INDEX(Реестр!$F$2:$F$401,MATCH($A92,Реестр!$W$2:$W$401,0)))</f>
        <v>г. Москва, ул. Школьная, д. 48, оф. 73</v>
      </c>
      <c r="H92" s="24" t="str">
        <f aca="false">IF($A92="","",INDEX(Реестр!$G$2:$G$401,MATCH($A92,Реестр!$W$2:$W$401,0)))</f>
        <v>Попов Д. Н.</v>
      </c>
      <c r="I92" s="24" t="str">
        <f aca="false">IF($A92="","",INDEX(Реестр!$H$2:$H$401,MATCH($A92,Реестр!$W$2:$W$401,0)))</f>
        <v>sales@delta-trans.example</v>
      </c>
      <c r="J92" s="24" t="str">
        <f aca="false">IF($A92="","",INDEX(Реестр!$I$2:$I$401,MATCH($A92,Реестр!$W$2:$W$401,0)))</f>
        <v>+7 (495) 591-41-93</v>
      </c>
    </row>
    <row r="93" customFormat="false" ht="15" hidden="false" customHeight="false" outlineLevel="0" collapsed="false">
      <c r="A93" s="21" t="n">
        <f aca="false">IF(ROWS(A$5:A93)&lt;=MAX(Реестр!$W$2:$W$401),ROWS(A$5:A93),"")</f>
        <v>89</v>
      </c>
      <c r="B93" s="24" t="str">
        <f aca="false">IF($A93="","",INDEX(Реестр!$B$2:$B$401,MATCH($A93,Реестр!$W$2:$W$401,0)))</f>
        <v>ООО «Меридиан Групп»</v>
      </c>
      <c r="C93" s="24" t="str">
        <f aca="false">IF($A93="","",INDEX(Реестр!$C$2:$C$401,MATCH($A93,Реестр!$W$2:$W$401,0)))</f>
        <v>7718962014</v>
      </c>
      <c r="D93" s="24" t="str">
        <f aca="false">IF($A93="","",INDEX(Реестр!$D$2:$D$401,MATCH($A93,Реестр!$W$2:$W$401,0)))</f>
        <v>5037741736049</v>
      </c>
      <c r="E93" s="24" t="str">
        <f aca="false">IF($A93="","",INDEX(Реестр!$E$2:$E$401,MATCH($A93,Реестр!$W$2:$W$401,0)))</f>
        <v>771801009</v>
      </c>
      <c r="F93" s="24" t="str">
        <f aca="false">IF($A93="","",INDEX(Реестр!$J$2:$J$401,MATCH($A93,Реестр!$W$2:$W$401,0)))</f>
        <v>г. Москва</v>
      </c>
      <c r="G93" s="24" t="str">
        <f aca="false">IF($A93="","",INDEX(Реестр!$F$2:$F$401,MATCH($A93,Реестр!$W$2:$W$401,0)))</f>
        <v>г. Москва, ул. Садовая, д. 78, оф. 169</v>
      </c>
      <c r="H93" s="24" t="str">
        <f aca="false">IF($A93="","",INDEX(Реестр!$G$2:$G$401,MATCH($A93,Реестр!$W$2:$W$401,0)))</f>
        <v>Иванов Е. О.</v>
      </c>
      <c r="I93" s="24" t="str">
        <f aca="false">IF($A93="","",INDEX(Реестр!$H$2:$H$401,MATCH($A93,Реестр!$W$2:$W$401,0)))</f>
        <v>office@meridian-grupp.example</v>
      </c>
      <c r="J93" s="24" t="str">
        <f aca="false">IF($A93="","",INDEX(Реестр!$I$2:$I$401,MATCH($A93,Реестр!$W$2:$W$401,0)))</f>
        <v>+7 (495) 550-14-58</v>
      </c>
    </row>
    <row r="94" customFormat="false" ht="15" hidden="false" customHeight="false" outlineLevel="0" collapsed="false">
      <c r="A94" s="21" t="n">
        <f aca="false">IF(ROWS(A$5:A94)&lt;=MAX(Реестр!$W$2:$W$401),ROWS(A$5:A94),"")</f>
        <v>90</v>
      </c>
      <c r="B94" s="24" t="str">
        <f aca="false">IF($A94="","",INDEX(Реестр!$B$2:$B$401,MATCH($A94,Реестр!$W$2:$W$401,0)))</f>
        <v>ООО «Навигатор Пласт»</v>
      </c>
      <c r="C94" s="24" t="str">
        <f aca="false">IF($A94="","",INDEX(Реестр!$C$2:$C$401,MATCH($A94,Реестр!$W$2:$W$401,0)))</f>
        <v>7845545937</v>
      </c>
      <c r="D94" s="24" t="str">
        <f aca="false">IF($A94="","",INDEX(Реестр!$D$2:$D$401,MATCH($A94,Реестр!$W$2:$W$401,0)))</f>
        <v>5207838471220</v>
      </c>
      <c r="E94" s="24" t="str">
        <f aca="false">IF($A94="","",INDEX(Реестр!$E$2:$E$401,MATCH($A94,Реестр!$W$2:$W$401,0)))</f>
        <v>784501008</v>
      </c>
      <c r="F94" s="24" t="str">
        <f aca="false">IF($A94="","",INDEX(Реестр!$J$2:$J$401,MATCH($A94,Реестр!$W$2:$W$401,0)))</f>
        <v>г. Санкт-Петербург</v>
      </c>
      <c r="G94" s="24" t="str">
        <f aca="false">IF($A94="","",INDEX(Реестр!$F$2:$F$401,MATCH($A94,Реестр!$W$2:$W$401,0)))</f>
        <v>г. Санкт-Петербург, ул. Гагарина, д. 36, оф. 217</v>
      </c>
      <c r="H94" s="24" t="str">
        <f aca="false">IF($A94="","",INDEX(Реестр!$G$2:$G$401,MATCH($A94,Реестр!$W$2:$W$401,0)))</f>
        <v>Николаев О. С.</v>
      </c>
      <c r="I94" s="24" t="str">
        <f aca="false">IF($A94="","",INDEX(Реестр!$H$2:$H$401,MATCH($A94,Реестр!$W$2:$W$401,0)))</f>
        <v>mail@navigator-plast.example</v>
      </c>
      <c r="J94" s="24" t="str">
        <f aca="false">IF($A94="","",INDEX(Реестр!$I$2:$I$401,MATCH($A94,Реестр!$W$2:$W$401,0)))</f>
        <v>8 812 5758184</v>
      </c>
    </row>
    <row r="95" customFormat="false" ht="15" hidden="false" customHeight="false" outlineLevel="0" collapsed="false">
      <c r="A95" s="21" t="n">
        <f aca="false">IF(ROWS(A$5:A95)&lt;=MAX(Реестр!$W$2:$W$401),ROWS(A$5:A95),"")</f>
        <v>91</v>
      </c>
      <c r="B95" s="24" t="str">
        <f aca="false">IF($A95="","",INDEX(Реестр!$B$2:$B$401,MATCH($A95,Реестр!$W$2:$W$401,0)))</f>
        <v>ООО «Орбита Софт»</v>
      </c>
      <c r="C95" s="24" t="str">
        <f aca="false">IF($A95="","",INDEX(Реестр!$C$2:$C$401,MATCH($A95,Реестр!$W$2:$W$401,0)))</f>
        <v>6144060308</v>
      </c>
      <c r="D95" s="24" t="str">
        <f aca="false">IF($A95="","",INDEX(Реестр!$D$2:$D$401,MATCH($A95,Реестр!$W$2:$W$401,0)))</f>
        <v>1036149720474</v>
      </c>
      <c r="E95" s="24" t="str">
        <f aca="false">IF($A95="","",INDEX(Реестр!$E$2:$E$401,MATCH($A95,Реестр!$W$2:$W$401,0)))</f>
        <v>614401001</v>
      </c>
      <c r="F95" s="24" t="str">
        <f aca="false">IF($A95="","",INDEX(Реестр!$J$2:$J$401,MATCH($A95,Реестр!$W$2:$W$401,0)))</f>
        <v>Ростовская область</v>
      </c>
      <c r="G95" s="24" t="str">
        <f aca="false">IF($A95="","",INDEX(Реестр!$F$2:$F$401,MATCH($A95,Реестр!$W$2:$W$401,0)))</f>
        <v>г. Ростов-на-Дону, ул. Парковая, д. 38, оф. 189</v>
      </c>
      <c r="H95" s="24" t="str">
        <f aca="false">IF($A95="","",INDEX(Реестр!$G$2:$G$401,MATCH($A95,Реестр!$W$2:$W$401,0)))</f>
        <v>Морозов С. С.</v>
      </c>
      <c r="I95" s="24" t="str">
        <f aca="false">IF($A95="","",INDEX(Реестр!$H$2:$H$401,MATCH($A95,Реестр!$W$2:$W$401,0)))</f>
        <v>mail@orbita-soft.example</v>
      </c>
      <c r="J95" s="24" t="str">
        <f aca="false">IF($A95="","",INDEX(Реестр!$I$2:$I$401,MATCH($A95,Реестр!$W$2:$W$401,0)))</f>
        <v>8 863 5158224</v>
      </c>
    </row>
    <row r="96" customFormat="false" ht="15" hidden="false" customHeight="false" outlineLevel="0" collapsed="false">
      <c r="A96" s="21" t="n">
        <f aca="false">IF(ROWS(A$5:A96)&lt;=MAX(Реестр!$W$2:$W$401),ROWS(A$5:A96),"")</f>
        <v>92</v>
      </c>
      <c r="B96" s="24" t="str">
        <f aca="false">IF($A96="","",INDEX(Реестр!$B$2:$B$401,MATCH($A96,Реестр!$W$2:$W$401,0)))</f>
        <v>ООО «Орбита Консалт»</v>
      </c>
      <c r="C96" s="24" t="str">
        <f aca="false">IF($A96="","",INDEX(Реестр!$C$2:$C$401,MATCH($A96,Реестр!$W$2:$W$401,0)))</f>
        <v>2418360490</v>
      </c>
      <c r="D96" s="24" t="str">
        <f aca="false">IF($A96="","",INDEX(Реестр!$D$2:$D$401,MATCH($A96,Реестр!$W$2:$W$401,0)))</f>
        <v>1132408390388</v>
      </c>
      <c r="E96" s="24" t="str">
        <f aca="false">IF($A96="","",INDEX(Реестр!$E$2:$E$401,MATCH($A96,Реестр!$W$2:$W$401,0)))</f>
        <v>241801009</v>
      </c>
      <c r="F96" s="24" t="str">
        <f aca="false">IF($A96="","",INDEX(Реестр!$J$2:$J$401,MATCH($A96,Реестр!$W$2:$W$401,0)))</f>
        <v>Красноярский край</v>
      </c>
      <c r="G96" s="24" t="str">
        <f aca="false">IF($A96="","",INDEX(Реестр!$F$2:$F$401,MATCH($A96,Реестр!$W$2:$W$401,0)))</f>
        <v>г. Красноярск, ул. Мира, д. 44, оф. 296</v>
      </c>
      <c r="H96" s="24" t="str">
        <f aca="false">IF($A96="","",INDEX(Реестр!$G$2:$G$401,MATCH($A96,Реестр!$W$2:$W$401,0)))</f>
        <v>Егорова И. Т.</v>
      </c>
      <c r="I96" s="24" t="str">
        <f aca="false">IF($A96="","",INDEX(Реестр!$H$2:$H$401,MATCH($A96,Реестр!$W$2:$W$401,0)))</f>
        <v>zakaz@orbita-konsalt.example</v>
      </c>
      <c r="J96" s="24" t="str">
        <f aca="false">IF($A96="","",INDEX(Реестр!$I$2:$I$401,MATCH($A96,Реестр!$W$2:$W$401,0)))</f>
        <v>+73915197230</v>
      </c>
    </row>
    <row r="97" customFormat="false" ht="15" hidden="false" customHeight="false" outlineLevel="0" collapsed="false">
      <c r="A97" s="21" t="n">
        <f aca="false">IF(ROWS(A$5:A97)&lt;=MAX(Реестр!$W$2:$W$401),ROWS(A$5:A97),"")</f>
        <v>93</v>
      </c>
      <c r="B97" s="24" t="str">
        <f aca="false">IF($A97="","",INDEX(Реестр!$B$2:$B$401,MATCH($A97,Реестр!$W$2:$W$401,0)))</f>
        <v>ООО «Заря Пласт»</v>
      </c>
      <c r="C97" s="24" t="str">
        <f aca="false">IF($A97="","",INDEX(Реестр!$C$2:$C$401,MATCH($A97,Реестр!$W$2:$W$401,0)))</f>
        <v>7836849223</v>
      </c>
      <c r="D97" s="24" t="str">
        <f aca="false">IF($A97="","",INDEX(Реестр!$D$2:$D$401,MATCH($A97,Реестр!$W$2:$W$401,0)))</f>
        <v>1187847445818</v>
      </c>
      <c r="E97" s="24" t="str">
        <f aca="false">IF($A97="","",INDEX(Реестр!$E$2:$E$401,MATCH($A97,Реестр!$W$2:$W$401,0)))</f>
        <v>783643001</v>
      </c>
      <c r="F97" s="24" t="str">
        <f aca="false">IF($A97="","",INDEX(Реестр!$J$2:$J$401,MATCH($A97,Реестр!$W$2:$W$401,0)))</f>
        <v>г. Санкт-Петербург</v>
      </c>
      <c r="G97" s="24" t="str">
        <f aca="false">IF($A97="","",INDEX(Реестр!$F$2:$F$401,MATCH($A97,Реестр!$W$2:$W$401,0)))</f>
        <v>г. Санкт-Петербург, ул. Парковая, д. 111, оф. 194</v>
      </c>
      <c r="H97" s="24" t="str">
        <f aca="false">IF($A97="","",INDEX(Реестр!$G$2:$G$401,MATCH($A97,Реестр!$W$2:$W$401,0)))</f>
        <v>Егорова Е. Е.</v>
      </c>
      <c r="I97" s="24" t="str">
        <f aca="false">IF($A97="","",INDEX(Реестр!$H$2:$H$401,MATCH($A97,Реестр!$W$2:$W$401,0)))</f>
        <v>office@zarya-plast.example</v>
      </c>
      <c r="J97" s="24" t="str">
        <f aca="false">IF($A97="","",INDEX(Реестр!$I$2:$I$401,MATCH($A97,Реестр!$W$2:$W$401,0)))</f>
        <v>+7 (812) 536-57-47</v>
      </c>
    </row>
    <row r="98" customFormat="false" ht="15" hidden="false" customHeight="false" outlineLevel="0" collapsed="false">
      <c r="A98" s="21" t="n">
        <f aca="false">IF(ROWS(A$5:A98)&lt;=MAX(Реестр!$W$2:$W$401),ROWS(A$5:A98),"")</f>
        <v>94</v>
      </c>
      <c r="B98" s="24" t="str">
        <f aca="false">IF($A98="","",INDEX(Реестр!$B$2:$B$401,MATCH($A98,Реестр!$W$2:$W$401,0)))</f>
        <v>ООО «Вектор Строй»</v>
      </c>
      <c r="C98" s="24" t="str">
        <f aca="false">IF($A98="","",INDEX(Реестр!$C$2:$C$401,MATCH($A98,Реестр!$W$2:$W$401,0)))</f>
        <v>6624139357</v>
      </c>
      <c r="D98" s="24" t="str">
        <f aca="false">IF($A98="","",INDEX(Реестр!$D$2:$D$401,MATCH($A98,Реестр!$W$2:$W$401,0)))</f>
        <v>5226649148281</v>
      </c>
      <c r="E98" s="24" t="str">
        <f aca="false">IF($A98="","",INDEX(Реестр!$E$2:$E$401,MATCH($A98,Реестр!$W$2:$W$401,0)))</f>
        <v>662443008</v>
      </c>
      <c r="F98" s="24" t="str">
        <f aca="false">IF($A98="","",INDEX(Реестр!$J$2:$J$401,MATCH($A98,Реестр!$W$2:$W$401,0)))</f>
        <v>Свердловская область</v>
      </c>
      <c r="G98" s="24" t="str">
        <f aca="false">IF($A98="","",INDEX(Реестр!$F$2:$F$401,MATCH($A98,Реестр!$W$2:$W$401,0)))</f>
        <v>г. Екатеринбург, ул. Садовая, д. 105, оф. 174</v>
      </c>
      <c r="H98" s="24" t="str">
        <f aca="false">IF($A98="","",INDEX(Реестр!$G$2:$G$401,MATCH($A98,Реестр!$W$2:$W$401,0)))</f>
        <v>Семёнова И. А.</v>
      </c>
      <c r="I98" s="24" t="str">
        <f aca="false">IF($A98="","",INDEX(Реестр!$H$2:$H$401,MATCH($A98,Реестр!$W$2:$W$401,0)))</f>
        <v>info@vektor-stroy.example</v>
      </c>
      <c r="J98" s="24" t="str">
        <f aca="false">IF($A98="","",INDEX(Реестр!$I$2:$I$401,MATCH($A98,Реестр!$W$2:$W$401,0)))</f>
        <v>+7 (343) 543-28-62</v>
      </c>
    </row>
    <row r="99" customFormat="false" ht="15" hidden="false" customHeight="false" outlineLevel="0" collapsed="false">
      <c r="A99" s="21" t="n">
        <f aca="false">IF(ROWS(A$5:A99)&lt;=MAX(Реестр!$W$2:$W$401),ROWS(A$5:A99),"")</f>
        <v>95</v>
      </c>
      <c r="B99" s="24" t="str">
        <f aca="false">IF($A99="","",INDEX(Реестр!$B$2:$B$401,MATCH($A99,Реестр!$W$2:$W$401,0)))</f>
        <v>ООО «Гранит Технологии»</v>
      </c>
      <c r="C99" s="24" t="str">
        <f aca="false">IF($A99="","",INDEX(Реестр!$C$2:$C$401,MATCH($A99,Реестр!$W$2:$W$401,0)))</f>
        <v>5443786745</v>
      </c>
      <c r="D99" s="24" t="str">
        <f aca="false">IF($A99="","",INDEX(Реестр!$D$2:$D$401,MATCH($A99,Реестр!$W$2:$W$401,0)))</f>
        <v>5135413679836</v>
      </c>
      <c r="E99" s="24" t="str">
        <f aca="false">IF($A99="","",INDEX(Реестр!$E$2:$E$401,MATCH($A99,Реестр!$W$2:$W$401,0)))</f>
        <v>544343005</v>
      </c>
      <c r="F99" s="24" t="str">
        <f aca="false">IF($A99="","",INDEX(Реестр!$J$2:$J$401,MATCH($A99,Реестр!$W$2:$W$401,0)))</f>
        <v>Новосибирская область</v>
      </c>
      <c r="G99" s="24" t="str">
        <f aca="false">IF($A99="","",INDEX(Реестр!$F$2:$F$401,MATCH($A99,Реестр!$W$2:$W$401,0)))</f>
        <v>г. Новосибирск, ул. Набережная, д. 18, оф. 98</v>
      </c>
      <c r="H99" s="24" t="str">
        <f aca="false">IF($A99="","",INDEX(Реестр!$G$2:$G$401,MATCH($A99,Реестр!$W$2:$W$401,0)))</f>
        <v>Михайлова О. Т.</v>
      </c>
      <c r="I99" s="24" t="str">
        <f aca="false">IF($A99="","",INDEX(Реестр!$H$2:$H$401,MATCH($A99,Реестр!$W$2:$W$401,0)))</f>
        <v>zakaz@granit-tekhnologii.example</v>
      </c>
      <c r="J99" s="24" t="str">
        <f aca="false">IF($A99="","",INDEX(Реестр!$I$2:$I$401,MATCH($A99,Реестр!$W$2:$W$401,0)))</f>
        <v>+73835570707</v>
      </c>
    </row>
    <row r="100" customFormat="false" ht="15" hidden="false" customHeight="false" outlineLevel="0" collapsed="false">
      <c r="A100" s="21" t="n">
        <f aca="false">IF(ROWS(A$5:A100)&lt;=MAX(Реестр!$W$2:$W$401),ROWS(A$5:A100),"")</f>
        <v>96</v>
      </c>
      <c r="B100" s="24" t="str">
        <f aca="false">IF($A100="","",INDEX(Реестр!$B$2:$B$401,MATCH($A100,Реестр!$W$2:$W$401,0)))</f>
        <v>ООО «Тандем Монтаж»</v>
      </c>
      <c r="C100" s="24" t="str">
        <f aca="false">IF($A100="","",INDEX(Реестр!$C$2:$C$401,MATCH($A100,Реестр!$W$2:$W$401,0)))</f>
        <v>0226055040</v>
      </c>
      <c r="D100" s="24" t="str">
        <f aca="false">IF($A100="","",INDEX(Реестр!$D$2:$D$401,MATCH($A100,Реестр!$W$2:$W$401,0)))</f>
        <v>1100238544966</v>
      </c>
      <c r="E100" s="24" t="str">
        <f aca="false">IF($A100="","",INDEX(Реестр!$E$2:$E$401,MATCH($A100,Реестр!$W$2:$W$401,0)))</f>
        <v>022601003</v>
      </c>
      <c r="F100" s="24" t="str">
        <f aca="false">IF($A100="","",INDEX(Реестр!$J$2:$J$401,MATCH($A100,Реестр!$W$2:$W$401,0)))</f>
        <v>Республика Башкортостан</v>
      </c>
      <c r="G100" s="24" t="str">
        <f aca="false">IF($A100="","",INDEX(Реестр!$F$2:$F$401,MATCH($A100,Реестр!$W$2:$W$401,0)))</f>
        <v>г. Уфа, ул. Парковая, д. 63, оф. 78</v>
      </c>
      <c r="H100" s="24" t="str">
        <f aca="false">IF($A100="","",INDEX(Реестр!$G$2:$G$401,MATCH($A100,Реестр!$W$2:$W$401,0)))</f>
        <v>Попов С. С.</v>
      </c>
      <c r="I100" s="24" t="str">
        <f aca="false">IF($A100="","",INDEX(Реестр!$H$2:$H$401,MATCH($A100,Реестр!$W$2:$W$401,0)))</f>
        <v>sales@tandem-montazh.example</v>
      </c>
      <c r="J100" s="24" t="str">
        <f aca="false">IF($A100="","",INDEX(Реестр!$I$2:$I$401,MATCH($A100,Реестр!$W$2:$W$401,0)))</f>
        <v>8 347 5247089</v>
      </c>
    </row>
    <row r="101" customFormat="false" ht="15" hidden="false" customHeight="false" outlineLevel="0" collapsed="false">
      <c r="A101" s="21" t="n">
        <f aca="false">IF(ROWS(A$5:A101)&lt;=MAX(Реестр!$W$2:$W$401),ROWS(A$5:A101),"")</f>
        <v>97</v>
      </c>
      <c r="B101" s="24" t="str">
        <f aca="false">IF($A101="","",INDEX(Реестр!$B$2:$B$401,MATCH($A101,Реестр!$W$2:$W$401,0)))</f>
        <v>АО «Импульс Проект»</v>
      </c>
      <c r="C101" s="24" t="str">
        <f aca="false">IF($A101="","",INDEX(Реестр!$C$2:$C$401,MATCH($A101,Реестр!$W$2:$W$401,0)))</f>
        <v>2317816360</v>
      </c>
      <c r="D101" s="24" t="str">
        <f aca="false">IF($A101="","",INDEX(Реестр!$D$2:$D$401,MATCH($A101,Реестр!$W$2:$W$401,0)))</f>
        <v>1192333351253</v>
      </c>
      <c r="E101" s="24" t="str">
        <f aca="false">IF($A101="","",INDEX(Реестр!$E$2:$E$401,MATCH($A101,Реестр!$W$2:$W$401,0)))</f>
        <v>231743009</v>
      </c>
      <c r="F101" s="24" t="str">
        <f aca="false">IF($A101="","",INDEX(Реестр!$J$2:$J$401,MATCH($A101,Реестр!$W$2:$W$401,0)))</f>
        <v>Краснодарский край</v>
      </c>
      <c r="G101" s="24" t="str">
        <f aca="false">IF($A101="","",INDEX(Реестр!$F$2:$F$401,MATCH($A101,Реестр!$W$2:$W$401,0)))</f>
        <v>г. Краснодар, ул. Центральная, д. 44, оф. 88</v>
      </c>
      <c r="H101" s="24" t="str">
        <f aca="false">IF($A101="","",INDEX(Реестр!$G$2:$G$401,MATCH($A101,Реестр!$W$2:$W$401,0)))</f>
        <v>Смирнов М. Е.</v>
      </c>
      <c r="I101" s="24" t="str">
        <f aca="false">IF($A101="","",INDEX(Реестр!$H$2:$H$401,MATCH($A101,Реестр!$W$2:$W$401,0)))</f>
        <v>office@impuls-proekt.example</v>
      </c>
      <c r="J101" s="24" t="str">
        <f aca="false">IF($A101="","",INDEX(Реестр!$I$2:$I$401,MATCH($A101,Реестр!$W$2:$W$401,0)))</f>
        <v>+78615197042</v>
      </c>
    </row>
    <row r="102" customFormat="false" ht="15" hidden="false" customHeight="false" outlineLevel="0" collapsed="false">
      <c r="A102" s="21" t="n">
        <f aca="false">IF(ROWS(A$5:A102)&lt;=MAX(Реестр!$W$2:$W$401),ROWS(A$5:A102),"")</f>
        <v>98</v>
      </c>
      <c r="B102" s="24" t="str">
        <f aca="false">IF($A102="","",INDEX(Реестр!$B$2:$B$401,MATCH($A102,Реестр!$W$2:$W$401,0)))</f>
        <v>АО «Орбита Логистик»</v>
      </c>
      <c r="C102" s="24" t="str">
        <f aca="false">IF($A102="","",INDEX(Реестр!$C$2:$C$401,MATCH($A102,Реестр!$W$2:$W$401,0)))</f>
        <v>7707307141</v>
      </c>
      <c r="D102" s="24" t="str">
        <f aca="false">IF($A102="","",INDEX(Реестр!$D$2:$D$401,MATCH($A102,Реестр!$W$2:$W$401,0)))</f>
        <v>5087745915868</v>
      </c>
      <c r="E102" s="24" t="str">
        <f aca="false">IF($A102="","",INDEX(Реестр!$E$2:$E$401,MATCH($A102,Реестр!$W$2:$W$401,0)))</f>
        <v>770745006</v>
      </c>
      <c r="F102" s="24" t="str">
        <f aca="false">IF($A102="","",INDEX(Реестр!$J$2:$J$401,MATCH($A102,Реестр!$W$2:$W$401,0)))</f>
        <v>г. Москва</v>
      </c>
      <c r="G102" s="24" t="str">
        <f aca="false">IF($A102="","",INDEX(Реестр!$F$2:$F$401,MATCH($A102,Реестр!$W$2:$W$401,0)))</f>
        <v>г. Москва, ул. Победы, д. 74, оф. 196</v>
      </c>
      <c r="H102" s="24" t="str">
        <f aca="false">IF($A102="","",INDEX(Реестр!$G$2:$G$401,MATCH($A102,Реестр!$W$2:$W$401,0)))</f>
        <v>Васильева М. О.</v>
      </c>
      <c r="I102" s="24" t="str">
        <f aca="false">IF($A102="","",INDEX(Реестр!$H$2:$H$401,MATCH($A102,Реестр!$W$2:$W$401,0)))</f>
        <v>mail@orbita-logistik.example</v>
      </c>
      <c r="J102" s="24" t="str">
        <f aca="false">IF($A102="","",INDEX(Реестр!$I$2:$I$401,MATCH($A102,Реестр!$W$2:$W$401,0)))</f>
        <v>+7 (495) 532-92-63</v>
      </c>
    </row>
    <row r="103" customFormat="false" ht="15" hidden="false" customHeight="false" outlineLevel="0" collapsed="false">
      <c r="A103" s="21" t="n">
        <f aca="false">IF(ROWS(A$5:A103)&lt;=MAX(Реестр!$W$2:$W$401),ROWS(A$5:A103),"")</f>
        <v>99</v>
      </c>
      <c r="B103" s="24" t="str">
        <f aca="false">IF($A103="","",INDEX(Реестр!$B$2:$B$401,MATCH($A103,Реестр!$W$2:$W$401,0)))</f>
        <v>ООО «Берег Пласт»</v>
      </c>
      <c r="C103" s="24" t="str">
        <f aca="false">IF($A103="","",INDEX(Реестр!$C$2:$C$401,MATCH($A103,Реестр!$W$2:$W$401,0)))</f>
        <v>5424315719</v>
      </c>
      <c r="D103" s="24" t="str">
        <f aca="false">IF($A103="","",INDEX(Реестр!$D$2:$D$401,MATCH($A103,Реестр!$W$2:$W$401,0)))</f>
        <v>5205416508798</v>
      </c>
      <c r="E103" s="24" t="str">
        <f aca="false">IF($A103="","",INDEX(Реестр!$E$2:$E$401,MATCH($A103,Реестр!$W$2:$W$401,0)))</f>
        <v>542445007</v>
      </c>
      <c r="F103" s="24" t="str">
        <f aca="false">IF($A103="","",INDEX(Реестр!$J$2:$J$401,MATCH($A103,Реестр!$W$2:$W$401,0)))</f>
        <v>Новосибирская область</v>
      </c>
      <c r="G103" s="24" t="str">
        <f aca="false">IF($A103="","",INDEX(Реестр!$F$2:$F$401,MATCH($A103,Реестр!$W$2:$W$401,0)))</f>
        <v>г. Новосибирск, ул. Парковая, д. 52, оф. 234</v>
      </c>
      <c r="H103" s="24" t="str">
        <f aca="false">IF($A103="","",INDEX(Реестр!$G$2:$G$401,MATCH($A103,Реестр!$W$2:$W$401,0)))</f>
        <v>Иванов Д. И.</v>
      </c>
      <c r="I103" s="24" t="str">
        <f aca="false">IF($A103="","",INDEX(Реестр!$H$2:$H$401,MATCH($A103,Реестр!$W$2:$W$401,0)))</f>
        <v>sales@bereg-plast.example</v>
      </c>
      <c r="J103" s="24" t="str">
        <f aca="false">IF($A103="","",INDEX(Реестр!$I$2:$I$401,MATCH($A103,Реестр!$W$2:$W$401,0)))</f>
        <v>8 383 5326084</v>
      </c>
    </row>
    <row r="104" customFormat="false" ht="15" hidden="false" customHeight="false" outlineLevel="0" collapsed="false">
      <c r="A104" s="21" t="n">
        <f aca="false">IF(ROWS(A$5:A104)&lt;=MAX(Реестр!$W$2:$W$401),ROWS(A$5:A104),"")</f>
        <v>100</v>
      </c>
      <c r="B104" s="24" t="str">
        <f aca="false">IF($A104="","",INDEX(Реестр!$B$2:$B$401,MATCH($A104,Реестр!$W$2:$W$401,0)))</f>
        <v>ООО «Гранит Фуд»</v>
      </c>
      <c r="C104" s="24" t="str">
        <f aca="false">IF($A104="","",INDEX(Реестр!$C$2:$C$401,MATCH($A104,Реестр!$W$2:$W$401,0)))</f>
        <v>7702056416</v>
      </c>
      <c r="D104" s="24" t="str">
        <f aca="false">IF($A104="","",INDEX(Реестр!$D$2:$D$401,MATCH($A104,Реестр!$W$2:$W$401,0)))</f>
        <v>5127708342735</v>
      </c>
      <c r="E104" s="24" t="str">
        <f aca="false">IF($A104="","",INDEX(Реестр!$E$2:$E$401,MATCH($A104,Реестр!$W$2:$W$401,0)))</f>
        <v>770201004</v>
      </c>
      <c r="F104" s="24" t="str">
        <f aca="false">IF($A104="","",INDEX(Реестр!$J$2:$J$401,MATCH($A104,Реестр!$W$2:$W$401,0)))</f>
        <v>г. Москва</v>
      </c>
      <c r="G104" s="24" t="str">
        <f aca="false">IF($A104="","",INDEX(Реестр!$F$2:$F$401,MATCH($A104,Реестр!$W$2:$W$401,0)))</f>
        <v>г. Москва, ул. Ленина, д. 84, оф. 290</v>
      </c>
      <c r="H104" s="24" t="str">
        <f aca="false">IF($A104="","",INDEX(Реестр!$G$2:$G$401,MATCH($A104,Реестр!$W$2:$W$401,0)))</f>
        <v>Попов М. Т.</v>
      </c>
      <c r="I104" s="24" t="str">
        <f aca="false">IF($A104="","",INDEX(Реестр!$H$2:$H$401,MATCH($A104,Реестр!$W$2:$W$401,0)))</f>
        <v>office@granit-fud.example</v>
      </c>
      <c r="J104" s="24" t="str">
        <f aca="false">IF($A104="","",INDEX(Реестр!$I$2:$I$401,MATCH($A104,Реестр!$W$2:$W$401,0)))</f>
        <v>8 495 5589505</v>
      </c>
    </row>
    <row r="105" customFormat="false" ht="15" hidden="false" customHeight="false" outlineLevel="0" collapsed="false">
      <c r="A105" s="21" t="n">
        <f aca="false">IF(ROWS(A$5:A105)&lt;=MAX(Реестр!$W$2:$W$401),ROWS(A$5:A105),"")</f>
        <v>101</v>
      </c>
      <c r="B105" s="24" t="str">
        <f aca="false">IF($A105="","",INDEX(Реестр!$B$2:$B$401,MATCH($A105,Реестр!$W$2:$W$401,0)))</f>
        <v>АО «Горизонт Мед»</v>
      </c>
      <c r="C105" s="24" t="str">
        <f aca="false">IF($A105="","",INDEX(Реестр!$C$2:$C$401,MATCH($A105,Реестр!$W$2:$W$401,0)))</f>
        <v>7702636600</v>
      </c>
      <c r="D105" s="24" t="str">
        <f aca="false">IF($A105="","",INDEX(Реестр!$D$2:$D$401,MATCH($A105,Реестр!$W$2:$W$401,0)))</f>
        <v>1207725353428</v>
      </c>
      <c r="E105" s="24" t="str">
        <f aca="false">IF($A105="","",INDEX(Реестр!$E$2:$E$401,MATCH($A105,Реестр!$W$2:$W$401,0)))</f>
        <v>770243008</v>
      </c>
      <c r="F105" s="24" t="str">
        <f aca="false">IF($A105="","",INDEX(Реестр!$J$2:$J$401,MATCH($A105,Реестр!$W$2:$W$401,0)))</f>
        <v>г. Москва</v>
      </c>
      <c r="G105" s="24" t="str">
        <f aca="false">IF($A105="","",INDEX(Реестр!$F$2:$F$401,MATCH($A105,Реестр!$W$2:$W$401,0)))</f>
        <v>г. Москва, ул. Набережная, д. 99, оф. 116</v>
      </c>
      <c r="H105" s="24" t="str">
        <f aca="false">IF($A105="","",INDEX(Реестр!$G$2:$G$401,MATCH($A105,Реестр!$W$2:$W$401,0)))</f>
        <v>Фёдорова В. О.</v>
      </c>
      <c r="I105" s="24" t="str">
        <f aca="false">IF($A105="","",INDEX(Реестр!$H$2:$H$401,MATCH($A105,Реестр!$W$2:$W$401,0)))</f>
        <v>info@gorizont-med.example</v>
      </c>
      <c r="J105" s="24" t="str">
        <f aca="false">IF($A105="","",INDEX(Реестр!$I$2:$I$401,MATCH($A105,Реестр!$W$2:$W$401,0)))</f>
        <v>+74955770543</v>
      </c>
    </row>
    <row r="106" customFormat="false" ht="15" hidden="false" customHeight="false" outlineLevel="0" collapsed="false">
      <c r="A106" s="21" t="n">
        <f aca="false">IF(ROWS(A$5:A106)&lt;=MAX(Реестр!$W$2:$W$401),ROWS(A$5:A106),"")</f>
        <v>102</v>
      </c>
      <c r="B106" s="24" t="str">
        <f aca="false">IF($A106="","",INDEX(Реестр!$B$2:$B$401,MATCH($A106,Реестр!$W$2:$W$401,0)))</f>
        <v>ООО «Квант Мед»</v>
      </c>
      <c r="C106" s="24" t="str">
        <f aca="false">IF($A106="","",INDEX(Реестр!$C$2:$C$401,MATCH($A106,Реестр!$W$2:$W$401,0)))</f>
        <v>5422397498</v>
      </c>
      <c r="D106" s="24" t="str">
        <f aca="false">IF($A106="","",INDEX(Реестр!$D$2:$D$401,MATCH($A106,Реестр!$W$2:$W$401,0)))</f>
        <v>5045441244844</v>
      </c>
      <c r="E106" s="24" t="str">
        <f aca="false">IF($A106="","",INDEX(Реестр!$E$2:$E$401,MATCH($A106,Реестр!$W$2:$W$401,0)))</f>
        <v>542201002</v>
      </c>
      <c r="F106" s="24" t="str">
        <f aca="false">IF($A106="","",INDEX(Реестр!$J$2:$J$401,MATCH($A106,Реестр!$W$2:$W$401,0)))</f>
        <v>Новосибирская область</v>
      </c>
      <c r="G106" s="24" t="str">
        <f aca="false">IF($A106="","",INDEX(Реестр!$F$2:$F$401,MATCH($A106,Реестр!$W$2:$W$401,0)))</f>
        <v>г. Новосибирск, ул. Заводская, д. 82, оф. 145</v>
      </c>
      <c r="H106" s="24" t="str">
        <f aca="false">IF($A106="","",INDEX(Реестр!$G$2:$G$401,MATCH($A106,Реестр!$W$2:$W$401,0)))</f>
        <v>Новикова А. Е.</v>
      </c>
      <c r="I106" s="24" t="str">
        <f aca="false">IF($A106="","",INDEX(Реестр!$H$2:$H$401,MATCH($A106,Реестр!$W$2:$W$401,0)))</f>
        <v>info@kvant-med.example</v>
      </c>
      <c r="J106" s="24" t="str">
        <f aca="false">IF($A106="","",INDEX(Реестр!$I$2:$I$401,MATCH($A106,Реестр!$W$2:$W$401,0)))</f>
        <v>+73835557291</v>
      </c>
    </row>
    <row r="107" customFormat="false" ht="15" hidden="false" customHeight="false" outlineLevel="0" collapsed="false">
      <c r="A107" s="21" t="n">
        <f aca="false">IF(ROWS(A$5:A107)&lt;=MAX(Реестр!$W$2:$W$401),ROWS(A$5:A107),"")</f>
        <v>103</v>
      </c>
      <c r="B107" s="24" t="str">
        <f aca="false">IF($A107="","",INDEX(Реестр!$B$2:$B$401,MATCH($A107,Реестр!$W$2:$W$401,0)))</f>
        <v>ООО «Прогресс Транс»</v>
      </c>
      <c r="C107" s="24" t="str">
        <f aca="false">IF($A107="","",INDEX(Реестр!$C$2:$C$401,MATCH($A107,Реестр!$W$2:$W$401,0)))</f>
        <v>7727698944</v>
      </c>
      <c r="D107" s="24" t="str">
        <f aca="false">IF($A107="","",INDEX(Реестр!$D$2:$D$401,MATCH($A107,Реестр!$W$2:$W$401,0)))</f>
        <v>5217741019161</v>
      </c>
      <c r="E107" s="24" t="str">
        <f aca="false">IF($A107="","",INDEX(Реестр!$E$2:$E$401,MATCH($A107,Реестр!$W$2:$W$401,0)))</f>
        <v>772701002</v>
      </c>
      <c r="F107" s="24" t="str">
        <f aca="false">IF($A107="","",INDEX(Реестр!$J$2:$J$401,MATCH($A107,Реестр!$W$2:$W$401,0)))</f>
        <v>г. Москва</v>
      </c>
      <c r="G107" s="24" t="str">
        <f aca="false">IF($A107="","",INDEX(Реестр!$F$2:$F$401,MATCH($A107,Реестр!$W$2:$W$401,0)))</f>
        <v>г. Москва, ул. Советская, д. 41, оф. 56</v>
      </c>
      <c r="H107" s="24" t="str">
        <f aca="false">IF($A107="","",INDEX(Реестр!$G$2:$G$401,MATCH($A107,Реестр!$W$2:$W$401,0)))</f>
        <v>Фёдорова А. М.</v>
      </c>
      <c r="I107" s="24" t="str">
        <f aca="false">IF($A107="","",INDEX(Реестр!$H$2:$H$401,MATCH($A107,Реестр!$W$2:$W$401,0)))</f>
        <v>mail@progress-trans.example</v>
      </c>
      <c r="J107" s="24" t="str">
        <f aca="false">IF($A107="","",INDEX(Реестр!$I$2:$I$401,MATCH($A107,Реестр!$W$2:$W$401,0)))</f>
        <v>+74955671381</v>
      </c>
    </row>
    <row r="108" customFormat="false" ht="15" hidden="false" customHeight="false" outlineLevel="0" collapsed="false">
      <c r="A108" s="21" t="n">
        <f aca="false">IF(ROWS(A$5:A108)&lt;=MAX(Реестр!$W$2:$W$401),ROWS(A$5:A108),"")</f>
        <v>104</v>
      </c>
      <c r="B108" s="24" t="str">
        <f aca="false">IF($A108="","",INDEX(Реестр!$B$2:$B$401,MATCH($A108,Реестр!$W$2:$W$401,0)))</f>
        <v>ООО «Горизонт Проект»</v>
      </c>
      <c r="C108" s="24" t="str">
        <f aca="false">IF($A108="","",INDEX(Реестр!$C$2:$C$401,MATCH($A108,Реестр!$W$2:$W$401,0)))</f>
        <v>2413327837</v>
      </c>
      <c r="D108" s="24" t="str">
        <f aca="false">IF($A108="","",INDEX(Реестр!$D$2:$D$401,MATCH($A108,Реестр!$W$2:$W$401,0)))</f>
        <v>1082410605221</v>
      </c>
      <c r="E108" s="24" t="str">
        <f aca="false">IF($A108="","",INDEX(Реестр!$E$2:$E$401,MATCH($A108,Реестр!$W$2:$W$401,0)))</f>
        <v>241345006</v>
      </c>
      <c r="F108" s="24" t="str">
        <f aca="false">IF($A108="","",INDEX(Реестр!$J$2:$J$401,MATCH($A108,Реестр!$W$2:$W$401,0)))</f>
        <v>Красноярский край</v>
      </c>
      <c r="G108" s="24" t="str">
        <f aca="false">IF($A108="","",INDEX(Реестр!$F$2:$F$401,MATCH($A108,Реестр!$W$2:$W$401,0)))</f>
        <v>г. Красноярск, ул. Парковая, д. 71, оф. 59</v>
      </c>
      <c r="H108" s="24" t="str">
        <f aca="false">IF($A108="","",INDEX(Реестр!$G$2:$G$401,MATCH($A108,Реестр!$W$2:$W$401,0)))</f>
        <v>Алексеева С. Н.</v>
      </c>
      <c r="I108" s="24" t="str">
        <f aca="false">IF($A108="","",INDEX(Реестр!$H$2:$H$401,MATCH($A108,Реестр!$W$2:$W$401,0)))</f>
        <v>office@gorizont-proekt.example</v>
      </c>
      <c r="J108" s="24" t="str">
        <f aca="false">IF($A108="","",INDEX(Реестр!$I$2:$I$401,MATCH($A108,Реестр!$W$2:$W$401,0)))</f>
        <v>8 391 5283353</v>
      </c>
    </row>
    <row r="109" customFormat="false" ht="15" hidden="false" customHeight="false" outlineLevel="0" collapsed="false">
      <c r="A109" s="21" t="n">
        <f aca="false">IF(ROWS(A$5:A109)&lt;=MAX(Реестр!$W$2:$W$401),ROWS(A$5:A109),"")</f>
        <v>105</v>
      </c>
      <c r="B109" s="24" t="str">
        <f aca="false">IF($A109="","",INDEX(Реестр!$B$2:$B$401,MATCH($A109,Реестр!$W$2:$W$401,0)))</f>
        <v>АО «Берег Энерго»</v>
      </c>
      <c r="C109" s="24" t="str">
        <f aca="false">IF($A109="","",INDEX(Реестр!$C$2:$C$401,MATCH($A109,Реестр!$W$2:$W$401,0)))</f>
        <v>6633538654</v>
      </c>
      <c r="D109" s="24" t="str">
        <f aca="false">IF($A109="","",INDEX(Реестр!$D$2:$D$401,MATCH($A109,Реестр!$W$2:$W$401,0)))</f>
        <v>1236612358333</v>
      </c>
      <c r="E109" s="24" t="str">
        <f aca="false">IF($A109="","",INDEX(Реестр!$E$2:$E$401,MATCH($A109,Реестр!$W$2:$W$401,0)))</f>
        <v>663301006</v>
      </c>
      <c r="F109" s="24" t="str">
        <f aca="false">IF($A109="","",INDEX(Реестр!$J$2:$J$401,MATCH($A109,Реестр!$W$2:$W$401,0)))</f>
        <v>Свердловская область</v>
      </c>
      <c r="G109" s="24" t="str">
        <f aca="false">IF($A109="","",INDEX(Реестр!$F$2:$F$401,MATCH($A109,Реестр!$W$2:$W$401,0)))</f>
        <v>г. Екатеринбург, ул. Заводская, д. 35, оф. 125</v>
      </c>
      <c r="H109" s="24" t="str">
        <f aca="false">IF($A109="","",INDEX(Реестр!$G$2:$G$401,MATCH($A109,Реестр!$W$2:$W$401,0)))</f>
        <v>Иванова Д. М.</v>
      </c>
      <c r="I109" s="24" t="str">
        <f aca="false">IF($A109="","",INDEX(Реестр!$H$2:$H$401,MATCH($A109,Реестр!$W$2:$W$401,0)))</f>
        <v>sales@bereg-energo.example</v>
      </c>
      <c r="J109" s="24" t="str">
        <f aca="false">IF($A109="","",INDEX(Реестр!$I$2:$I$401,MATCH($A109,Реестр!$W$2:$W$401,0)))</f>
        <v>+7 (343) 590-96-85</v>
      </c>
    </row>
    <row r="110" customFormat="false" ht="15" hidden="false" customHeight="false" outlineLevel="0" collapsed="false">
      <c r="A110" s="21" t="n">
        <f aca="false">IF(ROWS(A$5:A110)&lt;=MAX(Реестр!$W$2:$W$401),ROWS(A$5:A110),"")</f>
        <v>106</v>
      </c>
      <c r="B110" s="24" t="str">
        <f aca="false">IF($A110="","",INDEX(Реестр!$B$2:$B$401,MATCH($A110,Реестр!$W$2:$W$401,0)))</f>
        <v>ООО «Радуга Торг»</v>
      </c>
      <c r="C110" s="24" t="str">
        <f aca="false">IF($A110="","",INDEX(Реестр!$C$2:$C$401,MATCH($A110,Реестр!$W$2:$W$401,0)))</f>
        <v>6637188841</v>
      </c>
      <c r="D110" s="24" t="str">
        <f aca="false">IF($A110="","",INDEX(Реестр!$D$2:$D$401,MATCH($A110,Реестр!$W$2:$W$401,0)))</f>
        <v>1206608151815</v>
      </c>
      <c r="E110" s="24" t="str">
        <f aca="false">IF($A110="","",INDEX(Реестр!$E$2:$E$401,MATCH($A110,Реестр!$W$2:$W$401,0)))</f>
        <v>663701002</v>
      </c>
      <c r="F110" s="24" t="str">
        <f aca="false">IF($A110="","",INDEX(Реестр!$J$2:$J$401,MATCH($A110,Реестр!$W$2:$W$401,0)))</f>
        <v>Свердловская область</v>
      </c>
      <c r="G110" s="24" t="str">
        <f aca="false">IF($A110="","",INDEX(Реестр!$F$2:$F$401,MATCH($A110,Реестр!$W$2:$W$401,0)))</f>
        <v>г. Екатеринбург, ул. Заводская, д. 108, оф. 21</v>
      </c>
      <c r="H110" s="24" t="str">
        <f aca="false">IF($A110="","",INDEX(Реестр!$G$2:$G$401,MATCH($A110,Реестр!$W$2:$W$401,0)))</f>
        <v>Иванова Т. Е.</v>
      </c>
      <c r="I110" s="24" t="str">
        <f aca="false">IF($A110="","",INDEX(Реестр!$H$2:$H$401,MATCH($A110,Реестр!$W$2:$W$401,0)))</f>
        <v>sales@raduga-torg.example</v>
      </c>
      <c r="J110" s="24" t="str">
        <f aca="false">IF($A110="","",INDEX(Реестр!$I$2:$I$401,MATCH($A110,Реестр!$W$2:$W$401,0)))</f>
        <v>+73435276162</v>
      </c>
    </row>
    <row r="111" customFormat="false" ht="15" hidden="false" customHeight="false" outlineLevel="0" collapsed="false">
      <c r="A111" s="21" t="n">
        <f aca="false">IF(ROWS(A$5:A111)&lt;=MAX(Реестр!$W$2:$W$401),ROWS(A$5:A111),"")</f>
        <v>107</v>
      </c>
      <c r="B111" s="24" t="str">
        <f aca="false">IF($A111="","",INDEX(Реестр!$B$2:$B$401,MATCH($A111,Реестр!$W$2:$W$401,0)))</f>
        <v>ООО «Горизонт Групп»</v>
      </c>
      <c r="C111" s="24" t="str">
        <f aca="false">IF($A111="","",INDEX(Реестр!$C$2:$C$401,MATCH($A111,Реестр!$W$2:$W$401,0)))</f>
        <v>5013155226</v>
      </c>
      <c r="D111" s="24" t="str">
        <f aca="false">IF($A111="","",INDEX(Реестр!$D$2:$D$401,MATCH($A111,Реестр!$W$2:$W$401,0)))</f>
        <v>5205041921552</v>
      </c>
      <c r="E111" s="24" t="str">
        <f aca="false">IF($A111="","",INDEX(Реестр!$E$2:$E$401,MATCH($A111,Реестр!$W$2:$W$401,0)))</f>
        <v>501345006</v>
      </c>
      <c r="F111" s="24" t="str">
        <f aca="false">IF($A111="","",INDEX(Реестр!$J$2:$J$401,MATCH($A111,Реестр!$W$2:$W$401,0)))</f>
        <v>Московская область</v>
      </c>
      <c r="G111" s="24" t="str">
        <f aca="false">IF($A111="","",INDEX(Реестр!$F$2:$F$401,MATCH($A111,Реестр!$W$2:$W$401,0)))</f>
        <v>г. Красногорск, ул. Ленина, д. 79, оф. 108</v>
      </c>
      <c r="H111" s="24" t="str">
        <f aca="false">IF($A111="","",INDEX(Реестр!$G$2:$G$401,MATCH($A111,Реестр!$W$2:$W$401,0)))</f>
        <v>Степанова О. В.</v>
      </c>
      <c r="I111" s="24" t="str">
        <f aca="false">IF($A111="","",INDEX(Реестр!$H$2:$H$401,MATCH($A111,Реестр!$W$2:$W$401,0)))</f>
        <v>mail@gorizont-grupp.example</v>
      </c>
      <c r="J111" s="24" t="str">
        <f aca="false">IF($A111="","",INDEX(Реестр!$I$2:$I$401,MATCH($A111,Реестр!$W$2:$W$401,0)))</f>
        <v>+7 (498) 586-32-37</v>
      </c>
    </row>
    <row r="112" customFormat="false" ht="15" hidden="false" customHeight="false" outlineLevel="0" collapsed="false">
      <c r="A112" s="21" t="n">
        <f aca="false">IF(ROWS(A$5:A112)&lt;=MAX(Реестр!$W$2:$W$401),ROWS(A$5:A112),"")</f>
        <v>108</v>
      </c>
      <c r="B112" s="24" t="str">
        <f aca="false">IF($A112="","",INDEX(Реестр!$B$2:$B$401,MATCH($A112,Реестр!$W$2:$W$401,0)))</f>
        <v>ООО «Навигатор Принт»</v>
      </c>
      <c r="C112" s="24" t="str">
        <f aca="false">IF($A112="","",INDEX(Реестр!$C$2:$C$401,MATCH($A112,Реестр!$W$2:$W$401,0)))</f>
        <v>0240221331</v>
      </c>
      <c r="D112" s="24" t="str">
        <f aca="false">IF($A112="","",INDEX(Реестр!$D$2:$D$401,MATCH($A112,Реестр!$W$2:$W$401,0)))</f>
        <v>5150214105366</v>
      </c>
      <c r="E112" s="24" t="str">
        <f aca="false">IF($A112="","",INDEX(Реестр!$E$2:$E$401,MATCH($A112,Реестр!$W$2:$W$401,0)))</f>
        <v>024001002</v>
      </c>
      <c r="F112" s="24" t="str">
        <f aca="false">IF($A112="","",INDEX(Реестр!$J$2:$J$401,MATCH($A112,Реестр!$W$2:$W$401,0)))</f>
        <v>Республика Башкортостан</v>
      </c>
      <c r="G112" s="24" t="str">
        <f aca="false">IF($A112="","",INDEX(Реестр!$F$2:$F$401,MATCH($A112,Реестр!$W$2:$W$401,0)))</f>
        <v>г. Уфа, ул. Советская, д. 58, оф. 247</v>
      </c>
      <c r="H112" s="24" t="str">
        <f aca="false">IF($A112="","",INDEX(Реестр!$G$2:$G$401,MATCH($A112,Реестр!$W$2:$W$401,0)))</f>
        <v>Смирнов И. С.</v>
      </c>
      <c r="I112" s="24" t="str">
        <f aca="false">IF($A112="","",INDEX(Реестр!$H$2:$H$401,MATCH($A112,Реестр!$W$2:$W$401,0)))</f>
        <v>sales@navigator-print.example</v>
      </c>
      <c r="J112" s="24" t="str">
        <f aca="false">IF($A112="","",INDEX(Реестр!$I$2:$I$401,MATCH($A112,Реестр!$W$2:$W$401,0)))</f>
        <v>+7 (347) 522-64-32</v>
      </c>
    </row>
    <row r="113" customFormat="false" ht="15" hidden="false" customHeight="false" outlineLevel="0" collapsed="false">
      <c r="A113" s="21" t="n">
        <f aca="false">IF(ROWS(A$5:A113)&lt;=MAX(Реестр!$W$2:$W$401),ROWS(A$5:A113),"")</f>
        <v>109</v>
      </c>
      <c r="B113" s="24" t="str">
        <f aca="false">IF($A113="","",INDEX(Реестр!$B$2:$B$401,MATCH($A113,Реестр!$W$2:$W$401,0)))</f>
        <v>ООО «Феникс Монтаж»</v>
      </c>
      <c r="C113" s="24" t="str">
        <f aca="false">IF($A113="","",INDEX(Реестр!$C$2:$C$401,MATCH($A113,Реестр!$W$2:$W$401,0)))</f>
        <v>5401149920</v>
      </c>
      <c r="D113" s="24" t="str">
        <f aca="false">IF($A113="","",INDEX(Реестр!$D$2:$D$401,MATCH($A113,Реестр!$W$2:$W$401,0)))</f>
        <v>5225407184910</v>
      </c>
      <c r="E113" s="24" t="str">
        <f aca="false">IF($A113="","",INDEX(Реестр!$E$2:$E$401,MATCH($A113,Реестр!$W$2:$W$401,0)))</f>
        <v>540145005</v>
      </c>
      <c r="F113" s="24" t="str">
        <f aca="false">IF($A113="","",INDEX(Реестр!$J$2:$J$401,MATCH($A113,Реестр!$W$2:$W$401,0)))</f>
        <v>Новосибирская область</v>
      </c>
      <c r="G113" s="24" t="str">
        <f aca="false">IF($A113="","",INDEX(Реестр!$F$2:$F$401,MATCH($A113,Реестр!$W$2:$W$401,0)))</f>
        <v>г. Новосибирск, ул. Парковая, д. 21, оф. 48</v>
      </c>
      <c r="H113" s="24" t="str">
        <f aca="false">IF($A113="","",INDEX(Реестр!$G$2:$G$401,MATCH($A113,Реестр!$W$2:$W$401,0)))</f>
        <v>Попова Д. Е.</v>
      </c>
      <c r="I113" s="24" t="str">
        <f aca="false">IF($A113="","",INDEX(Реестр!$H$2:$H$401,MATCH($A113,Реестр!$W$2:$W$401,0)))</f>
        <v>mail@feniks-montazh.example</v>
      </c>
      <c r="J113" s="24" t="str">
        <f aca="false">IF($A113="","",INDEX(Реестр!$I$2:$I$401,MATCH($A113,Реестр!$W$2:$W$401,0)))</f>
        <v>+73835202377</v>
      </c>
    </row>
    <row r="114" customFormat="false" ht="15" hidden="false" customHeight="false" outlineLevel="0" collapsed="false">
      <c r="A114" s="21" t="n">
        <f aca="false">IF(ROWS(A$5:A114)&lt;=MAX(Реестр!$W$2:$W$401),ROWS(A$5:A114),"")</f>
        <v>110</v>
      </c>
      <c r="B114" s="24" t="str">
        <f aca="false">IF($A114="","",INDEX(Реестр!$B$2:$B$401,MATCH($A114,Реестр!$W$2:$W$401,0)))</f>
        <v>ООО «Линия Строй»</v>
      </c>
      <c r="C114" s="24" t="str">
        <f aca="false">IF($A114="","",INDEX(Реестр!$C$2:$C$401,MATCH($A114,Реестр!$W$2:$W$401,0)))</f>
        <v>7815640171</v>
      </c>
      <c r="D114" s="24" t="str">
        <f aca="false">IF($A114="","",INDEX(Реестр!$D$2:$D$401,MATCH($A114,Реестр!$W$2:$W$401,0)))</f>
        <v>5117833491420</v>
      </c>
      <c r="E114" s="24" t="str">
        <f aca="false">IF($A114="","",INDEX(Реестр!$E$2:$E$401,MATCH($A114,Реестр!$W$2:$W$401,0)))</f>
        <v>781501002</v>
      </c>
      <c r="F114" s="24" t="str">
        <f aca="false">IF($A114="","",INDEX(Реестр!$J$2:$J$401,MATCH($A114,Реестр!$W$2:$W$401,0)))</f>
        <v>г. Санкт-Петербург</v>
      </c>
      <c r="G114" s="24" t="str">
        <f aca="false">IF($A114="","",INDEX(Реестр!$F$2:$F$401,MATCH($A114,Реестр!$W$2:$W$401,0)))</f>
        <v>г. Санкт-Петербург, ул. Советская, д. 23, оф. 258</v>
      </c>
      <c r="H114" s="24" t="str">
        <f aca="false">IF($A114="","",INDEX(Реестр!$G$2:$G$401,MATCH($A114,Реестр!$W$2:$W$401,0)))</f>
        <v>Соколов Е. В.</v>
      </c>
      <c r="I114" s="24" t="str">
        <f aca="false">IF($A114="","",INDEX(Реестр!$H$2:$H$401,MATCH($A114,Реестр!$W$2:$W$401,0)))</f>
        <v>office@liniya-stroy.example</v>
      </c>
      <c r="J114" s="24" t="str">
        <f aca="false">IF($A114="","",INDEX(Реестр!$I$2:$I$401,MATCH($A114,Реестр!$W$2:$W$401,0)))</f>
        <v>+78125615958</v>
      </c>
    </row>
    <row r="115" customFormat="false" ht="15" hidden="false" customHeight="false" outlineLevel="0" collapsed="false">
      <c r="A115" s="21" t="n">
        <f aca="false">IF(ROWS(A$5:A115)&lt;=MAX(Реестр!$W$2:$W$401),ROWS(A$5:A115),"")</f>
        <v>111</v>
      </c>
      <c r="B115" s="24" t="str">
        <f aca="false">IF($A115="","",INDEX(Реестр!$B$2:$B$401,MATCH($A115,Реестр!$W$2:$W$401,0)))</f>
        <v>АО «Эталон Консалт»</v>
      </c>
      <c r="C115" s="24" t="str">
        <f aca="false">IF($A115="","",INDEX(Реестр!$C$2:$C$401,MATCH($A115,Реестр!$W$2:$W$401,0)))</f>
        <v>7708157643</v>
      </c>
      <c r="D115" s="24" t="str">
        <f aca="false">IF($A115="","",INDEX(Реестр!$D$2:$D$401,MATCH($A115,Реестр!$W$2:$W$401,0)))</f>
        <v>5037742564206</v>
      </c>
      <c r="E115" s="24" t="str">
        <f aca="false">IF($A115="","",INDEX(Реестр!$E$2:$E$401,MATCH($A115,Реестр!$W$2:$W$401,0)))</f>
        <v>770801003</v>
      </c>
      <c r="F115" s="24" t="str">
        <f aca="false">IF($A115="","",INDEX(Реестр!$J$2:$J$401,MATCH($A115,Реестр!$W$2:$W$401,0)))</f>
        <v>г. Москва</v>
      </c>
      <c r="G115" s="24" t="str">
        <f aca="false">IF($A115="","",INDEX(Реестр!$F$2:$F$401,MATCH($A115,Реестр!$W$2:$W$401,0)))</f>
        <v>г. Москва, ул. Мира, д. 114, оф. 113</v>
      </c>
      <c r="H115" s="24" t="str">
        <f aca="false">IF($A115="","",INDEX(Реестр!$G$2:$G$401,MATCH($A115,Реестр!$W$2:$W$401,0)))</f>
        <v>Кузнецов С. Т.</v>
      </c>
      <c r="I115" s="24" t="str">
        <f aca="false">IF($A115="","",INDEX(Реестр!$H$2:$H$401,MATCH($A115,Реестр!$W$2:$W$401,0)))</f>
        <v>office@etalon-konsalt.example</v>
      </c>
      <c r="J115" s="24" t="str">
        <f aca="false">IF($A115="","",INDEX(Реестр!$I$2:$I$401,MATCH($A115,Реестр!$W$2:$W$401,0)))</f>
        <v>8 495 5274392</v>
      </c>
    </row>
    <row r="116" customFormat="false" ht="15" hidden="false" customHeight="false" outlineLevel="0" collapsed="false">
      <c r="A116" s="21" t="n">
        <f aca="false">IF(ROWS(A$5:A116)&lt;=MAX(Реестр!$W$2:$W$401),ROWS(A$5:A116),"")</f>
        <v>112</v>
      </c>
      <c r="B116" s="24" t="str">
        <f aca="false">IF($A116="","",INDEX(Реестр!$B$2:$B$401,MATCH($A116,Реестр!$W$2:$W$401,0)))</f>
        <v>ООО «Заря Снаб»</v>
      </c>
      <c r="C116" s="24" t="str">
        <f aca="false">IF($A116="","",INDEX(Реестр!$C$2:$C$401,MATCH($A116,Реестр!$W$2:$W$401,0)))</f>
        <v>1607706342</v>
      </c>
      <c r="D116" s="24" t="str">
        <f aca="false">IF($A116="","",INDEX(Реестр!$D$2:$D$401,MATCH($A116,Реестр!$W$2:$W$401,0)))</f>
        <v>1151619583983</v>
      </c>
      <c r="E116" s="24" t="str">
        <f aca="false">IF($A116="","",INDEX(Реестр!$E$2:$E$401,MATCH($A116,Реестр!$W$2:$W$401,0)))</f>
        <v>160701004</v>
      </c>
      <c r="F116" s="24" t="str">
        <f aca="false">IF($A116="","",INDEX(Реестр!$J$2:$J$401,MATCH($A116,Реестр!$W$2:$W$401,0)))</f>
        <v>Республика Татарстан</v>
      </c>
      <c r="G116" s="24" t="str">
        <f aca="false">IF($A116="","",INDEX(Реестр!$F$2:$F$401,MATCH($A116,Реестр!$W$2:$W$401,0)))</f>
        <v>г. Казань, ул. Ленина, д. 103, оф. 283</v>
      </c>
      <c r="H116" s="24" t="str">
        <f aca="false">IF($A116="","",INDEX(Реестр!$G$2:$G$401,MATCH($A116,Реестр!$W$2:$W$401,0)))</f>
        <v>Морозов Т. Н.</v>
      </c>
      <c r="I116" s="24" t="str">
        <f aca="false">IF($A116="","",INDEX(Реестр!$H$2:$H$401,MATCH($A116,Реестр!$W$2:$W$401,0)))</f>
        <v>zakaz@zarya-snab.example</v>
      </c>
      <c r="J116" s="24" t="str">
        <f aca="false">IF($A116="","",INDEX(Реестр!$I$2:$I$401,MATCH($A116,Реестр!$W$2:$W$401,0)))</f>
        <v>+78435622349</v>
      </c>
    </row>
    <row r="117" customFormat="false" ht="15" hidden="false" customHeight="false" outlineLevel="0" collapsed="false">
      <c r="A117" s="21" t="n">
        <f aca="false">IF(ROWS(A$5:A117)&lt;=MAX(Реестр!$W$2:$W$401),ROWS(A$5:A117),"")</f>
        <v>113</v>
      </c>
      <c r="B117" s="24" t="str">
        <f aca="false">IF($A117="","",INDEX(Реестр!$B$2:$B$401,MATCH($A117,Реестр!$W$2:$W$401,0)))</f>
        <v>ООО «Линия Стандарт»</v>
      </c>
      <c r="C117" s="24" t="str">
        <f aca="false">IF($A117="","",INDEX(Реестр!$C$2:$C$401,MATCH($A117,Реестр!$W$2:$W$401,0)))</f>
        <v>2301434703</v>
      </c>
      <c r="D117" s="24" t="str">
        <f aca="false">IF($A117="","",INDEX(Реестр!$D$2:$D$401,MATCH($A117,Реестр!$W$2:$W$401,0)))</f>
        <v>1022325201249</v>
      </c>
      <c r="E117" s="24" t="str">
        <f aca="false">IF($A117="","",INDEX(Реестр!$E$2:$E$401,MATCH($A117,Реестр!$W$2:$W$401,0)))</f>
        <v>230101002</v>
      </c>
      <c r="F117" s="24" t="str">
        <f aca="false">IF($A117="","",INDEX(Реестр!$J$2:$J$401,MATCH($A117,Реестр!$W$2:$W$401,0)))</f>
        <v>Краснодарский край</v>
      </c>
      <c r="G117" s="24" t="str">
        <f aca="false">IF($A117="","",INDEX(Реестр!$F$2:$F$401,MATCH($A117,Реестр!$W$2:$W$401,0)))</f>
        <v>г. Краснодар, ул. Парковая, д. 73, оф. 56</v>
      </c>
      <c r="H117" s="24" t="str">
        <f aca="false">IF($A117="","",INDEX(Реестр!$G$2:$G$401,MATCH($A117,Реестр!$W$2:$W$401,0)))</f>
        <v>Новикова И. Н.</v>
      </c>
      <c r="I117" s="24" t="str">
        <f aca="false">IF($A117="","",INDEX(Реестр!$H$2:$H$401,MATCH($A117,Реестр!$W$2:$W$401,0)))</f>
        <v>mail@liniya-standart.example</v>
      </c>
      <c r="J117" s="24" t="str">
        <f aca="false">IF($A117="","",INDEX(Реестр!$I$2:$I$401,MATCH($A117,Реестр!$W$2:$W$401,0)))</f>
        <v>8 861 5162980</v>
      </c>
    </row>
    <row r="118" customFormat="false" ht="15" hidden="false" customHeight="false" outlineLevel="0" collapsed="false">
      <c r="A118" s="21" t="n">
        <f aca="false">IF(ROWS(A$5:A118)&lt;=MAX(Реестр!$W$2:$W$401),ROWS(A$5:A118),"")</f>
        <v>114</v>
      </c>
      <c r="B118" s="24" t="str">
        <f aca="false">IF($A118="","",INDEX(Реестр!$B$2:$B$401,MATCH($A118,Реестр!$W$2:$W$401,0)))</f>
        <v>ООО «Импульс Агро»</v>
      </c>
      <c r="C118" s="24" t="str">
        <f aca="false">IF($A118="","",INDEX(Реестр!$C$2:$C$401,MATCH($A118,Реестр!$W$2:$W$401,0)))</f>
        <v>6125844410</v>
      </c>
      <c r="D118" s="24" t="str">
        <f aca="false">IF($A118="","",INDEX(Реестр!$D$2:$D$401,MATCH($A118,Реестр!$W$2:$W$401,0)))</f>
        <v>1086146947017</v>
      </c>
      <c r="E118" s="24" t="str">
        <f aca="false">IF($A118="","",INDEX(Реестр!$E$2:$E$401,MATCH($A118,Реестр!$W$2:$W$401,0)))</f>
        <v>612543009</v>
      </c>
      <c r="F118" s="24" t="str">
        <f aca="false">IF($A118="","",INDEX(Реестр!$J$2:$J$401,MATCH($A118,Реестр!$W$2:$W$401,0)))</f>
        <v>Ростовская область</v>
      </c>
      <c r="G118" s="24" t="str">
        <f aca="false">IF($A118="","",INDEX(Реестр!$F$2:$F$401,MATCH($A118,Реестр!$W$2:$W$401,0)))</f>
        <v>г. Ростов-на-Дону, ул. Заводская, д. 119, оф. 202</v>
      </c>
      <c r="H118" s="24" t="str">
        <f aca="false">IF($A118="","",INDEX(Реестр!$G$2:$G$401,MATCH($A118,Реестр!$W$2:$W$401,0)))</f>
        <v>Егоров И. Е.</v>
      </c>
      <c r="I118" s="24" t="str">
        <f aca="false">IF($A118="","",INDEX(Реестр!$H$2:$H$401,MATCH($A118,Реестр!$W$2:$W$401,0)))</f>
        <v>mail@impuls-agro.example</v>
      </c>
      <c r="J118" s="24" t="str">
        <f aca="false">IF($A118="","",INDEX(Реестр!$I$2:$I$401,MATCH($A118,Реестр!$W$2:$W$401,0)))</f>
        <v>+78635418921</v>
      </c>
    </row>
    <row r="119" customFormat="false" ht="15" hidden="false" customHeight="false" outlineLevel="0" collapsed="false">
      <c r="A119" s="21" t="n">
        <f aca="false">IF(ROWS(A$5:A119)&lt;=MAX(Реестр!$W$2:$W$401),ROWS(A$5:A119),"")</f>
        <v>115</v>
      </c>
      <c r="B119" s="24" t="str">
        <f aca="false">IF($A119="","",INDEX(Реестр!$B$2:$B$401,MATCH($A119,Реестр!$W$2:$W$401,0)))</f>
        <v>ООО «Эталон Стандарт»</v>
      </c>
      <c r="C119" s="24" t="str">
        <f aca="false">IF($A119="","",INDEX(Реестр!$C$2:$C$401,MATCH($A119,Реестр!$W$2:$W$401,0)))</f>
        <v>6332573711</v>
      </c>
      <c r="D119" s="24" t="str">
        <f aca="false">IF($A119="","",INDEX(Реестр!$D$2:$D$401,MATCH($A119,Реестр!$W$2:$W$401,0)))</f>
        <v>5056343493861</v>
      </c>
      <c r="E119" s="24" t="str">
        <f aca="false">IF($A119="","",INDEX(Реестр!$E$2:$E$401,MATCH($A119,Реестр!$W$2:$W$401,0)))</f>
        <v>633201006</v>
      </c>
      <c r="F119" s="24" t="str">
        <f aca="false">IF($A119="","",INDEX(Реестр!$J$2:$J$401,MATCH($A119,Реестр!$W$2:$W$401,0)))</f>
        <v>Самарская область</v>
      </c>
      <c r="G119" s="24" t="str">
        <f aca="false">IF($A119="","",INDEX(Реестр!$F$2:$F$401,MATCH($A119,Реестр!$W$2:$W$401,0)))</f>
        <v>г. Самара, ул. Заводская, д. 17, оф. 260</v>
      </c>
      <c r="H119" s="24" t="str">
        <f aca="false">IF($A119="","",INDEX(Реестр!$G$2:$G$401,MATCH($A119,Реестр!$W$2:$W$401,0)))</f>
        <v>Михайлов Е. А.</v>
      </c>
      <c r="I119" s="24" t="str">
        <f aca="false">IF($A119="","",INDEX(Реестр!$H$2:$H$401,MATCH($A119,Реестр!$W$2:$W$401,0)))</f>
        <v>mail@etalon-standart.example</v>
      </c>
      <c r="J119" s="24" t="str">
        <f aca="false">IF($A119="","",INDEX(Реестр!$I$2:$I$401,MATCH($A119,Реестр!$W$2:$W$401,0)))</f>
        <v>8 846 5935153</v>
      </c>
    </row>
    <row r="120" customFormat="false" ht="15" hidden="false" customHeight="false" outlineLevel="0" collapsed="false">
      <c r="A120" s="21" t="n">
        <f aca="false">IF(ROWS(A$5:A120)&lt;=MAX(Реестр!$W$2:$W$401),ROWS(A$5:A120),"")</f>
        <v>116</v>
      </c>
      <c r="B120" s="24" t="str">
        <f aca="false">IF($A120="","",INDEX(Реестр!$B$2:$B$401,MATCH($A120,Реестр!$W$2:$W$401,0)))</f>
        <v>АО «Орбита Транс»</v>
      </c>
      <c r="C120" s="24" t="str">
        <f aca="false">IF($A120="","",INDEX(Реестр!$C$2:$C$401,MATCH($A120,Реестр!$W$2:$W$401,0)))</f>
        <v>6633733486</v>
      </c>
      <c r="D120" s="24" t="str">
        <f aca="false">IF($A120="","",INDEX(Реестр!$D$2:$D$401,MATCH($A120,Реестр!$W$2:$W$401,0)))</f>
        <v>1026611977920</v>
      </c>
      <c r="E120" s="24" t="str">
        <f aca="false">IF($A120="","",INDEX(Реестр!$E$2:$E$401,MATCH($A120,Реестр!$W$2:$W$401,0)))</f>
        <v>663301004</v>
      </c>
      <c r="F120" s="24" t="str">
        <f aca="false">IF($A120="","",INDEX(Реестр!$J$2:$J$401,MATCH($A120,Реестр!$W$2:$W$401,0)))</f>
        <v>Свердловская область</v>
      </c>
      <c r="G120" s="24" t="str">
        <f aca="false">IF($A120="","",INDEX(Реестр!$F$2:$F$401,MATCH($A120,Реестр!$W$2:$W$401,0)))</f>
        <v>г. Екатеринбург, ул. Центральная, д. 99, оф. 39</v>
      </c>
      <c r="H120" s="24" t="str">
        <f aca="false">IF($A120="","",INDEX(Реестр!$G$2:$G$401,MATCH($A120,Реестр!$W$2:$W$401,0)))</f>
        <v>Алексеев М. М.</v>
      </c>
      <c r="I120" s="24" t="str">
        <f aca="false">IF($A120="","",INDEX(Реестр!$H$2:$H$401,MATCH($A120,Реестр!$W$2:$W$401,0)))</f>
        <v>sales@orbita-trans.example</v>
      </c>
      <c r="J120" s="24" t="str">
        <f aca="false">IF($A120="","",INDEX(Реестр!$I$2:$I$401,MATCH($A120,Реестр!$W$2:$W$401,0)))</f>
        <v>8 343 5837815</v>
      </c>
    </row>
    <row r="121" customFormat="false" ht="15" hidden="false" customHeight="false" outlineLevel="0" collapsed="false">
      <c r="A121" s="21" t="n">
        <f aca="false">IF(ROWS(A$5:A121)&lt;=MAX(Реестр!$W$2:$W$401),ROWS(A$5:A121),"")</f>
        <v>117</v>
      </c>
      <c r="B121" s="24" t="str">
        <f aca="false">IF($A121="","",INDEX(Реестр!$B$2:$B$401,MATCH($A121,Реестр!$W$2:$W$401,0)))</f>
        <v>ООО «Радуга Сервис»</v>
      </c>
      <c r="C121" s="24" t="str">
        <f aca="false">IF($A121="","",INDEX(Реестр!$C$2:$C$401,MATCH($A121,Реестр!$W$2:$W$401,0)))</f>
        <v>6105854040</v>
      </c>
      <c r="D121" s="24" t="str">
        <f aca="false">IF($A121="","",INDEX(Реестр!$D$2:$D$401,MATCH($A121,Реестр!$W$2:$W$401,0)))</f>
        <v>1146111640510</v>
      </c>
      <c r="E121" s="24" t="str">
        <f aca="false">IF($A121="","",INDEX(Реестр!$E$2:$E$401,MATCH($A121,Реестр!$W$2:$W$401,0)))</f>
        <v>610501004</v>
      </c>
      <c r="F121" s="24" t="str">
        <f aca="false">IF($A121="","",INDEX(Реестр!$J$2:$J$401,MATCH($A121,Реестр!$W$2:$W$401,0)))</f>
        <v>Ростовская область</v>
      </c>
      <c r="G121" s="24" t="str">
        <f aca="false">IF($A121="","",INDEX(Реестр!$F$2:$F$401,MATCH($A121,Реестр!$W$2:$W$401,0)))</f>
        <v>г. Ростов-на-Дону, ул. Ленина, д. 90, оф. 159</v>
      </c>
      <c r="H121" s="24" t="str">
        <f aca="false">IF($A121="","",INDEX(Реестр!$G$2:$G$401,MATCH($A121,Реестр!$W$2:$W$401,0)))</f>
        <v>Иванов Д. А.</v>
      </c>
      <c r="I121" s="24" t="str">
        <f aca="false">IF($A121="","",INDEX(Реестр!$H$2:$H$401,MATCH($A121,Реестр!$W$2:$W$401,0)))</f>
        <v>zakaz@raduga-servis.example</v>
      </c>
      <c r="J121" s="24" t="str">
        <f aca="false">IF($A121="","",INDEX(Реестр!$I$2:$I$401,MATCH($A121,Реестр!$W$2:$W$401,0)))</f>
        <v>8 863 5553049</v>
      </c>
    </row>
    <row r="122" customFormat="false" ht="15" hidden="false" customHeight="false" outlineLevel="0" collapsed="false">
      <c r="A122" s="21" t="n">
        <f aca="false">IF(ROWS(A$5:A122)&lt;=MAX(Реестр!$W$2:$W$401),ROWS(A$5:A122),"")</f>
        <v>118</v>
      </c>
      <c r="B122" s="24" t="str">
        <f aca="false">IF($A122="","",INDEX(Реестр!$B$2:$B$401,MATCH($A122,Реестр!$W$2:$W$401,0)))</f>
        <v>ООО «Горизонт Сервис»</v>
      </c>
      <c r="C122" s="24" t="str">
        <f aca="false">IF($A122="","",INDEX(Реестр!$C$2:$C$401,MATCH($A122,Реестр!$W$2:$W$401,0)))</f>
        <v>1648262199</v>
      </c>
      <c r="D122" s="24" t="str">
        <f aca="false">IF($A122="","",INDEX(Реестр!$D$2:$D$401,MATCH($A122,Реестр!$W$2:$W$401,0)))</f>
        <v>5111638241919</v>
      </c>
      <c r="E122" s="24" t="str">
        <f aca="false">IF($A122="","",INDEX(Реестр!$E$2:$E$401,MATCH($A122,Реестр!$W$2:$W$401,0)))</f>
        <v>164843005</v>
      </c>
      <c r="F122" s="24" t="str">
        <f aca="false">IF($A122="","",INDEX(Реестр!$J$2:$J$401,MATCH($A122,Реестр!$W$2:$W$401,0)))</f>
        <v>Республика Татарстан</v>
      </c>
      <c r="G122" s="24" t="str">
        <f aca="false">IF($A122="","",INDEX(Реестр!$F$2:$F$401,MATCH($A122,Реестр!$W$2:$W$401,0)))</f>
        <v>г. Казань, ул. Ленина, д. 67, оф. 273</v>
      </c>
      <c r="H122" s="24" t="str">
        <f aca="false">IF($A122="","",INDEX(Реестр!$G$2:$G$401,MATCH($A122,Реестр!$W$2:$W$401,0)))</f>
        <v>Морозова И. О.</v>
      </c>
      <c r="I122" s="24" t="str">
        <f aca="false">IF($A122="","",INDEX(Реестр!$H$2:$H$401,MATCH($A122,Реестр!$W$2:$W$401,0)))</f>
        <v>zakaz@gorizont-servis.example</v>
      </c>
      <c r="J122" s="24" t="str">
        <f aca="false">IF($A122="","",INDEX(Реестр!$I$2:$I$401,MATCH($A122,Реестр!$W$2:$W$401,0)))</f>
        <v>8 843 5961064</v>
      </c>
    </row>
    <row r="123" customFormat="false" ht="15" hidden="false" customHeight="false" outlineLevel="0" collapsed="false">
      <c r="A123" s="21" t="n">
        <f aca="false">IF(ROWS(A$5:A123)&lt;=MAX(Реестр!$W$2:$W$401),ROWS(A$5:A123),"")</f>
        <v>119</v>
      </c>
      <c r="B123" s="24" t="str">
        <f aca="false">IF($A123="","",INDEX(Реестр!$B$2:$B$401,MATCH($A123,Реестр!$W$2:$W$401,0)))</f>
        <v>АО «Радуга Консалт»</v>
      </c>
      <c r="C123" s="24" t="str">
        <f aca="false">IF($A123="","",INDEX(Реестр!$C$2:$C$401,MATCH($A123,Реестр!$W$2:$W$401,0)))</f>
        <v>5044965319</v>
      </c>
      <c r="D123" s="24" t="str">
        <f aca="false">IF($A123="","",INDEX(Реестр!$D$2:$D$401,MATCH($A123,Реестр!$W$2:$W$401,0)))</f>
        <v>5145010187757</v>
      </c>
      <c r="E123" s="24" t="str">
        <f aca="false">IF($A123="","",INDEX(Реестр!$E$2:$E$401,MATCH($A123,Реестр!$W$2:$W$401,0)))</f>
        <v>504401001</v>
      </c>
      <c r="F123" s="24" t="str">
        <f aca="false">IF($A123="","",INDEX(Реестр!$J$2:$J$401,MATCH($A123,Реестр!$W$2:$W$401,0)))</f>
        <v>Московская область</v>
      </c>
      <c r="G123" s="24" t="str">
        <f aca="false">IF($A123="","",INDEX(Реестр!$F$2:$F$401,MATCH($A123,Реестр!$W$2:$W$401,0)))</f>
        <v>г. Красногорск, ул. Советская, д. 115, оф. 66</v>
      </c>
      <c r="H123" s="24" t="str">
        <f aca="false">IF($A123="","",INDEX(Реестр!$G$2:$G$401,MATCH($A123,Реестр!$W$2:$W$401,0)))</f>
        <v>Кузнецов Е. Н.</v>
      </c>
      <c r="I123" s="24" t="str">
        <f aca="false">IF($A123="","",INDEX(Реестр!$H$2:$H$401,MATCH($A123,Реестр!$W$2:$W$401,0)))</f>
        <v>sales@raduga-konsalt.example</v>
      </c>
      <c r="J123" s="24" t="str">
        <f aca="false">IF($A123="","",INDEX(Реестр!$I$2:$I$401,MATCH($A123,Реестр!$W$2:$W$401,0)))</f>
        <v>+74985832089</v>
      </c>
    </row>
    <row r="124" customFormat="false" ht="15" hidden="false" customHeight="false" outlineLevel="0" collapsed="false">
      <c r="A124" s="21" t="n">
        <f aca="false">IF(ROWS(A$5:A124)&lt;=MAX(Реестр!$W$2:$W$401),ROWS(A$5:A124),"")</f>
        <v>120</v>
      </c>
      <c r="B124" s="24" t="str">
        <f aca="false">IF($A124="","",INDEX(Реестр!$B$2:$B$401,MATCH($A124,Реестр!$W$2:$W$401,0)))</f>
        <v>ООО «Линия Снаб»</v>
      </c>
      <c r="C124" s="24" t="str">
        <f aca="false">IF($A124="","",INDEX(Реестр!$C$2:$C$401,MATCH($A124,Реестр!$W$2:$W$401,0)))</f>
        <v>7436321069</v>
      </c>
      <c r="D124" s="24" t="str">
        <f aca="false">IF($A124="","",INDEX(Реестр!$D$2:$D$401,MATCH($A124,Реестр!$W$2:$W$401,0)))</f>
        <v>1127437329766</v>
      </c>
      <c r="E124" s="24" t="str">
        <f aca="false">IF($A124="","",INDEX(Реестр!$E$2:$E$401,MATCH($A124,Реестр!$W$2:$W$401,0)))</f>
        <v>743645004</v>
      </c>
      <c r="F124" s="24" t="str">
        <f aca="false">IF($A124="","",INDEX(Реестр!$J$2:$J$401,MATCH($A124,Реестр!$W$2:$W$401,0)))</f>
        <v>Челябинская область</v>
      </c>
      <c r="G124" s="24" t="str">
        <f aca="false">IF($A124="","",INDEX(Реестр!$F$2:$F$401,MATCH($A124,Реестр!$W$2:$W$401,0)))</f>
        <v>г. Челябинск, ул. Кирова, д. 120, оф. 161</v>
      </c>
      <c r="H124" s="24" t="str">
        <f aca="false">IF($A124="","",INDEX(Реестр!$G$2:$G$401,MATCH($A124,Реестр!$W$2:$W$401,0)))</f>
        <v>Смирнова В. Е.</v>
      </c>
      <c r="I124" s="24" t="str">
        <f aca="false">IF($A124="","",INDEX(Реестр!$H$2:$H$401,MATCH($A124,Реестр!$W$2:$W$401,0)))</f>
        <v>mail@liniya-snab.example</v>
      </c>
      <c r="J124" s="24" t="str">
        <f aca="false">IF($A124="","",INDEX(Реестр!$I$2:$I$401,MATCH($A124,Реестр!$W$2:$W$401,0)))</f>
        <v>8 351 5432310</v>
      </c>
    </row>
    <row r="125" customFormat="false" ht="15" hidden="false" customHeight="false" outlineLevel="0" collapsed="false">
      <c r="A125" s="21" t="n">
        <f aca="false">IF(ROWS(A$5:A125)&lt;=MAX(Реестр!$W$2:$W$401),ROWS(A$5:A125),"")</f>
        <v>121</v>
      </c>
      <c r="B125" s="24" t="str">
        <f aca="false">IF($A125="","",INDEX(Реестр!$B$2:$B$401,MATCH($A125,Реестр!$W$2:$W$401,0)))</f>
        <v>ООО «Импульс Стандарт»</v>
      </c>
      <c r="C125" s="24" t="str">
        <f aca="false">IF($A125="","",INDEX(Реестр!$C$2:$C$401,MATCH($A125,Реестр!$W$2:$W$401,0)))</f>
        <v>7715092034</v>
      </c>
      <c r="D125" s="24" t="str">
        <f aca="false">IF($A125="","",INDEX(Реестр!$D$2:$D$401,MATCH($A125,Реестр!$W$2:$W$401,0)))</f>
        <v>5247731501122</v>
      </c>
      <c r="E125" s="24" t="str">
        <f aca="false">IF($A125="","",INDEX(Реестр!$E$2:$E$401,MATCH($A125,Реестр!$W$2:$W$401,0)))</f>
        <v>771545005</v>
      </c>
      <c r="F125" s="24" t="str">
        <f aca="false">IF($A125="","",INDEX(Реестр!$J$2:$J$401,MATCH($A125,Реестр!$W$2:$W$401,0)))</f>
        <v>г. Москва</v>
      </c>
      <c r="G125" s="24" t="str">
        <f aca="false">IF($A125="","",INDEX(Реестр!$F$2:$F$401,MATCH($A125,Реестр!$W$2:$W$401,0)))</f>
        <v>г. Москва, ул. Советская, д. 36, оф. 34</v>
      </c>
      <c r="H125" s="24" t="str">
        <f aca="false">IF($A125="","",INDEX(Реестр!$G$2:$G$401,MATCH($A125,Реестр!$W$2:$W$401,0)))</f>
        <v>Васильева И. О.</v>
      </c>
      <c r="I125" s="24" t="str">
        <f aca="false">IF($A125="","",INDEX(Реестр!$H$2:$H$401,MATCH($A125,Реестр!$W$2:$W$401,0)))</f>
        <v>mail@impuls-standart.example</v>
      </c>
      <c r="J125" s="24" t="str">
        <f aca="false">IF($A125="","",INDEX(Реестр!$I$2:$I$401,MATCH($A125,Реестр!$W$2:$W$401,0)))</f>
        <v>+74955084799</v>
      </c>
    </row>
    <row r="126" customFormat="false" ht="15" hidden="false" customHeight="false" outlineLevel="0" collapsed="false">
      <c r="A126" s="21" t="n">
        <f aca="false">IF(ROWS(A$5:A126)&lt;=MAX(Реестр!$W$2:$W$401),ROWS(A$5:A126),"")</f>
        <v>122</v>
      </c>
      <c r="B126" s="24" t="str">
        <f aca="false">IF($A126="","",INDEX(Реестр!$B$2:$B$401,MATCH($A126,Реестр!$W$2:$W$401,0)))</f>
        <v>АО «Вектор Агро»</v>
      </c>
      <c r="C126" s="24" t="str">
        <f aca="false">IF($A126="","",INDEX(Реестр!$C$2:$C$401,MATCH($A126,Реестр!$W$2:$W$401,0)))</f>
        <v>6613579300</v>
      </c>
      <c r="D126" s="24" t="str">
        <f aca="false">IF($A126="","",INDEX(Реестр!$D$2:$D$401,MATCH($A126,Реестр!$W$2:$W$401,0)))</f>
        <v>5126640178352</v>
      </c>
      <c r="E126" s="24" t="str">
        <f aca="false">IF($A126="","",INDEX(Реестр!$E$2:$E$401,MATCH($A126,Реестр!$W$2:$W$401,0)))</f>
        <v>661343001</v>
      </c>
      <c r="F126" s="24" t="str">
        <f aca="false">IF($A126="","",INDEX(Реестр!$J$2:$J$401,MATCH($A126,Реестр!$W$2:$W$401,0)))</f>
        <v>Свердловская область</v>
      </c>
      <c r="G126" s="24" t="str">
        <f aca="false">IF($A126="","",INDEX(Реестр!$F$2:$F$401,MATCH($A126,Реестр!$W$2:$W$401,0)))</f>
        <v>г. Екатеринбург, ул. Советская, д. 79, оф. 115</v>
      </c>
      <c r="H126" s="24" t="str">
        <f aca="false">IF($A126="","",INDEX(Реестр!$G$2:$G$401,MATCH($A126,Реестр!$W$2:$W$401,0)))</f>
        <v>Васильева Н. И.</v>
      </c>
      <c r="I126" s="24" t="str">
        <f aca="false">IF($A126="","",INDEX(Реестр!$H$2:$H$401,MATCH($A126,Реестр!$W$2:$W$401,0)))</f>
        <v>office@vektor-agro.example</v>
      </c>
      <c r="J126" s="24" t="str">
        <f aca="false">IF($A126="","",INDEX(Реестр!$I$2:$I$401,MATCH($A126,Реестр!$W$2:$W$401,0)))</f>
        <v>8 343 5571979</v>
      </c>
    </row>
    <row r="127" customFormat="false" ht="15" hidden="false" customHeight="false" outlineLevel="0" collapsed="false">
      <c r="A127" s="21" t="n">
        <f aca="false">IF(ROWS(A$5:A127)&lt;=MAX(Реестр!$W$2:$W$401),ROWS(A$5:A127),"")</f>
        <v>123</v>
      </c>
      <c r="B127" s="24" t="str">
        <f aca="false">IF($A127="","",INDEX(Реестр!$B$2:$B$401,MATCH($A127,Реестр!$W$2:$W$401,0)))</f>
        <v>ООО «Навигатор Агро»</v>
      </c>
      <c r="C127" s="24" t="str">
        <f aca="false">IF($A127="","",INDEX(Реестр!$C$2:$C$401,MATCH($A127,Реестр!$W$2:$W$401,0)))</f>
        <v>7733557885</v>
      </c>
      <c r="D127" s="24" t="str">
        <f aca="false">IF($A127="","",INDEX(Реестр!$D$2:$D$401,MATCH($A127,Реестр!$W$2:$W$401,0)))</f>
        <v>5237725405220</v>
      </c>
      <c r="E127" s="24" t="str">
        <f aca="false">IF($A127="","",INDEX(Реестр!$E$2:$E$401,MATCH($A127,Реестр!$W$2:$W$401,0)))</f>
        <v>773301009</v>
      </c>
      <c r="F127" s="24" t="str">
        <f aca="false">IF($A127="","",INDEX(Реестр!$J$2:$J$401,MATCH($A127,Реестр!$W$2:$W$401,0)))</f>
        <v>г. Москва</v>
      </c>
      <c r="G127" s="24" t="str">
        <f aca="false">IF($A127="","",INDEX(Реестр!$F$2:$F$401,MATCH($A127,Реестр!$W$2:$W$401,0)))</f>
        <v>г. Москва, ул. Гагарина, д. 120, оф. 159</v>
      </c>
      <c r="H127" s="24" t="str">
        <f aca="false">IF($A127="","",INDEX(Реестр!$G$2:$G$401,MATCH($A127,Реестр!$W$2:$W$401,0)))</f>
        <v>Соколова В. Е.</v>
      </c>
      <c r="I127" s="24" t="str">
        <f aca="false">IF($A127="","",INDEX(Реестр!$H$2:$H$401,MATCH($A127,Реестр!$W$2:$W$401,0)))</f>
        <v>office@navigator-agro.example</v>
      </c>
      <c r="J127" s="24" t="str">
        <f aca="false">IF($A127="","",INDEX(Реестр!$I$2:$I$401,MATCH($A127,Реестр!$W$2:$W$401,0)))</f>
        <v>+7 (495) 574-78-97</v>
      </c>
    </row>
    <row r="128" customFormat="false" ht="15" hidden="false" customHeight="false" outlineLevel="0" collapsed="false">
      <c r="A128" s="21" t="n">
        <f aca="false">IF(ROWS(A$5:A128)&lt;=MAX(Реестр!$W$2:$W$401),ROWS(A$5:A128),"")</f>
        <v>124</v>
      </c>
      <c r="B128" s="24" t="str">
        <f aca="false">IF($A128="","",INDEX(Реестр!$B$2:$B$401,MATCH($A128,Реестр!$W$2:$W$401,0)))</f>
        <v>ООО «Импульс Мед»</v>
      </c>
      <c r="C128" s="24" t="str">
        <f aca="false">IF($A128="","",INDEX(Реестр!$C$2:$C$401,MATCH($A128,Реестр!$W$2:$W$401,0)))</f>
        <v>0210801367</v>
      </c>
      <c r="D128" s="24" t="str">
        <f aca="false">IF($A128="","",INDEX(Реестр!$D$2:$D$401,MATCH($A128,Реестр!$W$2:$W$401,0)))</f>
        <v>1030203897525</v>
      </c>
      <c r="E128" s="24" t="str">
        <f aca="false">IF($A128="","",INDEX(Реестр!$E$2:$E$401,MATCH($A128,Реестр!$W$2:$W$401,0)))</f>
        <v>021001008</v>
      </c>
      <c r="F128" s="24" t="str">
        <f aca="false">IF($A128="","",INDEX(Реестр!$J$2:$J$401,MATCH($A128,Реестр!$W$2:$W$401,0)))</f>
        <v>Республика Башкортостан</v>
      </c>
      <c r="G128" s="24" t="str">
        <f aca="false">IF($A128="","",INDEX(Реестр!$F$2:$F$401,MATCH($A128,Реестр!$W$2:$W$401,0)))</f>
        <v>г. Уфа, ул. Набережная, д. 120, оф. 42</v>
      </c>
      <c r="H128" s="24" t="str">
        <f aca="false">IF($A128="","",INDEX(Реестр!$G$2:$G$401,MATCH($A128,Реестр!$W$2:$W$401,0)))</f>
        <v>Лебедева А. Е.</v>
      </c>
      <c r="I128" s="24" t="str">
        <f aca="false">IF($A128="","",INDEX(Реестр!$H$2:$H$401,MATCH($A128,Реестр!$W$2:$W$401,0)))</f>
        <v>mail@impuls-med.example</v>
      </c>
      <c r="J128" s="24" t="str">
        <f aca="false">IF($A128="","",INDEX(Реестр!$I$2:$I$401,MATCH($A128,Реестр!$W$2:$W$401,0)))</f>
        <v>+73475057121</v>
      </c>
    </row>
    <row r="129" customFormat="false" ht="15" hidden="false" customHeight="false" outlineLevel="0" collapsed="false">
      <c r="A129" s="21" t="n">
        <f aca="false">IF(ROWS(A$5:A129)&lt;=MAX(Реестр!$W$2:$W$401),ROWS(A$5:A129),"")</f>
        <v>125</v>
      </c>
      <c r="B129" s="24" t="str">
        <f aca="false">IF($A129="","",INDEX(Реестр!$B$2:$B$401,MATCH($A129,Реестр!$W$2:$W$401,0)))</f>
        <v>ООО «Гранит Стандарт»</v>
      </c>
      <c r="C129" s="24" t="str">
        <f aca="false">IF($A129="","",INDEX(Реестр!$C$2:$C$401,MATCH($A129,Реестр!$W$2:$W$401,0)))</f>
        <v>7746254687</v>
      </c>
      <c r="D129" s="24" t="str">
        <f aca="false">IF($A129="","",INDEX(Реестр!$D$2:$D$401,MATCH($A129,Реестр!$W$2:$W$401,0)))</f>
        <v>5237703408069</v>
      </c>
      <c r="E129" s="24" t="str">
        <f aca="false">IF($A129="","",INDEX(Реестр!$E$2:$E$401,MATCH($A129,Реестр!$W$2:$W$401,0)))</f>
        <v>774601007</v>
      </c>
      <c r="F129" s="24" t="str">
        <f aca="false">IF($A129="","",INDEX(Реестр!$J$2:$J$401,MATCH($A129,Реестр!$W$2:$W$401,0)))</f>
        <v>г. Москва</v>
      </c>
      <c r="G129" s="24" t="str">
        <f aca="false">IF($A129="","",INDEX(Реестр!$F$2:$F$401,MATCH($A129,Реестр!$W$2:$W$401,0)))</f>
        <v>г. Москва, ул. Мира, д. 68, оф. 236</v>
      </c>
      <c r="H129" s="24" t="str">
        <f aca="false">IF($A129="","",INDEX(Реестр!$G$2:$G$401,MATCH($A129,Реестр!$W$2:$W$401,0)))</f>
        <v>Козлова О. В.</v>
      </c>
      <c r="I129" s="24" t="str">
        <f aca="false">IF($A129="","",INDEX(Реестр!$H$2:$H$401,MATCH($A129,Реестр!$W$2:$W$401,0)))</f>
        <v>office@granit-standart.example</v>
      </c>
      <c r="J129" s="24" t="str">
        <f aca="false">IF($A129="","",INDEX(Реестр!$I$2:$I$401,MATCH($A129,Реестр!$W$2:$W$401,0)))</f>
        <v>+74955438536</v>
      </c>
    </row>
    <row r="130" customFormat="false" ht="15" hidden="false" customHeight="false" outlineLevel="0" collapsed="false">
      <c r="A130" s="21" t="n">
        <f aca="false">IF(ROWS(A$5:A130)&lt;=MAX(Реестр!$W$2:$W$401),ROWS(A$5:A130),"")</f>
        <v>126</v>
      </c>
      <c r="B130" s="24" t="str">
        <f aca="false">IF($A130="","",INDEX(Реестр!$B$2:$B$401,MATCH($A130,Реестр!$W$2:$W$401,0)))</f>
        <v>ООО «Прогресс Монтаж»</v>
      </c>
      <c r="C130" s="24" t="str">
        <f aca="false">IF($A130="","",INDEX(Реестр!$C$2:$C$401,MATCH($A130,Реестр!$W$2:$W$401,0)))</f>
        <v>9132818110</v>
      </c>
      <c r="D130" s="24" t="str">
        <f aca="false">IF($A130="","",INDEX(Реестр!$D$2:$D$401,MATCH($A130,Реестр!$W$2:$W$401,0)))</f>
        <v>5029113071191</v>
      </c>
      <c r="E130" s="24" t="str">
        <f aca="false">IF($A130="","",INDEX(Реестр!$E$2:$E$401,MATCH($A130,Реестр!$W$2:$W$401,0)))</f>
        <v>913245006</v>
      </c>
      <c r="F130" s="24" t="str">
        <f aca="false">IF($A130="","",INDEX(Реестр!$J$2:$J$401,MATCH($A130,Реестр!$W$2:$W$401,0)))</f>
        <v>Республика Крым</v>
      </c>
      <c r="G130" s="24" t="str">
        <f aca="false">IF($A130="","",INDEX(Реестр!$F$2:$F$401,MATCH($A130,Реестр!$W$2:$W$401,0)))</f>
        <v>г. Симферополь, ул. Заводская, д. 51, оф. 114</v>
      </c>
      <c r="H130" s="24" t="str">
        <f aca="false">IF($A130="","",INDEX(Реестр!$G$2:$G$401,MATCH($A130,Реестр!$W$2:$W$401,0)))</f>
        <v>Фёдоров И. Е.</v>
      </c>
      <c r="I130" s="24" t="str">
        <f aca="false">IF($A130="","",INDEX(Реестр!$H$2:$H$401,MATCH($A130,Реестр!$W$2:$W$401,0)))</f>
        <v>office@progress-montazh.example</v>
      </c>
      <c r="J130" s="24" t="str">
        <f aca="false">IF($A130="","",INDEX(Реестр!$I$2:$I$401,MATCH($A130,Реестр!$W$2:$W$401,0)))</f>
        <v>+73655522303</v>
      </c>
    </row>
    <row r="131" customFormat="false" ht="15" hidden="false" customHeight="false" outlineLevel="0" collapsed="false">
      <c r="A131" s="21" t="n">
        <f aca="false">IF(ROWS(A$5:A131)&lt;=MAX(Реестр!$W$2:$W$401),ROWS(A$5:A131),"")</f>
        <v>127</v>
      </c>
      <c r="B131" s="24" t="str">
        <f aca="false">IF($A131="","",INDEX(Реестр!$B$2:$B$401,MATCH($A131,Реестр!$W$2:$W$401,0)))</f>
        <v>АО «Квант Энерго»</v>
      </c>
      <c r="C131" s="24" t="str">
        <f aca="false">IF($A131="","",INDEX(Реестр!$C$2:$C$401,MATCH($A131,Реестр!$W$2:$W$401,0)))</f>
        <v>0218970102</v>
      </c>
      <c r="D131" s="24" t="str">
        <f aca="false">IF($A131="","",INDEX(Реестр!$D$2:$D$401,MATCH($A131,Реестр!$W$2:$W$401,0)))</f>
        <v>1080210994588</v>
      </c>
      <c r="E131" s="24" t="str">
        <f aca="false">IF($A131="","",INDEX(Реестр!$E$2:$E$401,MATCH($A131,Реестр!$W$2:$W$401,0)))</f>
        <v>021801009</v>
      </c>
      <c r="F131" s="24" t="str">
        <f aca="false">IF($A131="","",INDEX(Реестр!$J$2:$J$401,MATCH($A131,Реестр!$W$2:$W$401,0)))</f>
        <v>Республика Башкортостан</v>
      </c>
      <c r="G131" s="24" t="str">
        <f aca="false">IF($A131="","",INDEX(Реестр!$F$2:$F$401,MATCH($A131,Реестр!$W$2:$W$401,0)))</f>
        <v>г. Уфа, ул. Парковая, д. 106, оф. 154</v>
      </c>
      <c r="H131" s="24" t="str">
        <f aca="false">IF($A131="","",INDEX(Реестр!$G$2:$G$401,MATCH($A131,Реестр!$W$2:$W$401,0)))</f>
        <v>Иванова С. Е.</v>
      </c>
      <c r="I131" s="24" t="str">
        <f aca="false">IF($A131="","",INDEX(Реестр!$H$2:$H$401,MATCH($A131,Реестр!$W$2:$W$401,0)))</f>
        <v>info@kvant-energo.example</v>
      </c>
      <c r="J131" s="24" t="str">
        <f aca="false">IF($A131="","",INDEX(Реестр!$I$2:$I$401,MATCH($A131,Реестр!$W$2:$W$401,0)))</f>
        <v>8 347 5946260</v>
      </c>
    </row>
    <row r="132" customFormat="false" ht="15" hidden="false" customHeight="false" outlineLevel="0" collapsed="false">
      <c r="A132" s="21" t="n">
        <f aca="false">IF(ROWS(A$5:A132)&lt;=MAX(Реестр!$W$2:$W$401),ROWS(A$5:A132),"")</f>
        <v>128</v>
      </c>
      <c r="B132" s="24" t="str">
        <f aca="false">IF($A132="","",INDEX(Реестр!$B$2:$B$401,MATCH($A132,Реестр!$W$2:$W$401,0)))</f>
        <v>ООО «Навигатор Мед»</v>
      </c>
      <c r="C132" s="24" t="str">
        <f aca="false">IF($A132="","",INDEX(Реестр!$C$2:$C$401,MATCH($A132,Реестр!$W$2:$W$401,0)))</f>
        <v>7433241633</v>
      </c>
      <c r="D132" s="24" t="str">
        <f aca="false">IF($A132="","",INDEX(Реестр!$D$2:$D$401,MATCH($A132,Реестр!$W$2:$W$401,0)))</f>
        <v>5187444234489</v>
      </c>
      <c r="E132" s="24" t="str">
        <f aca="false">IF($A132="","",INDEX(Реестр!$E$2:$E$401,MATCH($A132,Реестр!$W$2:$W$401,0)))</f>
        <v>743301006</v>
      </c>
      <c r="F132" s="24" t="str">
        <f aca="false">IF($A132="","",INDEX(Реестр!$J$2:$J$401,MATCH($A132,Реестр!$W$2:$W$401,0)))</f>
        <v>Челябинская область</v>
      </c>
      <c r="G132" s="24" t="str">
        <f aca="false">IF($A132="","",INDEX(Реестр!$F$2:$F$401,MATCH($A132,Реестр!$W$2:$W$401,0)))</f>
        <v>г. Челябинск, ул. Школьная, д. 5, оф. 192</v>
      </c>
      <c r="H132" s="24" t="str">
        <f aca="false">IF($A132="","",INDEX(Реестр!$G$2:$G$401,MATCH($A132,Реестр!$W$2:$W$401,0)))</f>
        <v>Фёдорова М. О.</v>
      </c>
      <c r="I132" s="24" t="str">
        <f aca="false">IF($A132="","",INDEX(Реестр!$H$2:$H$401,MATCH($A132,Реестр!$W$2:$W$401,0)))</f>
        <v>office@navigator-med.example</v>
      </c>
      <c r="J132" s="24" t="str">
        <f aca="false">IF($A132="","",INDEX(Реестр!$I$2:$I$401,MATCH($A132,Реестр!$W$2:$W$401,0)))</f>
        <v>8 351 5892462</v>
      </c>
    </row>
    <row r="133" customFormat="false" ht="15" hidden="false" customHeight="false" outlineLevel="0" collapsed="false">
      <c r="A133" s="21" t="n">
        <f aca="false">IF(ROWS(A$5:A133)&lt;=MAX(Реестр!$W$2:$W$401),ROWS(A$5:A133),"")</f>
        <v>129</v>
      </c>
      <c r="B133" s="24" t="str">
        <f aca="false">IF($A133="","",INDEX(Реестр!$B$2:$B$401,MATCH($A133,Реестр!$W$2:$W$401,0)))</f>
        <v>ООО «Альфа Снаб»</v>
      </c>
      <c r="C133" s="24" t="str">
        <f aca="false">IF($A133="","",INDEX(Реестр!$C$2:$C$401,MATCH($A133,Реестр!$W$2:$W$401,0)))</f>
        <v>7741377406</v>
      </c>
      <c r="D133" s="24" t="str">
        <f aca="false">IF($A133="","",INDEX(Реестр!$D$2:$D$401,MATCH($A133,Реестр!$W$2:$W$401,0)))</f>
        <v>1247741651453</v>
      </c>
      <c r="E133" s="24" t="str">
        <f aca="false">IF($A133="","",INDEX(Реестр!$E$2:$E$401,MATCH($A133,Реестр!$W$2:$W$401,0)))</f>
        <v>774101002</v>
      </c>
      <c r="F133" s="24" t="str">
        <f aca="false">IF($A133="","",INDEX(Реестр!$J$2:$J$401,MATCH($A133,Реестр!$W$2:$W$401,0)))</f>
        <v>г. Москва</v>
      </c>
      <c r="G133" s="24" t="str">
        <f aca="false">IF($A133="","",INDEX(Реестр!$F$2:$F$401,MATCH($A133,Реестр!$W$2:$W$401,0)))</f>
        <v>г. Москва, ул. Мира, д. 26, оф. 297</v>
      </c>
      <c r="H133" s="24" t="str">
        <f aca="false">IF($A133="","",INDEX(Реестр!$G$2:$G$401,MATCH($A133,Реестр!$W$2:$W$401,0)))</f>
        <v>Попова Т. М.</v>
      </c>
      <c r="I133" s="24" t="str">
        <f aca="false">IF($A133="","",INDEX(Реестр!$H$2:$H$401,MATCH($A133,Реестр!$W$2:$W$401,0)))</f>
        <v>zakaz@alfa-snab.example</v>
      </c>
      <c r="J133" s="24" t="str">
        <f aca="false">IF($A133="","",INDEX(Реестр!$I$2:$I$401,MATCH($A133,Реестр!$W$2:$W$401,0)))</f>
        <v>+74955024838</v>
      </c>
    </row>
    <row r="134" customFormat="false" ht="15" hidden="false" customHeight="false" outlineLevel="0" collapsed="false">
      <c r="A134" s="21" t="n">
        <f aca="false">IF(ROWS(A$5:A134)&lt;=MAX(Реестр!$W$2:$W$401),ROWS(A$5:A134),"")</f>
        <v>130</v>
      </c>
      <c r="B134" s="24" t="str">
        <f aca="false">IF($A134="","",INDEX(Реестр!$B$2:$B$401,MATCH($A134,Реестр!$W$2:$W$401,0)))</f>
        <v>ООО «Заря Энерго»</v>
      </c>
      <c r="C134" s="24" t="str">
        <f aca="false">IF($A134="","",INDEX(Реестр!$C$2:$C$401,MATCH($A134,Реестр!$W$2:$W$401,0)))</f>
        <v>9207948912</v>
      </c>
      <c r="D134" s="24" t="str">
        <f aca="false">IF($A134="","",INDEX(Реестр!$D$2:$D$401,MATCH($A134,Реестр!$W$2:$W$401,0)))</f>
        <v>5159222922227</v>
      </c>
      <c r="E134" s="24" t="str">
        <f aca="false">IF($A134="","",INDEX(Реестр!$E$2:$E$401,MATCH($A134,Реестр!$W$2:$W$401,0)))</f>
        <v>920745001</v>
      </c>
      <c r="F134" s="24" t="str">
        <f aca="false">IF($A134="","",INDEX(Реестр!$J$2:$J$401,MATCH($A134,Реестр!$W$2:$W$401,0)))</f>
        <v>г. Севастополь</v>
      </c>
      <c r="G134" s="24" t="str">
        <f aca="false">IF($A134="","",INDEX(Реестр!$F$2:$F$401,MATCH($A134,Реестр!$W$2:$W$401,0)))</f>
        <v>г. Севастополь, ул. Мира, д. 34, оф. 133</v>
      </c>
      <c r="H134" s="24" t="str">
        <f aca="false">IF($A134="","",INDEX(Реестр!$G$2:$G$401,MATCH($A134,Реестр!$W$2:$W$401,0)))</f>
        <v>Кузнецова Д. М.</v>
      </c>
      <c r="I134" s="24" t="str">
        <f aca="false">IF($A134="","",INDEX(Реестр!$H$2:$H$401,MATCH($A134,Реестр!$W$2:$W$401,0)))</f>
        <v>sales@zarya-energo.example</v>
      </c>
      <c r="J134" s="24" t="str">
        <f aca="false">IF($A134="","",INDEX(Реестр!$I$2:$I$401,MATCH($A134,Реестр!$W$2:$W$401,0)))</f>
        <v>+78695152363</v>
      </c>
    </row>
    <row r="135" customFormat="false" ht="15" hidden="false" customHeight="false" outlineLevel="0" collapsed="false">
      <c r="A135" s="21" t="n">
        <f aca="false">IF(ROWS(A$5:A135)&lt;=MAX(Реестр!$W$2:$W$401),ROWS(A$5:A135),"")</f>
        <v>131</v>
      </c>
      <c r="B135" s="24" t="str">
        <f aca="false">IF($A135="","",INDEX(Реестр!$B$2:$B$401,MATCH($A135,Реестр!$W$2:$W$401,0)))</f>
        <v>АО «Меридиан Технологии»</v>
      </c>
      <c r="C135" s="24" t="str">
        <f aca="false">IF($A135="","",INDEX(Реестр!$C$2:$C$401,MATCH($A135,Реестр!$W$2:$W$401,0)))</f>
        <v>6335281820</v>
      </c>
      <c r="D135" s="24" t="str">
        <f aca="false">IF($A135="","",INDEX(Реестр!$D$2:$D$401,MATCH($A135,Реестр!$W$2:$W$401,0)))</f>
        <v>5036348701516</v>
      </c>
      <c r="E135" s="24" t="str">
        <f aca="false">IF($A135="","",INDEX(Реестр!$E$2:$E$401,MATCH($A135,Реестр!$W$2:$W$401,0)))</f>
        <v>633501007</v>
      </c>
      <c r="F135" s="24" t="str">
        <f aca="false">IF($A135="","",INDEX(Реестр!$J$2:$J$401,MATCH($A135,Реестр!$W$2:$W$401,0)))</f>
        <v>Самарская область</v>
      </c>
      <c r="G135" s="24" t="str">
        <f aca="false">IF($A135="","",INDEX(Реестр!$F$2:$F$401,MATCH($A135,Реестр!$W$2:$W$401,0)))</f>
        <v>г. Самара, ул. Школьная, д. 71, оф. 279</v>
      </c>
      <c r="H135" s="24" t="str">
        <f aca="false">IF($A135="","",INDEX(Реестр!$G$2:$G$401,MATCH($A135,Реестр!$W$2:$W$401,0)))</f>
        <v>Николаев Д. О.</v>
      </c>
      <c r="I135" s="24" t="str">
        <f aca="false">IF($A135="","",INDEX(Реестр!$H$2:$H$401,MATCH($A135,Реестр!$W$2:$W$401,0)))</f>
        <v>office@meridian-tekhnologii.example</v>
      </c>
      <c r="J135" s="24" t="str">
        <f aca="false">IF($A135="","",INDEX(Реестр!$I$2:$I$401,MATCH($A135,Реестр!$W$2:$W$401,0)))</f>
        <v>8 846 5972814</v>
      </c>
    </row>
    <row r="136" customFormat="false" ht="15" hidden="false" customHeight="false" outlineLevel="0" collapsed="false">
      <c r="A136" s="21" t="n">
        <f aca="false">IF(ROWS(A$5:A136)&lt;=MAX(Реестр!$W$2:$W$401),ROWS(A$5:A136),"")</f>
        <v>132</v>
      </c>
      <c r="B136" s="24" t="str">
        <f aca="false">IF($A136="","",INDEX(Реестр!$B$2:$B$401,MATCH($A136,Реестр!$W$2:$W$401,0)))</f>
        <v>ООО «Альфа Консалт»</v>
      </c>
      <c r="C136" s="24" t="str">
        <f aca="false">IF($A136="","",INDEX(Реестр!$C$2:$C$401,MATCH($A136,Реестр!$W$2:$W$401,0)))</f>
        <v>1646454995</v>
      </c>
      <c r="D136" s="24" t="str">
        <f aca="false">IF($A136="","",INDEX(Реестр!$D$2:$D$401,MATCH($A136,Реестр!$W$2:$W$401,0)))</f>
        <v>1131605748955</v>
      </c>
      <c r="E136" s="24" t="str">
        <f aca="false">IF($A136="","",INDEX(Реестр!$E$2:$E$401,MATCH($A136,Реестр!$W$2:$W$401,0)))</f>
        <v>164643005</v>
      </c>
      <c r="F136" s="24" t="str">
        <f aca="false">IF($A136="","",INDEX(Реестр!$J$2:$J$401,MATCH($A136,Реестр!$W$2:$W$401,0)))</f>
        <v>Республика Татарстан</v>
      </c>
      <c r="G136" s="24" t="str">
        <f aca="false">IF($A136="","",INDEX(Реестр!$F$2:$F$401,MATCH($A136,Реестр!$W$2:$W$401,0)))</f>
        <v>г. Казань, ул. Заводская, д. 23, оф. 242</v>
      </c>
      <c r="H136" s="24" t="str">
        <f aca="false">IF($A136="","",INDEX(Реестр!$G$2:$G$401,MATCH($A136,Реестр!$W$2:$W$401,0)))</f>
        <v>Васильев Н. Н.</v>
      </c>
      <c r="I136" s="24" t="str">
        <f aca="false">IF($A136="","",INDEX(Реестр!$H$2:$H$401,MATCH($A136,Реестр!$W$2:$W$401,0)))</f>
        <v>zakaz@alfa-konsalt.example</v>
      </c>
      <c r="J136" s="24" t="str">
        <f aca="false">IF($A136="","",INDEX(Реестр!$I$2:$I$401,MATCH($A136,Реестр!$W$2:$W$401,0)))</f>
        <v>+78435863163</v>
      </c>
    </row>
    <row r="137" customFormat="false" ht="15" hidden="false" customHeight="false" outlineLevel="0" collapsed="false">
      <c r="A137" s="21" t="n">
        <f aca="false">IF(ROWS(A$5:A137)&lt;=MAX(Реестр!$W$2:$W$401),ROWS(A$5:A137),"")</f>
        <v>133</v>
      </c>
      <c r="B137" s="24" t="str">
        <f aca="false">IF($A137="","",INDEX(Реестр!$B$2:$B$401,MATCH($A137,Реестр!$W$2:$W$401,0)))</f>
        <v>ООО «Альфа Пласт»</v>
      </c>
      <c r="C137" s="24" t="str">
        <f aca="false">IF($A137="","",INDEX(Реестр!$C$2:$C$401,MATCH($A137,Реестр!$W$2:$W$401,0)))</f>
        <v>7423153473</v>
      </c>
      <c r="D137" s="24" t="str">
        <f aca="false">IF($A137="","",INDEX(Реестр!$D$2:$D$401,MATCH($A137,Реестр!$W$2:$W$401,0)))</f>
        <v>1137402687432</v>
      </c>
      <c r="E137" s="24" t="str">
        <f aca="false">IF($A137="","",INDEX(Реестр!$E$2:$E$401,MATCH($A137,Реестр!$W$2:$W$401,0)))</f>
        <v>742301008</v>
      </c>
      <c r="F137" s="24" t="str">
        <f aca="false">IF($A137="","",INDEX(Реестр!$J$2:$J$401,MATCH($A137,Реестр!$W$2:$W$401,0)))</f>
        <v>Челябинская область</v>
      </c>
      <c r="G137" s="24" t="str">
        <f aca="false">IF($A137="","",INDEX(Реестр!$F$2:$F$401,MATCH($A137,Реестр!$W$2:$W$401,0)))</f>
        <v>г. Челябинск, ул. Советская, д. 118, оф. 113</v>
      </c>
      <c r="H137" s="24" t="str">
        <f aca="false">IF($A137="","",INDEX(Реестр!$G$2:$G$401,MATCH($A137,Реестр!$W$2:$W$401,0)))</f>
        <v>Попова О. Т.</v>
      </c>
      <c r="I137" s="24" t="str">
        <f aca="false">IF($A137="","",INDEX(Реестр!$H$2:$H$401,MATCH($A137,Реестр!$W$2:$W$401,0)))</f>
        <v>sales@alfa-plast.example</v>
      </c>
      <c r="J137" s="24" t="str">
        <f aca="false">IF($A137="","",INDEX(Реестр!$I$2:$I$401,MATCH($A137,Реестр!$W$2:$W$401,0)))</f>
        <v>+7 (351) 558-40-94</v>
      </c>
    </row>
    <row r="138" customFormat="false" ht="15" hidden="false" customHeight="false" outlineLevel="0" collapsed="false">
      <c r="A138" s="21" t="n">
        <f aca="false">IF(ROWS(A$5:A138)&lt;=MAX(Реестр!$W$2:$W$401),ROWS(A$5:A138),"")</f>
        <v>134</v>
      </c>
      <c r="B138" s="24" t="str">
        <f aca="false">IF($A138="","",INDEX(Реестр!$B$2:$B$401,MATCH($A138,Реестр!$W$2:$W$401,0)))</f>
        <v>ООО «Тандем Групп»</v>
      </c>
      <c r="C138" s="24" t="str">
        <f aca="false">IF($A138="","",INDEX(Реестр!$C$2:$C$401,MATCH($A138,Реестр!$W$2:$W$401,0)))</f>
        <v>6108167126</v>
      </c>
      <c r="D138" s="24" t="str">
        <f aca="false">IF($A138="","",INDEX(Реестр!$D$2:$D$401,MATCH($A138,Реестр!$W$2:$W$401,0)))</f>
        <v>5126144816452</v>
      </c>
      <c r="E138" s="24" t="str">
        <f aca="false">IF($A138="","",INDEX(Реестр!$E$2:$E$401,MATCH($A138,Реестр!$W$2:$W$401,0)))</f>
        <v>610801003</v>
      </c>
      <c r="F138" s="24" t="str">
        <f aca="false">IF($A138="","",INDEX(Реестр!$J$2:$J$401,MATCH($A138,Реестр!$W$2:$W$401,0)))</f>
        <v>Ростовская область</v>
      </c>
      <c r="G138" s="24" t="str">
        <f aca="false">IF($A138="","",INDEX(Реестр!$F$2:$F$401,MATCH($A138,Реестр!$W$2:$W$401,0)))</f>
        <v>г. Ростов-на-Дону, ул. Советская, д. 17, оф. 293</v>
      </c>
      <c r="H138" s="24" t="str">
        <f aca="false">IF($A138="","",INDEX(Реестр!$G$2:$G$401,MATCH($A138,Реестр!$W$2:$W$401,0)))</f>
        <v>Волков М. И.</v>
      </c>
      <c r="I138" s="24" t="str">
        <f aca="false">IF($A138="","",INDEX(Реестр!$H$2:$H$401,MATCH($A138,Реестр!$W$2:$W$401,0)))</f>
        <v>zakaz@tandem-grupp.example</v>
      </c>
      <c r="J138" s="24" t="str">
        <f aca="false">IF($A138="","",INDEX(Реестр!$I$2:$I$401,MATCH($A138,Реестр!$W$2:$W$401,0)))</f>
        <v>8 863 5608917</v>
      </c>
    </row>
    <row r="139" customFormat="false" ht="15" hidden="false" customHeight="false" outlineLevel="0" collapsed="false">
      <c r="A139" s="21" t="n">
        <f aca="false">IF(ROWS(A$5:A139)&lt;=MAX(Реестр!$W$2:$W$401),ROWS(A$5:A139),"")</f>
        <v>135</v>
      </c>
      <c r="B139" s="24" t="str">
        <f aca="false">IF($A139="","",INDEX(Реестр!$B$2:$B$401,MATCH($A139,Реестр!$W$2:$W$401,0)))</f>
        <v>ООО «Альфа Сервис»</v>
      </c>
      <c r="C139" s="24" t="str">
        <f aca="false">IF($A139="","",INDEX(Реестр!$C$2:$C$401,MATCH($A139,Реестр!$W$2:$W$401,0)))</f>
        <v>6129631099</v>
      </c>
      <c r="D139" s="24" t="str">
        <f aca="false">IF($A139="","",INDEX(Реестр!$D$2:$D$401,MATCH($A139,Реестр!$W$2:$W$401,0)))</f>
        <v>5196129373688</v>
      </c>
      <c r="E139" s="24" t="str">
        <f aca="false">IF($A139="","",INDEX(Реестр!$E$2:$E$401,MATCH($A139,Реестр!$W$2:$W$401,0)))</f>
        <v>612901007</v>
      </c>
      <c r="F139" s="24" t="str">
        <f aca="false">IF($A139="","",INDEX(Реестр!$J$2:$J$401,MATCH($A139,Реестр!$W$2:$W$401,0)))</f>
        <v>Ростовская область</v>
      </c>
      <c r="G139" s="24" t="str">
        <f aca="false">IF($A139="","",INDEX(Реестр!$F$2:$F$401,MATCH($A139,Реестр!$W$2:$W$401,0)))</f>
        <v>г. Ростов-на-Дону, ул. Центральная, д. 106, оф. 14</v>
      </c>
      <c r="H139" s="24" t="str">
        <f aca="false">IF($A139="","",INDEX(Реестр!$G$2:$G$401,MATCH($A139,Реестр!$W$2:$W$401,0)))</f>
        <v>Соколов С. Д.</v>
      </c>
      <c r="I139" s="24" t="str">
        <f aca="false">IF($A139="","",INDEX(Реестр!$H$2:$H$401,MATCH($A139,Реестр!$W$2:$W$401,0)))</f>
        <v>info@alfa-servis.example</v>
      </c>
      <c r="J139" s="24" t="str">
        <f aca="false">IF($A139="","",INDEX(Реестр!$I$2:$I$401,MATCH($A139,Реестр!$W$2:$W$401,0)))</f>
        <v>8 863 5203761</v>
      </c>
    </row>
    <row r="140" customFormat="false" ht="15" hidden="false" customHeight="false" outlineLevel="0" collapsed="false">
      <c r="A140" s="21" t="n">
        <f aca="false">IF(ROWS(A$5:A140)&lt;=MAX(Реестр!$W$2:$W$401),ROWS(A$5:A140),"")</f>
        <v>136</v>
      </c>
      <c r="B140" s="24" t="str">
        <f aca="false">IF($A140="","",INDEX(Реестр!$B$2:$B$401,MATCH($A140,Реестр!$W$2:$W$401,0)))</f>
        <v>ООО «Заря Фуд»</v>
      </c>
      <c r="C140" s="24" t="str">
        <f aca="false">IF($A140="","",INDEX(Реестр!$C$2:$C$401,MATCH($A140,Реестр!$W$2:$W$401,0)))</f>
        <v>9130778870</v>
      </c>
      <c r="D140" s="24" t="str">
        <f aca="false">IF($A140="","",INDEX(Реестр!$D$2:$D$401,MATCH($A140,Реестр!$W$2:$W$401,0)))</f>
        <v>1049141445650</v>
      </c>
      <c r="E140" s="24" t="str">
        <f aca="false">IF($A140="","",INDEX(Реестр!$E$2:$E$401,MATCH($A140,Реестр!$W$2:$W$401,0)))</f>
        <v>913001002</v>
      </c>
      <c r="F140" s="24" t="str">
        <f aca="false">IF($A140="","",INDEX(Реестр!$J$2:$J$401,MATCH($A140,Реестр!$W$2:$W$401,0)))</f>
        <v>Республика Крым</v>
      </c>
      <c r="G140" s="24" t="str">
        <f aca="false">IF($A140="","",INDEX(Реестр!$F$2:$F$401,MATCH($A140,Реестр!$W$2:$W$401,0)))</f>
        <v>г. Симферополь, ул. Мира, д. 28, оф. 21</v>
      </c>
      <c r="H140" s="24" t="str">
        <f aca="false">IF($A140="","",INDEX(Реестр!$G$2:$G$401,MATCH($A140,Реестр!$W$2:$W$401,0)))</f>
        <v>Кузнецов Д. Е.</v>
      </c>
      <c r="I140" s="24" t="str">
        <f aca="false">IF($A140="","",INDEX(Реестр!$H$2:$H$401,MATCH($A140,Реестр!$W$2:$W$401,0)))</f>
        <v>mail@zarya-fud.example</v>
      </c>
      <c r="J140" s="24" t="str">
        <f aca="false">IF($A140="","",INDEX(Реестр!$I$2:$I$401,MATCH($A140,Реестр!$W$2:$W$401,0)))</f>
        <v>8 365 5559707</v>
      </c>
    </row>
    <row r="141" customFormat="false" ht="15" hidden="false" customHeight="false" outlineLevel="0" collapsed="false">
      <c r="A141" s="21" t="n">
        <f aca="false">IF(ROWS(A$5:A141)&lt;=MAX(Реестр!$W$2:$W$401),ROWS(A$5:A141),"")</f>
        <v>137</v>
      </c>
      <c r="B141" s="24" t="str">
        <f aca="false">IF($A141="","",INDEX(Реестр!$B$2:$B$401,MATCH($A141,Реестр!$W$2:$W$401,0)))</f>
        <v>ООО «Юпитер Монтаж»</v>
      </c>
      <c r="C141" s="24" t="str">
        <f aca="false">IF($A141="","",INDEX(Реестр!$C$2:$C$401,MATCH($A141,Реестр!$W$2:$W$401,0)))</f>
        <v>7813355475</v>
      </c>
      <c r="D141" s="24" t="str">
        <f aca="false">IF($A141="","",INDEX(Реестр!$D$2:$D$401,MATCH($A141,Реестр!$W$2:$W$401,0)))</f>
        <v>1117823641583</v>
      </c>
      <c r="E141" s="24" t="str">
        <f aca="false">IF($A141="","",INDEX(Реестр!$E$2:$E$401,MATCH($A141,Реестр!$W$2:$W$401,0)))</f>
        <v>781343006</v>
      </c>
      <c r="F141" s="24" t="str">
        <f aca="false">IF($A141="","",INDEX(Реестр!$J$2:$J$401,MATCH($A141,Реестр!$W$2:$W$401,0)))</f>
        <v>г. Санкт-Петербург</v>
      </c>
      <c r="G141" s="24" t="str">
        <f aca="false">IF($A141="","",INDEX(Реестр!$F$2:$F$401,MATCH($A141,Реестр!$W$2:$W$401,0)))</f>
        <v>г. Санкт-Петербург, ул. Садовая, д. 67, оф. 261</v>
      </c>
      <c r="H141" s="24" t="str">
        <f aca="false">IF($A141="","",INDEX(Реестр!$G$2:$G$401,MATCH($A141,Реестр!$W$2:$W$401,0)))</f>
        <v>Смирнов А. Д.</v>
      </c>
      <c r="I141" s="24" t="str">
        <f aca="false">IF($A141="","",INDEX(Реестр!$H$2:$H$401,MATCH($A141,Реестр!$W$2:$W$401,0)))</f>
        <v>mail@yupiter-montazh.example</v>
      </c>
      <c r="J141" s="24" t="str">
        <f aca="false">IF($A141="","",INDEX(Реестр!$I$2:$I$401,MATCH($A141,Реестр!$W$2:$W$401,0)))</f>
        <v>8 812 5668087</v>
      </c>
    </row>
    <row r="142" customFormat="false" ht="15" hidden="false" customHeight="false" outlineLevel="0" collapsed="false">
      <c r="A142" s="21" t="n">
        <f aca="false">IF(ROWS(A$5:A142)&lt;=MAX(Реестр!$W$2:$W$401),ROWS(A$5:A142),"")</f>
        <v>138</v>
      </c>
      <c r="B142" s="24" t="str">
        <f aca="false">IF($A142="","",INDEX(Реестр!$B$2:$B$401,MATCH($A142,Реестр!$W$2:$W$401,0)))</f>
        <v>ООО «Вектор Пласт»</v>
      </c>
      <c r="C142" s="24" t="str">
        <f aca="false">IF($A142="","",INDEX(Реестр!$C$2:$C$401,MATCH($A142,Реестр!$W$2:$W$401,0)))</f>
        <v>5035059251</v>
      </c>
      <c r="D142" s="24" t="str">
        <f aca="false">IF($A142="","",INDEX(Реестр!$D$2:$D$401,MATCH($A142,Реестр!$W$2:$W$401,0)))</f>
        <v>1085020785574</v>
      </c>
      <c r="E142" s="24" t="str">
        <f aca="false">IF($A142="","",INDEX(Реестр!$E$2:$E$401,MATCH($A142,Реестр!$W$2:$W$401,0)))</f>
        <v>503545008</v>
      </c>
      <c r="F142" s="24" t="str">
        <f aca="false">IF($A142="","",INDEX(Реестр!$J$2:$J$401,MATCH($A142,Реестр!$W$2:$W$401,0)))</f>
        <v>Московская область</v>
      </c>
      <c r="G142" s="24" t="str">
        <f aca="false">IF($A142="","",INDEX(Реестр!$F$2:$F$401,MATCH($A142,Реестр!$W$2:$W$401,0)))</f>
        <v>г. Красногорск, ул. Садовая, д. 97, оф. 67</v>
      </c>
      <c r="H142" s="24" t="str">
        <f aca="false">IF($A142="","",INDEX(Реестр!$G$2:$G$401,MATCH($A142,Реестр!$W$2:$W$401,0)))</f>
        <v>Волкова М. Д.</v>
      </c>
      <c r="I142" s="24" t="str">
        <f aca="false">IF($A142="","",INDEX(Реестр!$H$2:$H$401,MATCH($A142,Реестр!$W$2:$W$401,0)))</f>
        <v>mail@vektor-plast.example</v>
      </c>
      <c r="J142" s="24" t="str">
        <f aca="false">IF($A142="","",INDEX(Реестр!$I$2:$I$401,MATCH($A142,Реестр!$W$2:$W$401,0)))</f>
        <v>8 498 5994227</v>
      </c>
    </row>
    <row r="143" customFormat="false" ht="15" hidden="false" customHeight="false" outlineLevel="0" collapsed="false">
      <c r="A143" s="21" t="n">
        <f aca="false">IF(ROWS(A$5:A143)&lt;=MAX(Реестр!$W$2:$W$401),ROWS(A$5:A143),"")</f>
        <v>139</v>
      </c>
      <c r="B143" s="24" t="str">
        <f aca="false">IF($A143="","",INDEX(Реестр!$B$2:$B$401,MATCH($A143,Реестр!$W$2:$W$401,0)))</f>
        <v>ООО «Орбита Снаб»</v>
      </c>
      <c r="C143" s="24" t="str">
        <f aca="false">IF($A143="","",INDEX(Реестр!$C$2:$C$401,MATCH($A143,Реестр!$W$2:$W$401,0)))</f>
        <v>7712160896</v>
      </c>
      <c r="D143" s="24" t="str">
        <f aca="false">IF($A143="","",INDEX(Реестр!$D$2:$D$401,MATCH($A143,Реестр!$W$2:$W$401,0)))</f>
        <v>5067719266016</v>
      </c>
      <c r="E143" s="24" t="str">
        <f aca="false">IF($A143="","",INDEX(Реестр!$E$2:$E$401,MATCH($A143,Реестр!$W$2:$W$401,0)))</f>
        <v>771243007</v>
      </c>
      <c r="F143" s="24" t="str">
        <f aca="false">IF($A143="","",INDEX(Реестр!$J$2:$J$401,MATCH($A143,Реестр!$W$2:$W$401,0)))</f>
        <v>г. Москва</v>
      </c>
      <c r="G143" s="24" t="str">
        <f aca="false">IF($A143="","",INDEX(Реестр!$F$2:$F$401,MATCH($A143,Реестр!$W$2:$W$401,0)))</f>
        <v>г. Москва, ул. Заводская, д. 33, оф. 169</v>
      </c>
      <c r="H143" s="24" t="str">
        <f aca="false">IF($A143="","",INDEX(Реестр!$G$2:$G$401,MATCH($A143,Реестр!$W$2:$W$401,0)))</f>
        <v>Иванов С. Н.</v>
      </c>
      <c r="I143" s="24" t="str">
        <f aca="false">IF($A143="","",INDEX(Реестр!$H$2:$H$401,MATCH($A143,Реестр!$W$2:$W$401,0)))</f>
        <v>office@orbita-snab.example</v>
      </c>
      <c r="J143" s="24" t="str">
        <f aca="false">IF($A143="","",INDEX(Реестр!$I$2:$I$401,MATCH($A143,Реестр!$W$2:$W$401,0)))</f>
        <v>8 495 5580632</v>
      </c>
    </row>
    <row r="144" customFormat="false" ht="15" hidden="false" customHeight="false" outlineLevel="0" collapsed="false">
      <c r="A144" s="21" t="n">
        <f aca="false">IF(ROWS(A$5:A144)&lt;=MAX(Реестр!$W$2:$W$401),ROWS(A$5:A144),"")</f>
        <v>140</v>
      </c>
      <c r="B144" s="24" t="str">
        <f aca="false">IF($A144="","",INDEX(Реестр!$B$2:$B$401,MATCH($A144,Реестр!$W$2:$W$401,0)))</f>
        <v>ООО «Берег Логистик»</v>
      </c>
      <c r="C144" s="24" t="str">
        <f aca="false">IF($A144="","",INDEX(Реестр!$C$2:$C$401,MATCH($A144,Реестр!$W$2:$W$401,0)))</f>
        <v>7805578414</v>
      </c>
      <c r="D144" s="24" t="str">
        <f aca="false">IF($A144="","",INDEX(Реестр!$D$2:$D$401,MATCH($A144,Реестр!$W$2:$W$401,0)))</f>
        <v>5157845016214</v>
      </c>
      <c r="E144" s="24" t="str">
        <f aca="false">IF($A144="","",INDEX(Реестр!$E$2:$E$401,MATCH($A144,Реестр!$W$2:$W$401,0)))</f>
        <v>780501008</v>
      </c>
      <c r="F144" s="24" t="str">
        <f aca="false">IF($A144="","",INDEX(Реестр!$J$2:$J$401,MATCH($A144,Реестр!$W$2:$W$401,0)))</f>
        <v>г. Санкт-Петербург</v>
      </c>
      <c r="G144" s="24" t="str">
        <f aca="false">IF($A144="","",INDEX(Реестр!$F$2:$F$401,MATCH($A144,Реестр!$W$2:$W$401,0)))</f>
        <v>г. Санкт-Петербург, ул. Советская, д. 33, оф. 196</v>
      </c>
      <c r="H144" s="24" t="str">
        <f aca="false">IF($A144="","",INDEX(Реестр!$G$2:$G$401,MATCH($A144,Реестр!$W$2:$W$401,0)))</f>
        <v>Петрова Е. В.</v>
      </c>
      <c r="I144" s="24" t="str">
        <f aca="false">IF($A144="","",INDEX(Реестр!$H$2:$H$401,MATCH($A144,Реестр!$W$2:$W$401,0)))</f>
        <v>office@bereg-logistik.example</v>
      </c>
      <c r="J144" s="24" t="str">
        <f aca="false">IF($A144="","",INDEX(Реестр!$I$2:$I$401,MATCH($A144,Реестр!$W$2:$W$401,0)))</f>
        <v>+78125465006</v>
      </c>
    </row>
    <row r="145" customFormat="false" ht="15" hidden="false" customHeight="false" outlineLevel="0" collapsed="false">
      <c r="A145" s="21" t="n">
        <f aca="false">IF(ROWS(A$5:A145)&lt;=MAX(Реестр!$W$2:$W$401),ROWS(A$5:A145),"")</f>
        <v>141</v>
      </c>
      <c r="B145" s="24" t="str">
        <f aca="false">IF($A145="","",INDEX(Реестр!$B$2:$B$401,MATCH($A145,Реестр!$W$2:$W$401,0)))</f>
        <v>ООО «Прогресс Сервис»</v>
      </c>
      <c r="C145" s="24" t="str">
        <f aca="false">IF($A145="","",INDEX(Реестр!$C$2:$C$401,MATCH($A145,Реестр!$W$2:$W$401,0)))</f>
        <v>7733992430</v>
      </c>
      <c r="D145" s="24" t="str">
        <f aca="false">IF($A145="","",INDEX(Реестр!$D$2:$D$401,MATCH($A145,Реестр!$W$2:$W$401,0)))</f>
        <v>1027735017276</v>
      </c>
      <c r="E145" s="24" t="str">
        <f aca="false">IF($A145="","",INDEX(Реестр!$E$2:$E$401,MATCH($A145,Реестр!$W$2:$W$401,0)))</f>
        <v>773301002</v>
      </c>
      <c r="F145" s="24" t="str">
        <f aca="false">IF($A145="","",INDEX(Реестр!$J$2:$J$401,MATCH($A145,Реестр!$W$2:$W$401,0)))</f>
        <v>г. Москва</v>
      </c>
      <c r="G145" s="24" t="str">
        <f aca="false">IF($A145="","",INDEX(Реестр!$F$2:$F$401,MATCH($A145,Реестр!$W$2:$W$401,0)))</f>
        <v>г. Москва, ул. Победы, д. 120, оф. 74</v>
      </c>
      <c r="H145" s="24" t="str">
        <f aca="false">IF($A145="","",INDEX(Реестр!$G$2:$G$401,MATCH($A145,Реестр!$W$2:$W$401,0)))</f>
        <v>Волкова В. И.</v>
      </c>
      <c r="I145" s="24" t="str">
        <f aca="false">IF($A145="","",INDEX(Реестр!$H$2:$H$401,MATCH($A145,Реестр!$W$2:$W$401,0)))</f>
        <v>mail@progress-servis.example</v>
      </c>
      <c r="J145" s="24" t="str">
        <f aca="false">IF($A145="","",INDEX(Реестр!$I$2:$I$401,MATCH($A145,Реестр!$W$2:$W$401,0)))</f>
        <v>+7 (495) 505-10-65</v>
      </c>
    </row>
    <row r="146" customFormat="false" ht="15" hidden="false" customHeight="false" outlineLevel="0" collapsed="false">
      <c r="A146" s="21" t="n">
        <f aca="false">IF(ROWS(A$5:A146)&lt;=MAX(Реестр!$W$2:$W$401),ROWS(A$5:A146),"")</f>
        <v>142</v>
      </c>
      <c r="B146" s="24" t="str">
        <f aca="false">IF($A146="","",INDEX(Реестр!$B$2:$B$401,MATCH($A146,Реестр!$W$2:$W$401,0)))</f>
        <v>ООО «Дельта Пласт»</v>
      </c>
      <c r="C146" s="24" t="str">
        <f aca="false">IF($A146="","",INDEX(Реестр!$C$2:$C$401,MATCH($A146,Реестр!$W$2:$W$401,0)))</f>
        <v>6619177068</v>
      </c>
      <c r="D146" s="24" t="str">
        <f aca="false">IF($A146="","",INDEX(Реестр!$D$2:$D$401,MATCH($A146,Реестр!$W$2:$W$401,0)))</f>
        <v>1056624194153</v>
      </c>
      <c r="E146" s="24" t="str">
        <f aca="false">IF($A146="","",INDEX(Реестр!$E$2:$E$401,MATCH($A146,Реестр!$W$2:$W$401,0)))</f>
        <v>661943004</v>
      </c>
      <c r="F146" s="24" t="str">
        <f aca="false">IF($A146="","",INDEX(Реестр!$J$2:$J$401,MATCH($A146,Реестр!$W$2:$W$401,0)))</f>
        <v>Свердловская область</v>
      </c>
      <c r="G146" s="24" t="str">
        <f aca="false">IF($A146="","",INDEX(Реестр!$F$2:$F$401,MATCH($A146,Реестр!$W$2:$W$401,0)))</f>
        <v>г. Екатеринбург, ул. Победы, д. 93, оф. 161</v>
      </c>
      <c r="H146" s="24" t="str">
        <f aca="false">IF($A146="","",INDEX(Реестр!$G$2:$G$401,MATCH($A146,Реестр!$W$2:$W$401,0)))</f>
        <v>Козлова В. О.</v>
      </c>
      <c r="I146" s="24" t="str">
        <f aca="false">IF($A146="","",INDEX(Реестр!$H$2:$H$401,MATCH($A146,Реестр!$W$2:$W$401,0)))</f>
        <v>office@delta-plast.example</v>
      </c>
      <c r="J146" s="24" t="str">
        <f aca="false">IF($A146="","",INDEX(Реестр!$I$2:$I$401,MATCH($A146,Реестр!$W$2:$W$401,0)))</f>
        <v>+7 (343) 594-40-23</v>
      </c>
    </row>
    <row r="147" customFormat="false" ht="15" hidden="false" customHeight="false" outlineLevel="0" collapsed="false">
      <c r="A147" s="21" t="n">
        <f aca="false">IF(ROWS(A$5:A147)&lt;=MAX(Реестр!$W$2:$W$401),ROWS(A$5:A147),"")</f>
        <v>143</v>
      </c>
      <c r="B147" s="24" t="str">
        <f aca="false">IF($A147="","",INDEX(Реестр!$B$2:$B$401,MATCH($A147,Реестр!$W$2:$W$401,0)))</f>
        <v>ООО «Прогресс Проект»</v>
      </c>
      <c r="C147" s="24" t="str">
        <f aca="false">IF($A147="","",INDEX(Реестр!$C$2:$C$401,MATCH($A147,Реестр!$W$2:$W$401,0)))</f>
        <v>9109048342</v>
      </c>
      <c r="D147" s="24" t="str">
        <f aca="false">IF($A147="","",INDEX(Реестр!$D$2:$D$401,MATCH($A147,Реестр!$W$2:$W$401,0)))</f>
        <v>5059129551091</v>
      </c>
      <c r="E147" s="24" t="str">
        <f aca="false">IF($A147="","",INDEX(Реестр!$E$2:$E$401,MATCH($A147,Реестр!$W$2:$W$401,0)))</f>
        <v>910943008</v>
      </c>
      <c r="F147" s="24" t="str">
        <f aca="false">IF($A147="","",INDEX(Реестр!$J$2:$J$401,MATCH($A147,Реестр!$W$2:$W$401,0)))</f>
        <v>Республика Крым</v>
      </c>
      <c r="G147" s="24" t="str">
        <f aca="false">IF($A147="","",INDEX(Реестр!$F$2:$F$401,MATCH($A147,Реестр!$W$2:$W$401,0)))</f>
        <v>г. Симферополь, ул. Кирова, д. 48, оф. 94</v>
      </c>
      <c r="H147" s="24" t="str">
        <f aca="false">IF($A147="","",INDEX(Реестр!$G$2:$G$401,MATCH($A147,Реестр!$W$2:$W$401,0)))</f>
        <v>Петрова Н. М.</v>
      </c>
      <c r="I147" s="24" t="str">
        <f aca="false">IF($A147="","",INDEX(Реестр!$H$2:$H$401,MATCH($A147,Реестр!$W$2:$W$401,0)))</f>
        <v>mail@progress-proekt.example</v>
      </c>
      <c r="J147" s="24" t="str">
        <f aca="false">IF($A147="","",INDEX(Реестр!$I$2:$I$401,MATCH($A147,Реестр!$W$2:$W$401,0)))</f>
        <v>+73655520602</v>
      </c>
    </row>
    <row r="148" customFormat="false" ht="15" hidden="false" customHeight="false" outlineLevel="0" collapsed="false">
      <c r="A148" s="21" t="n">
        <f aca="false">IF(ROWS(A$5:A148)&lt;=MAX(Реестр!$W$2:$W$401),ROWS(A$5:A148),"")</f>
        <v>144</v>
      </c>
      <c r="B148" s="24" t="str">
        <f aca="false">IF($A148="","",INDEX(Реестр!$B$2:$B$401,MATCH($A148,Реестр!$W$2:$W$401,0)))</f>
        <v>ООО «Гранит Групп»</v>
      </c>
      <c r="C148" s="24" t="str">
        <f aca="false">IF($A148="","",INDEX(Реестр!$C$2:$C$401,MATCH($A148,Реестр!$W$2:$W$401,0)))</f>
        <v>9125300207</v>
      </c>
      <c r="D148" s="24" t="str">
        <f aca="false">IF($A148="","",INDEX(Реестр!$D$2:$D$401,MATCH($A148,Реестр!$W$2:$W$401,0)))</f>
        <v>1059124461582</v>
      </c>
      <c r="E148" s="24" t="str">
        <f aca="false">IF($A148="","",INDEX(Реестр!$E$2:$E$401,MATCH($A148,Реестр!$W$2:$W$401,0)))</f>
        <v>912501003</v>
      </c>
      <c r="F148" s="24" t="str">
        <f aca="false">IF($A148="","",INDEX(Реестр!$J$2:$J$401,MATCH($A148,Реестр!$W$2:$W$401,0)))</f>
        <v>Республика Крым</v>
      </c>
      <c r="G148" s="24" t="str">
        <f aca="false">IF($A148="","",INDEX(Реестр!$F$2:$F$401,MATCH($A148,Реестр!$W$2:$W$401,0)))</f>
        <v>г. Симферополь, ул. Победы, д. 49, оф. 80</v>
      </c>
      <c r="H148" s="24" t="str">
        <f aca="false">IF($A148="","",INDEX(Реестр!$G$2:$G$401,MATCH($A148,Реестр!$W$2:$W$401,0)))</f>
        <v>Смирнов Н. Н.</v>
      </c>
      <c r="I148" s="24" t="str">
        <f aca="false">IF($A148="","",INDEX(Реестр!$H$2:$H$401,MATCH($A148,Реестр!$W$2:$W$401,0)))</f>
        <v>sales@granit-grupp.example</v>
      </c>
      <c r="J148" s="24" t="str">
        <f aca="false">IF($A148="","",INDEX(Реестр!$I$2:$I$401,MATCH($A148,Реестр!$W$2:$W$401,0)))</f>
        <v>+7 (365) 533-62-52</v>
      </c>
    </row>
    <row r="149" customFormat="false" ht="15" hidden="false" customHeight="false" outlineLevel="0" collapsed="false">
      <c r="A149" s="21" t="n">
        <f aca="false">IF(ROWS(A$5:A149)&lt;=MAX(Реестр!$W$2:$W$401),ROWS(A$5:A149),"")</f>
        <v>145</v>
      </c>
      <c r="B149" s="24" t="str">
        <f aca="false">IF($A149="","",INDEX(Реестр!$B$2:$B$401,MATCH($A149,Реестр!$W$2:$W$401,0)))</f>
        <v>ООО «Горизонт Строй»</v>
      </c>
      <c r="C149" s="24" t="str">
        <f aca="false">IF($A149="","",INDEX(Реестр!$C$2:$C$401,MATCH($A149,Реестр!$W$2:$W$401,0)))</f>
        <v>7705818510</v>
      </c>
      <c r="D149" s="24" t="str">
        <f aca="false">IF($A149="","",INDEX(Реестр!$D$2:$D$401,MATCH($A149,Реестр!$W$2:$W$401,0)))</f>
        <v>5177703615678</v>
      </c>
      <c r="E149" s="24" t="str">
        <f aca="false">IF($A149="","",INDEX(Реестр!$E$2:$E$401,MATCH($A149,Реестр!$W$2:$W$401,0)))</f>
        <v>770501005</v>
      </c>
      <c r="F149" s="24" t="str">
        <f aca="false">IF($A149="","",INDEX(Реестр!$J$2:$J$401,MATCH($A149,Реестр!$W$2:$W$401,0)))</f>
        <v>г. Москва</v>
      </c>
      <c r="G149" s="24" t="str">
        <f aca="false">IF($A149="","",INDEX(Реестр!$F$2:$F$401,MATCH($A149,Реестр!$W$2:$W$401,0)))</f>
        <v>г. Москва, ул. Ленина, д. 13, оф. 277</v>
      </c>
      <c r="H149" s="24" t="str">
        <f aca="false">IF($A149="","",INDEX(Реестр!$G$2:$G$401,MATCH($A149,Реестр!$W$2:$W$401,0)))</f>
        <v>Соколов Е. И.</v>
      </c>
      <c r="I149" s="24" t="str">
        <f aca="false">IF($A149="","",INDEX(Реестр!$H$2:$H$401,MATCH($A149,Реестр!$W$2:$W$401,0)))</f>
        <v>zakaz@gorizont-stroy.example</v>
      </c>
      <c r="J149" s="24" t="str">
        <f aca="false">IF($A149="","",INDEX(Реестр!$I$2:$I$401,MATCH($A149,Реестр!$W$2:$W$401,0)))</f>
        <v>+7 (495) 569-50-85</v>
      </c>
    </row>
    <row r="150" customFormat="false" ht="15" hidden="false" customHeight="false" outlineLevel="0" collapsed="false">
      <c r="A150" s="21" t="n">
        <f aca="false">IF(ROWS(A$5:A150)&lt;=MAX(Реестр!$W$2:$W$401),ROWS(A$5:A150),"")</f>
        <v>146</v>
      </c>
      <c r="B150" s="24" t="str">
        <f aca="false">IF($A150="","",INDEX(Реестр!$B$2:$B$401,MATCH($A150,Реестр!$W$2:$W$401,0)))</f>
        <v>ООО «Вектор Логистик»</v>
      </c>
      <c r="C150" s="24" t="str">
        <f aca="false">IF($A150="","",INDEX(Реестр!$C$2:$C$401,MATCH($A150,Реестр!$W$2:$W$401,0)))</f>
        <v>9205718800</v>
      </c>
      <c r="D150" s="24" t="str">
        <f aca="false">IF($A150="","",INDEX(Реестр!$D$2:$D$401,MATCH($A150,Реестр!$W$2:$W$401,0)))</f>
        <v>1179206045920</v>
      </c>
      <c r="E150" s="24" t="str">
        <f aca="false">IF($A150="","",INDEX(Реестр!$E$2:$E$401,MATCH($A150,Реестр!$W$2:$W$401,0)))</f>
        <v>920501004</v>
      </c>
      <c r="F150" s="24" t="str">
        <f aca="false">IF($A150="","",INDEX(Реестр!$J$2:$J$401,MATCH($A150,Реестр!$W$2:$W$401,0)))</f>
        <v>г. Севастополь</v>
      </c>
      <c r="G150" s="24" t="str">
        <f aca="false">IF($A150="","",INDEX(Реестр!$F$2:$F$401,MATCH($A150,Реестр!$W$2:$W$401,0)))</f>
        <v>г. Севастополь, ул. Победы, д. 79, оф. 121</v>
      </c>
      <c r="H150" s="24" t="str">
        <f aca="false">IF($A150="","",INDEX(Реестр!$G$2:$G$401,MATCH($A150,Реестр!$W$2:$W$401,0)))</f>
        <v>Морозова Н. М.</v>
      </c>
      <c r="I150" s="24" t="str">
        <f aca="false">IF($A150="","",INDEX(Реестр!$H$2:$H$401,MATCH($A150,Реестр!$W$2:$W$401,0)))</f>
        <v>office@vektor-logistik.example</v>
      </c>
      <c r="J150" s="24" t="str">
        <f aca="false">IF($A150="","",INDEX(Реестр!$I$2:$I$401,MATCH($A150,Реестр!$W$2:$W$401,0)))</f>
        <v>8 869 5860157</v>
      </c>
    </row>
    <row r="151" customFormat="false" ht="15" hidden="false" customHeight="false" outlineLevel="0" collapsed="false">
      <c r="A151" s="21" t="n">
        <f aca="false">IF(ROWS(A$5:A151)&lt;=MAX(Реестр!$W$2:$W$401),ROWS(A$5:A151),"")</f>
        <v>147</v>
      </c>
      <c r="B151" s="24" t="str">
        <f aca="false">IF($A151="","",INDEX(Реестр!$B$2:$B$401,MATCH($A151,Реестр!$W$2:$W$401,0)))</f>
        <v>ООО «Квант Монтаж»</v>
      </c>
      <c r="C151" s="24" t="str">
        <f aca="false">IF($A151="","",INDEX(Реестр!$C$2:$C$401,MATCH($A151,Реестр!$W$2:$W$401,0)))</f>
        <v>7747676402</v>
      </c>
      <c r="D151" s="24" t="str">
        <f aca="false">IF($A151="","",INDEX(Реестр!$D$2:$D$401,MATCH($A151,Реестр!$W$2:$W$401,0)))</f>
        <v>1217719186750</v>
      </c>
      <c r="E151" s="24" t="str">
        <f aca="false">IF($A151="","",INDEX(Реестр!$E$2:$E$401,MATCH($A151,Реестр!$W$2:$W$401,0)))</f>
        <v>774701007</v>
      </c>
      <c r="F151" s="24" t="str">
        <f aca="false">IF($A151="","",INDEX(Реестр!$J$2:$J$401,MATCH($A151,Реестр!$W$2:$W$401,0)))</f>
        <v>г. Москва</v>
      </c>
      <c r="G151" s="24" t="str">
        <f aca="false">IF($A151="","",INDEX(Реестр!$F$2:$F$401,MATCH($A151,Реестр!$W$2:$W$401,0)))</f>
        <v>г. Москва, ул. Заводская, д. 111, оф. 225</v>
      </c>
      <c r="H151" s="24" t="str">
        <f aca="false">IF($A151="","",INDEX(Реестр!$G$2:$G$401,MATCH($A151,Реестр!$W$2:$W$401,0)))</f>
        <v>Павлова М. Н.</v>
      </c>
      <c r="I151" s="24" t="str">
        <f aca="false">IF($A151="","",INDEX(Реестр!$H$2:$H$401,MATCH($A151,Реестр!$W$2:$W$401,0)))</f>
        <v>zakaz@kvant-montazh.example</v>
      </c>
      <c r="J151" s="24" t="str">
        <f aca="false">IF($A151="","",INDEX(Реестр!$I$2:$I$401,MATCH($A151,Реестр!$W$2:$W$401,0)))</f>
        <v>+74955838428</v>
      </c>
    </row>
    <row r="152" customFormat="false" ht="15" hidden="false" customHeight="false" outlineLevel="0" collapsed="false">
      <c r="A152" s="21" t="n">
        <f aca="false">IF(ROWS(A$5:A152)&lt;=MAX(Реестр!$W$2:$W$401),ROWS(A$5:A152),"")</f>
        <v>148</v>
      </c>
      <c r="B152" s="24" t="str">
        <f aca="false">IF($A152="","",INDEX(Реестр!$B$2:$B$401,MATCH($A152,Реестр!$W$2:$W$401,0)))</f>
        <v>ООО «Меридиан Принт»</v>
      </c>
      <c r="C152" s="24" t="str">
        <f aca="false">IF($A152="","",INDEX(Реестр!$C$2:$C$401,MATCH($A152,Реестр!$W$2:$W$401,0)))</f>
        <v>7443893821</v>
      </c>
      <c r="D152" s="24" t="str">
        <f aca="false">IF($A152="","",INDEX(Реестр!$D$2:$D$401,MATCH($A152,Реестр!$W$2:$W$401,0)))</f>
        <v>1027447827417</v>
      </c>
      <c r="E152" s="24" t="str">
        <f aca="false">IF($A152="","",INDEX(Реестр!$E$2:$E$401,MATCH($A152,Реестр!$W$2:$W$401,0)))</f>
        <v>744345006</v>
      </c>
      <c r="F152" s="24" t="str">
        <f aca="false">IF($A152="","",INDEX(Реестр!$J$2:$J$401,MATCH($A152,Реестр!$W$2:$W$401,0)))</f>
        <v>Челябинская область</v>
      </c>
      <c r="G152" s="24" t="str">
        <f aca="false">IF($A152="","",INDEX(Реестр!$F$2:$F$401,MATCH($A152,Реестр!$W$2:$W$401,0)))</f>
        <v>г. Челябинск, ул. Кирова, д. 65, оф. 254</v>
      </c>
      <c r="H152" s="24" t="str">
        <f aca="false">IF($A152="","",INDEX(Реестр!$G$2:$G$401,MATCH($A152,Реестр!$W$2:$W$401,0)))</f>
        <v>Соколова Д. О.</v>
      </c>
      <c r="I152" s="24" t="str">
        <f aca="false">IF($A152="","",INDEX(Реестр!$H$2:$H$401,MATCH($A152,Реестр!$W$2:$W$401,0)))</f>
        <v>sales@meridian-print.example</v>
      </c>
      <c r="J152" s="24" t="str">
        <f aca="false">IF($A152="","",INDEX(Реестр!$I$2:$I$401,MATCH($A152,Реестр!$W$2:$W$401,0)))</f>
        <v>+73515382483</v>
      </c>
    </row>
    <row r="153" customFormat="false" ht="15" hidden="false" customHeight="false" outlineLevel="0" collapsed="false">
      <c r="A153" s="21" t="n">
        <f aca="false">IF(ROWS(A$5:A153)&lt;=MAX(Реестр!$W$2:$W$401),ROWS(A$5:A153),"")</f>
        <v>149</v>
      </c>
      <c r="B153" s="24" t="str">
        <f aca="false">IF($A153="","",INDEX(Реестр!$B$2:$B$401,MATCH($A153,Реестр!$W$2:$W$401,0)))</f>
        <v>ООО «Тандем Принт»</v>
      </c>
      <c r="C153" s="24" t="str">
        <f aca="false">IF($A153="","",INDEX(Реестр!$C$2:$C$401,MATCH($A153,Реестр!$W$2:$W$401,0)))</f>
        <v>9130829998</v>
      </c>
      <c r="D153" s="24" t="str">
        <f aca="false">IF($A153="","",INDEX(Реестр!$D$2:$D$401,MATCH($A153,Реестр!$W$2:$W$401,0)))</f>
        <v>1109149046016</v>
      </c>
      <c r="E153" s="24" t="str">
        <f aca="false">IF($A153="","",INDEX(Реестр!$E$2:$E$401,MATCH($A153,Реестр!$W$2:$W$401,0)))</f>
        <v>913001007</v>
      </c>
      <c r="F153" s="24" t="str">
        <f aca="false">IF($A153="","",INDEX(Реестр!$J$2:$J$401,MATCH($A153,Реестр!$W$2:$W$401,0)))</f>
        <v>Республика Крым</v>
      </c>
      <c r="G153" s="24" t="str">
        <f aca="false">IF($A153="","",INDEX(Реестр!$F$2:$F$401,MATCH($A153,Реестр!$W$2:$W$401,0)))</f>
        <v>г. Симферополь, ул. Кирова, д. 91, оф. 134</v>
      </c>
      <c r="H153" s="24" t="str">
        <f aca="false">IF($A153="","",INDEX(Реестр!$G$2:$G$401,MATCH($A153,Реестр!$W$2:$W$401,0)))</f>
        <v>Васильев С. Е.</v>
      </c>
      <c r="I153" s="24" t="str">
        <f aca="false">IF($A153="","",INDEX(Реестр!$H$2:$H$401,MATCH($A153,Реестр!$W$2:$W$401,0)))</f>
        <v>mail@tandem-print.example</v>
      </c>
      <c r="J153" s="24" t="str">
        <f aca="false">IF($A153="","",INDEX(Реестр!$I$2:$I$401,MATCH($A153,Реестр!$W$2:$W$401,0)))</f>
        <v>+7 (365) 577-52-48</v>
      </c>
    </row>
    <row r="154" customFormat="false" ht="15" hidden="false" customHeight="false" outlineLevel="0" collapsed="false">
      <c r="A154" s="21" t="n">
        <f aca="false">IF(ROWS(A$5:A154)&lt;=MAX(Реестр!$W$2:$W$401),ROWS(A$5:A154),"")</f>
        <v>150</v>
      </c>
      <c r="B154" s="24" t="str">
        <f aca="false">IF($A154="","",INDEX(Реестр!$B$2:$B$401,MATCH($A154,Реестр!$W$2:$W$401,0)))</f>
        <v>ООО «Линия Консалт»</v>
      </c>
      <c r="C154" s="24" t="str">
        <f aca="false">IF($A154="","",INDEX(Реестр!$C$2:$C$401,MATCH($A154,Реестр!$W$2:$W$401,0)))</f>
        <v>9214071326</v>
      </c>
      <c r="D154" s="24" t="str">
        <f aca="false">IF($A154="","",INDEX(Реестр!$D$2:$D$401,MATCH($A154,Реестр!$W$2:$W$401,0)))</f>
        <v>1089202948988</v>
      </c>
      <c r="E154" s="24" t="str">
        <f aca="false">IF($A154="","",INDEX(Реестр!$E$2:$E$401,MATCH($A154,Реестр!$W$2:$W$401,0)))</f>
        <v>921401003</v>
      </c>
      <c r="F154" s="24" t="str">
        <f aca="false">IF($A154="","",INDEX(Реестр!$J$2:$J$401,MATCH($A154,Реестр!$W$2:$W$401,0)))</f>
        <v>г. Севастополь</v>
      </c>
      <c r="G154" s="24" t="str">
        <f aca="false">IF($A154="","",INDEX(Реестр!$F$2:$F$401,MATCH($A154,Реестр!$W$2:$W$401,0)))</f>
        <v>г. Севастополь, ул. Набережная, д. 27, оф. 91</v>
      </c>
      <c r="H154" s="24" t="str">
        <f aca="false">IF($A154="","",INDEX(Реестр!$G$2:$G$401,MATCH($A154,Реестр!$W$2:$W$401,0)))</f>
        <v>Иванов М. Т.</v>
      </c>
      <c r="I154" s="24" t="str">
        <f aca="false">IF($A154="","",INDEX(Реестр!$H$2:$H$401,MATCH($A154,Реестр!$W$2:$W$401,0)))</f>
        <v>zakaz@liniya-konsalt.example</v>
      </c>
      <c r="J154" s="24" t="str">
        <f aca="false">IF($A154="","",INDEX(Реестр!$I$2:$I$401,MATCH($A154,Реестр!$W$2:$W$401,0)))</f>
        <v>8 869 5736782</v>
      </c>
    </row>
    <row r="155" customFormat="false" ht="15" hidden="false" customHeight="false" outlineLevel="0" collapsed="false">
      <c r="A155" s="21" t="n">
        <f aca="false">IF(ROWS(A$5:A155)&lt;=MAX(Реестр!$W$2:$W$401),ROWS(A$5:A155),"")</f>
        <v>151</v>
      </c>
      <c r="B155" s="24" t="str">
        <f aca="false">IF($A155="","",INDEX(Реестр!$B$2:$B$401,MATCH($A155,Реестр!$W$2:$W$401,0)))</f>
        <v>АО «Вектор Консалт»</v>
      </c>
      <c r="C155" s="24" t="str">
        <f aca="false">IF($A155="","",INDEX(Реестр!$C$2:$C$401,MATCH($A155,Реестр!$W$2:$W$401,0)))</f>
        <v>7439915871</v>
      </c>
      <c r="D155" s="24" t="str">
        <f aca="false">IF($A155="","",INDEX(Реестр!$D$2:$D$401,MATCH($A155,Реестр!$W$2:$W$401,0)))</f>
        <v>1057409279707</v>
      </c>
      <c r="E155" s="24" t="str">
        <f aca="false">IF($A155="","",INDEX(Реестр!$E$2:$E$401,MATCH($A155,Реестр!$W$2:$W$401,0)))</f>
        <v>743901003</v>
      </c>
      <c r="F155" s="24" t="str">
        <f aca="false">IF($A155="","",INDEX(Реестр!$J$2:$J$401,MATCH($A155,Реестр!$W$2:$W$401,0)))</f>
        <v>Челябинская область</v>
      </c>
      <c r="G155" s="24" t="str">
        <f aca="false">IF($A155="","",INDEX(Реестр!$F$2:$F$401,MATCH($A155,Реестр!$W$2:$W$401,0)))</f>
        <v>г. Челябинск, ул. Мира, д. 63, оф. 20</v>
      </c>
      <c r="H155" s="24" t="str">
        <f aca="false">IF($A155="","",INDEX(Реестр!$G$2:$G$401,MATCH($A155,Реестр!$W$2:$W$401,0)))</f>
        <v>Николаева И. Н.</v>
      </c>
      <c r="I155" s="24" t="str">
        <f aca="false">IF($A155="","",INDEX(Реестр!$H$2:$H$401,MATCH($A155,Реестр!$W$2:$W$401,0)))</f>
        <v>zakaz@vektor-konsalt.example</v>
      </c>
      <c r="J155" s="24" t="str">
        <f aca="false">IF($A155="","",INDEX(Реестр!$I$2:$I$401,MATCH($A155,Реестр!$W$2:$W$401,0)))</f>
        <v>+73515319897</v>
      </c>
    </row>
    <row r="156" customFormat="false" ht="15" hidden="false" customHeight="false" outlineLevel="0" collapsed="false">
      <c r="A156" s="21" t="n">
        <f aca="false">IF(ROWS(A$5:A156)&lt;=MAX(Реестр!$W$2:$W$401),ROWS(A$5:A156),"")</f>
        <v>152</v>
      </c>
      <c r="B156" s="24" t="str">
        <f aca="false">IF($A156="","",INDEX(Реестр!$B$2:$B$401,MATCH($A156,Реестр!$W$2:$W$401,0)))</f>
        <v>ООО «Квант Логистик»</v>
      </c>
      <c r="C156" s="24" t="str">
        <f aca="false">IF($A156="","",INDEX(Реестр!$C$2:$C$401,MATCH($A156,Реестр!$W$2:$W$401,0)))</f>
        <v>2308144746</v>
      </c>
      <c r="D156" s="24" t="str">
        <f aca="false">IF($A156="","",INDEX(Реестр!$D$2:$D$401,MATCH($A156,Реестр!$W$2:$W$401,0)))</f>
        <v>5232342047560</v>
      </c>
      <c r="E156" s="24" t="str">
        <f aca="false">IF($A156="","",INDEX(Реестр!$E$2:$E$401,MATCH($A156,Реестр!$W$2:$W$401,0)))</f>
        <v>230801003</v>
      </c>
      <c r="F156" s="24" t="str">
        <f aca="false">IF($A156="","",INDEX(Реестр!$J$2:$J$401,MATCH($A156,Реестр!$W$2:$W$401,0)))</f>
        <v>Краснодарский край</v>
      </c>
      <c r="G156" s="24" t="str">
        <f aca="false">IF($A156="","",INDEX(Реестр!$F$2:$F$401,MATCH($A156,Реестр!$W$2:$W$401,0)))</f>
        <v>г. Краснодар, ул. Парковая, д. 87, оф. 218</v>
      </c>
      <c r="H156" s="24" t="str">
        <f aca="false">IF($A156="","",INDEX(Реестр!$G$2:$G$401,MATCH($A156,Реестр!$W$2:$W$401,0)))</f>
        <v>Кузнецова В. И.</v>
      </c>
      <c r="I156" s="24" t="str">
        <f aca="false">IF($A156="","",INDEX(Реестр!$H$2:$H$401,MATCH($A156,Реестр!$W$2:$W$401,0)))</f>
        <v>info@kvant-logistik.example</v>
      </c>
      <c r="J156" s="24" t="str">
        <f aca="false">IF($A156="","",INDEX(Реестр!$I$2:$I$401,MATCH($A156,Реестр!$W$2:$W$401,0)))</f>
        <v>8 861 5320404</v>
      </c>
    </row>
    <row r="157" customFormat="false" ht="15" hidden="false" customHeight="false" outlineLevel="0" collapsed="false">
      <c r="A157" s="21" t="n">
        <f aca="false">IF(ROWS(A$5:A157)&lt;=MAX(Реестр!$W$2:$W$401),ROWS(A$5:A157),"")</f>
        <v>153</v>
      </c>
      <c r="B157" s="24" t="str">
        <f aca="false">IF($A157="","",INDEX(Реестр!$B$2:$B$401,MATCH($A157,Реестр!$W$2:$W$401,0)))</f>
        <v>ООО «Горизонт Принт»</v>
      </c>
      <c r="C157" s="24" t="str">
        <f aca="false">IF($A157="","",INDEX(Реестр!$C$2:$C$401,MATCH($A157,Реестр!$W$2:$W$401,0)))</f>
        <v>6630752829</v>
      </c>
      <c r="D157" s="24" t="str">
        <f aca="false">IF($A157="","",INDEX(Реестр!$D$2:$D$401,MATCH($A157,Реестр!$W$2:$W$401,0)))</f>
        <v>5176618397093</v>
      </c>
      <c r="E157" s="24" t="str">
        <f aca="false">IF($A157="","",INDEX(Реестр!$E$2:$E$401,MATCH($A157,Реестр!$W$2:$W$401,0)))</f>
        <v>663001008</v>
      </c>
      <c r="F157" s="24" t="str">
        <f aca="false">IF($A157="","",INDEX(Реестр!$J$2:$J$401,MATCH($A157,Реестр!$W$2:$W$401,0)))</f>
        <v>Свердловская область</v>
      </c>
      <c r="G157" s="24" t="str">
        <f aca="false">IF($A157="","",INDEX(Реестр!$F$2:$F$401,MATCH($A157,Реестр!$W$2:$W$401,0)))</f>
        <v>г. Екатеринбург, ул. Набережная, д. 115, оф. 221</v>
      </c>
      <c r="H157" s="24" t="str">
        <f aca="false">IF($A157="","",INDEX(Реестр!$G$2:$G$401,MATCH($A157,Реестр!$W$2:$W$401,0)))</f>
        <v>Морозова И. Е.</v>
      </c>
      <c r="I157" s="24" t="str">
        <f aca="false">IF($A157="","",INDEX(Реестр!$H$2:$H$401,MATCH($A157,Реестр!$W$2:$W$401,0)))</f>
        <v>info@gorizont-print.example</v>
      </c>
      <c r="J157" s="24" t="str">
        <f aca="false">IF($A157="","",INDEX(Реестр!$I$2:$I$401,MATCH($A157,Реестр!$W$2:$W$401,0)))</f>
        <v>+7 (343) 582-84-42</v>
      </c>
    </row>
    <row r="158" customFormat="false" ht="15" hidden="false" customHeight="false" outlineLevel="0" collapsed="false">
      <c r="A158" s="21" t="n">
        <f aca="false">IF(ROWS(A$5:A158)&lt;=MAX(Реестр!$W$2:$W$401),ROWS(A$5:A158),"")</f>
        <v>154</v>
      </c>
      <c r="B158" s="24" t="str">
        <f aca="false">IF($A158="","",INDEX(Реестр!$B$2:$B$401,MATCH($A158,Реестр!$W$2:$W$401,0)))</f>
        <v>АО «Феникс Агро»</v>
      </c>
      <c r="C158" s="24" t="str">
        <f aca="false">IF($A158="","",INDEX(Реестр!$C$2:$C$401,MATCH($A158,Реестр!$W$2:$W$401,0)))</f>
        <v>1641666080</v>
      </c>
      <c r="D158" s="24" t="str">
        <f aca="false">IF($A158="","",INDEX(Реестр!$D$2:$D$401,MATCH($A158,Реестр!$W$2:$W$401,0)))</f>
        <v>5041624059109</v>
      </c>
      <c r="E158" s="24" t="str">
        <f aca="false">IF($A158="","",INDEX(Реестр!$E$2:$E$401,MATCH($A158,Реестр!$W$2:$W$401,0)))</f>
        <v>164145007</v>
      </c>
      <c r="F158" s="24" t="str">
        <f aca="false">IF($A158="","",INDEX(Реестр!$J$2:$J$401,MATCH($A158,Реестр!$W$2:$W$401,0)))</f>
        <v>Республика Татарстан</v>
      </c>
      <c r="G158" s="24" t="str">
        <f aca="false">IF($A158="","",INDEX(Реестр!$F$2:$F$401,MATCH($A158,Реестр!$W$2:$W$401,0)))</f>
        <v>г. Казань, ул. Мира, д. 57, оф. 70</v>
      </c>
      <c r="H158" s="24" t="str">
        <f aca="false">IF($A158="","",INDEX(Реестр!$G$2:$G$401,MATCH($A158,Реестр!$W$2:$W$401,0)))</f>
        <v>Васильева М. И.</v>
      </c>
      <c r="I158" s="24" t="str">
        <f aca="false">IF($A158="","",INDEX(Реестр!$H$2:$H$401,MATCH($A158,Реестр!$W$2:$W$401,0)))</f>
        <v>info@feniks-agro.example</v>
      </c>
      <c r="J158" s="24" t="str">
        <f aca="false">IF($A158="","",INDEX(Реестр!$I$2:$I$401,MATCH($A158,Реестр!$W$2:$W$401,0)))</f>
        <v>+78435847591</v>
      </c>
    </row>
    <row r="159" customFormat="false" ht="15" hidden="false" customHeight="false" outlineLevel="0" collapsed="false">
      <c r="A159" s="21" t="n">
        <f aca="false">IF(ROWS(A$5:A159)&lt;=MAX(Реестр!$W$2:$W$401),ROWS(A$5:A159),"")</f>
        <v>155</v>
      </c>
      <c r="B159" s="24" t="str">
        <f aca="false">IF($A159="","",INDEX(Реестр!$B$2:$B$401,MATCH($A159,Реестр!$W$2:$W$401,0)))</f>
        <v>ООО «Феникс Энерго»</v>
      </c>
      <c r="C159" s="24" t="str">
        <f aca="false">IF($A159="","",INDEX(Реестр!$C$2:$C$401,MATCH($A159,Реестр!$W$2:$W$401,0)))</f>
        <v>0244875198</v>
      </c>
      <c r="D159" s="24" t="str">
        <f aca="false">IF($A159="","",INDEX(Реестр!$D$2:$D$401,MATCH($A159,Реестр!$W$2:$W$401,0)))</f>
        <v>1180222514218</v>
      </c>
      <c r="E159" s="24" t="str">
        <f aca="false">IF($A159="","",INDEX(Реестр!$E$2:$E$401,MATCH($A159,Реестр!$W$2:$W$401,0)))</f>
        <v>024401006</v>
      </c>
      <c r="F159" s="24" t="str">
        <f aca="false">IF($A159="","",INDEX(Реестр!$J$2:$J$401,MATCH($A159,Реестр!$W$2:$W$401,0)))</f>
        <v>Республика Башкортостан</v>
      </c>
      <c r="G159" s="24" t="str">
        <f aca="false">IF($A159="","",INDEX(Реестр!$F$2:$F$401,MATCH($A159,Реестр!$W$2:$W$401,0)))</f>
        <v>г. Уфа, ул. Кирова, д. 64, оф. 16</v>
      </c>
      <c r="H159" s="24" t="str">
        <f aca="false">IF($A159="","",INDEX(Реестр!$G$2:$G$401,MATCH($A159,Реестр!$W$2:$W$401,0)))</f>
        <v>Фёдоров С. Д.</v>
      </c>
      <c r="I159" s="24" t="str">
        <f aca="false">IF($A159="","",INDEX(Реестр!$H$2:$H$401,MATCH($A159,Реестр!$W$2:$W$401,0)))</f>
        <v>office@feniks-energo.example</v>
      </c>
      <c r="J159" s="24" t="str">
        <f aca="false">IF($A159="","",INDEX(Реестр!$I$2:$I$401,MATCH($A159,Реестр!$W$2:$W$401,0)))</f>
        <v>+73475677564</v>
      </c>
    </row>
    <row r="160" customFormat="false" ht="15" hidden="false" customHeight="false" outlineLevel="0" collapsed="false">
      <c r="A160" s="21" t="n">
        <f aca="false">IF(ROWS(A$5:A160)&lt;=MAX(Реестр!$W$2:$W$401),ROWS(A$5:A160),"")</f>
        <v>156</v>
      </c>
      <c r="B160" s="24" t="str">
        <f aca="false">IF($A160="","",INDEX(Реестр!$B$2:$B$401,MATCH($A160,Реестр!$W$2:$W$401,0)))</f>
        <v>АО «Меридиан Фуд»</v>
      </c>
      <c r="C160" s="24" t="str">
        <f aca="false">IF($A160="","",INDEX(Реестр!$C$2:$C$401,MATCH($A160,Реестр!$W$2:$W$401,0)))</f>
        <v>5424502941</v>
      </c>
      <c r="D160" s="24" t="str">
        <f aca="false">IF($A160="","",INDEX(Реестр!$D$2:$D$401,MATCH($A160,Реестр!$W$2:$W$401,0)))</f>
        <v>5195419503065</v>
      </c>
      <c r="E160" s="24" t="str">
        <f aca="false">IF($A160="","",INDEX(Реестр!$E$2:$E$401,MATCH($A160,Реестр!$W$2:$W$401,0)))</f>
        <v>542401001</v>
      </c>
      <c r="F160" s="24" t="str">
        <f aca="false">IF($A160="","",INDEX(Реестр!$J$2:$J$401,MATCH($A160,Реестр!$W$2:$W$401,0)))</f>
        <v>Новосибирская область</v>
      </c>
      <c r="G160" s="24" t="str">
        <f aca="false">IF($A160="","",INDEX(Реестр!$F$2:$F$401,MATCH($A160,Реестр!$W$2:$W$401,0)))</f>
        <v>г. Новосибирск, ул. Советская, д. 104, оф. 169</v>
      </c>
      <c r="H160" s="24" t="str">
        <f aca="false">IF($A160="","",INDEX(Реестр!$G$2:$G$401,MATCH($A160,Реестр!$W$2:$W$401,0)))</f>
        <v>Михайлов С. С.</v>
      </c>
      <c r="I160" s="24" t="str">
        <f aca="false">IF($A160="","",INDEX(Реестр!$H$2:$H$401,MATCH($A160,Реестр!$W$2:$W$401,0)))</f>
        <v>mail@meridian-fud.example</v>
      </c>
      <c r="J160" s="24" t="str">
        <f aca="false">IF($A160="","",INDEX(Реестр!$I$2:$I$401,MATCH($A160,Реестр!$W$2:$W$401,0)))</f>
        <v>+73835138019</v>
      </c>
    </row>
    <row r="161" customFormat="false" ht="15" hidden="false" customHeight="false" outlineLevel="0" collapsed="false">
      <c r="A161" s="21" t="n">
        <f aca="false">IF(ROWS(A$5:A161)&lt;=MAX(Реестр!$W$2:$W$401),ROWS(A$5:A161),"")</f>
        <v>157</v>
      </c>
      <c r="B161" s="24" t="str">
        <f aca="false">IF($A161="","",INDEX(Реестр!$B$2:$B$401,MATCH($A161,Реестр!$W$2:$W$401,0)))</f>
        <v>ООО «Квант Технологии»</v>
      </c>
      <c r="C161" s="24" t="str">
        <f aca="false">IF($A161="","",INDEX(Реестр!$C$2:$C$401,MATCH($A161,Реестр!$W$2:$W$401,0)))</f>
        <v>9117654114</v>
      </c>
      <c r="D161" s="24" t="str">
        <f aca="false">IF($A161="","",INDEX(Реестр!$D$2:$D$401,MATCH($A161,Реестр!$W$2:$W$401,0)))</f>
        <v>5139116130600</v>
      </c>
      <c r="E161" s="24" t="str">
        <f aca="false">IF($A161="","",INDEX(Реестр!$E$2:$E$401,MATCH($A161,Реестр!$W$2:$W$401,0)))</f>
        <v>911701001</v>
      </c>
      <c r="F161" s="24" t="str">
        <f aca="false">IF($A161="","",INDEX(Реестр!$J$2:$J$401,MATCH($A161,Реестр!$W$2:$W$401,0)))</f>
        <v>Республика Крым</v>
      </c>
      <c r="G161" s="24" t="str">
        <f aca="false">IF($A161="","",INDEX(Реестр!$F$2:$F$401,MATCH($A161,Реестр!$W$2:$W$401,0)))</f>
        <v>г. Симферополь, ул. Набережная, д. 115, оф. 297</v>
      </c>
      <c r="H161" s="24" t="str">
        <f aca="false">IF($A161="","",INDEX(Реестр!$G$2:$G$401,MATCH($A161,Реестр!$W$2:$W$401,0)))</f>
        <v>Волкова Е. Д.</v>
      </c>
      <c r="I161" s="24" t="str">
        <f aca="false">IF($A161="","",INDEX(Реестр!$H$2:$H$401,MATCH($A161,Реестр!$W$2:$W$401,0)))</f>
        <v>sales@kvant-tekhnologii.example</v>
      </c>
      <c r="J161" s="24" t="str">
        <f aca="false">IF($A161="","",INDEX(Реестр!$I$2:$I$401,MATCH($A161,Реестр!$W$2:$W$401,0)))</f>
        <v>+7 (365) 555-20-29</v>
      </c>
    </row>
    <row r="162" customFormat="false" ht="15" hidden="false" customHeight="false" outlineLevel="0" collapsed="false">
      <c r="A162" s="21" t="n">
        <f aca="false">IF(ROWS(A$5:A162)&lt;=MAX(Реестр!$W$2:$W$401),ROWS(A$5:A162),"")</f>
        <v>158</v>
      </c>
      <c r="B162" s="24" t="str">
        <f aca="false">IF($A162="","",INDEX(Реестр!$B$2:$B$401,MATCH($A162,Реестр!$W$2:$W$401,0)))</f>
        <v>ООО «Прогресс Строй»</v>
      </c>
      <c r="C162" s="24" t="str">
        <f aca="false">IF($A162="","",INDEX(Реестр!$C$2:$C$401,MATCH($A162,Реестр!$W$2:$W$401,0)))</f>
        <v>1642742135</v>
      </c>
      <c r="D162" s="24" t="str">
        <f aca="false">IF($A162="","",INDEX(Реестр!$D$2:$D$401,MATCH($A162,Реестр!$W$2:$W$401,0)))</f>
        <v>1081635538984</v>
      </c>
      <c r="E162" s="24" t="str">
        <f aca="false">IF($A162="","",INDEX(Реестр!$E$2:$E$401,MATCH($A162,Реестр!$W$2:$W$401,0)))</f>
        <v>164245005</v>
      </c>
      <c r="F162" s="24" t="str">
        <f aca="false">IF($A162="","",INDEX(Реестр!$J$2:$J$401,MATCH($A162,Реестр!$W$2:$W$401,0)))</f>
        <v>Республика Татарстан</v>
      </c>
      <c r="G162" s="24" t="str">
        <f aca="false">IF($A162="","",INDEX(Реестр!$F$2:$F$401,MATCH($A162,Реестр!$W$2:$W$401,0)))</f>
        <v>г. Казань, ул. Мира, д. 25, оф. 148</v>
      </c>
      <c r="H162" s="24" t="str">
        <f aca="false">IF($A162="","",INDEX(Реестр!$G$2:$G$401,MATCH($A162,Реестр!$W$2:$W$401,0)))</f>
        <v>Лебедева Т. О.</v>
      </c>
      <c r="I162" s="24" t="str">
        <f aca="false">IF($A162="","",INDEX(Реестр!$H$2:$H$401,MATCH($A162,Реестр!$W$2:$W$401,0)))</f>
        <v>info@progress-stroy.example</v>
      </c>
      <c r="J162" s="24" t="str">
        <f aca="false">IF($A162="","",INDEX(Реестр!$I$2:$I$401,MATCH($A162,Реестр!$W$2:$W$401,0)))</f>
        <v>+7 (843) 598-21-63</v>
      </c>
    </row>
    <row r="163" customFormat="false" ht="15" hidden="false" customHeight="false" outlineLevel="0" collapsed="false">
      <c r="A163" s="21" t="n">
        <f aca="false">IF(ROWS(A$5:A163)&lt;=MAX(Реестр!$W$2:$W$401),ROWS(A$5:A163),"")</f>
        <v>159</v>
      </c>
      <c r="B163" s="24" t="str">
        <f aca="false">IF($A163="","",INDEX(Реестр!$B$2:$B$401,MATCH($A163,Реестр!$W$2:$W$401,0)))</f>
        <v>ООО «Навигатор Фуд»</v>
      </c>
      <c r="C163" s="24" t="str">
        <f aca="false">IF($A163="","",INDEX(Реестр!$C$2:$C$401,MATCH($A163,Реестр!$W$2:$W$401,0)))</f>
        <v>9136316030</v>
      </c>
      <c r="D163" s="24" t="str">
        <f aca="false">IF($A163="","",INDEX(Реестр!$D$2:$D$401,MATCH($A163,Реестр!$W$2:$W$401,0)))</f>
        <v>5109101813882</v>
      </c>
      <c r="E163" s="24" t="str">
        <f aca="false">IF($A163="","",INDEX(Реестр!$E$2:$E$401,MATCH($A163,Реестр!$W$2:$W$401,0)))</f>
        <v>913601001</v>
      </c>
      <c r="F163" s="24" t="str">
        <f aca="false">IF($A163="","",INDEX(Реестр!$J$2:$J$401,MATCH($A163,Реестр!$W$2:$W$401,0)))</f>
        <v>Республика Крым</v>
      </c>
      <c r="G163" s="24" t="str">
        <f aca="false">IF($A163="","",INDEX(Реестр!$F$2:$F$401,MATCH($A163,Реестр!$W$2:$W$401,0)))</f>
        <v>г. Симферополь, ул. Советская, д. 42, оф. 294</v>
      </c>
      <c r="H163" s="24" t="str">
        <f aca="false">IF($A163="","",INDEX(Реестр!$G$2:$G$401,MATCH($A163,Реестр!$W$2:$W$401,0)))</f>
        <v>Смирнова С. Т.</v>
      </c>
      <c r="I163" s="24" t="str">
        <f aca="false">IF($A163="","",INDEX(Реестр!$H$2:$H$401,MATCH($A163,Реестр!$W$2:$W$401,0)))</f>
        <v>office@navigator-fud.example</v>
      </c>
      <c r="J163" s="24" t="str">
        <f aca="false">IF($A163="","",INDEX(Реестр!$I$2:$I$401,MATCH($A163,Реестр!$W$2:$W$401,0)))</f>
        <v>8 365 5982203</v>
      </c>
    </row>
    <row r="164" customFormat="false" ht="15" hidden="false" customHeight="false" outlineLevel="0" collapsed="false">
      <c r="A164" s="21" t="n">
        <f aca="false">IF(ROWS(A$5:A164)&lt;=MAX(Реестр!$W$2:$W$401),ROWS(A$5:A164),"")</f>
        <v>160</v>
      </c>
      <c r="B164" s="24" t="str">
        <f aca="false">IF($A164="","",INDEX(Реестр!$B$2:$B$401,MATCH($A164,Реестр!$W$2:$W$401,0)))</f>
        <v>ООО «Гранит Софт»</v>
      </c>
      <c r="C164" s="24" t="str">
        <f aca="false">IF($A164="","",INDEX(Реестр!$C$2:$C$401,MATCH($A164,Реестр!$W$2:$W$401,0)))</f>
        <v>2416467550</v>
      </c>
      <c r="D164" s="24" t="str">
        <f aca="false">IF($A164="","",INDEX(Реестр!$D$2:$D$401,MATCH($A164,Реестр!$W$2:$W$401,0)))</f>
        <v>5192436906184</v>
      </c>
      <c r="E164" s="24" t="str">
        <f aca="false">IF($A164="","",INDEX(Реестр!$E$2:$E$401,MATCH($A164,Реестр!$W$2:$W$401,0)))</f>
        <v>241601006</v>
      </c>
      <c r="F164" s="24" t="str">
        <f aca="false">IF($A164="","",INDEX(Реестр!$J$2:$J$401,MATCH($A164,Реестр!$W$2:$W$401,0)))</f>
        <v>Красноярский край</v>
      </c>
      <c r="G164" s="24" t="str">
        <f aca="false">IF($A164="","",INDEX(Реестр!$F$2:$F$401,MATCH($A164,Реестр!$W$2:$W$401,0)))</f>
        <v>г. Красноярск, ул. Мира, д. 83, оф. 18</v>
      </c>
      <c r="H164" s="24" t="str">
        <f aca="false">IF($A164="","",INDEX(Реестр!$G$2:$G$401,MATCH($A164,Реестр!$W$2:$W$401,0)))</f>
        <v>Морозова О. И.</v>
      </c>
      <c r="I164" s="24" t="str">
        <f aca="false">IF($A164="","",INDEX(Реестр!$H$2:$H$401,MATCH($A164,Реестр!$W$2:$W$401,0)))</f>
        <v>mail@granit-soft.example</v>
      </c>
      <c r="J164" s="24" t="str">
        <f aca="false">IF($A164="","",INDEX(Реестр!$I$2:$I$401,MATCH($A164,Реестр!$W$2:$W$401,0)))</f>
        <v>+73915179859</v>
      </c>
    </row>
    <row r="165" customFormat="false" ht="15" hidden="false" customHeight="false" outlineLevel="0" collapsed="false">
      <c r="A165" s="21" t="n">
        <f aca="false">IF(ROWS(A$5:A165)&lt;=MAX(Реестр!$W$2:$W$401),ROWS(A$5:A165),"")</f>
        <v>161</v>
      </c>
      <c r="B165" s="24" t="str">
        <f aca="false">IF($A165="","",INDEX(Реестр!$B$2:$B$401,MATCH($A165,Реестр!$W$2:$W$401,0)))</f>
        <v>ООО «Заря Строй»</v>
      </c>
      <c r="C165" s="24" t="str">
        <f aca="false">IF($A165="","",INDEX(Реестр!$C$2:$C$401,MATCH($A165,Реестр!$W$2:$W$401,0)))</f>
        <v>7720868234</v>
      </c>
      <c r="D165" s="24" t="str">
        <f aca="false">IF($A165="","",INDEX(Реестр!$D$2:$D$401,MATCH($A165,Реестр!$W$2:$W$401,0)))</f>
        <v>5047741285422</v>
      </c>
      <c r="E165" s="24" t="str">
        <f aca="false">IF($A165="","",INDEX(Реестр!$E$2:$E$401,MATCH($A165,Реестр!$W$2:$W$401,0)))</f>
        <v>772001006</v>
      </c>
      <c r="F165" s="24" t="str">
        <f aca="false">IF($A165="","",INDEX(Реестр!$J$2:$J$401,MATCH($A165,Реестр!$W$2:$W$401,0)))</f>
        <v>г. Москва</v>
      </c>
      <c r="G165" s="24" t="str">
        <f aca="false">IF($A165="","",INDEX(Реестр!$F$2:$F$401,MATCH($A165,Реестр!$W$2:$W$401,0)))</f>
        <v>г. Москва, ул. Школьная, д. 5, оф. 240</v>
      </c>
      <c r="H165" s="24" t="str">
        <f aca="false">IF($A165="","",INDEX(Реестр!$G$2:$G$401,MATCH($A165,Реестр!$W$2:$W$401,0)))</f>
        <v>Фёдоров Н. Д.</v>
      </c>
      <c r="I165" s="24" t="str">
        <f aca="false">IF($A165="","",INDEX(Реестр!$H$2:$H$401,MATCH($A165,Реестр!$W$2:$W$401,0)))</f>
        <v>mail@zarya-stroy.example</v>
      </c>
      <c r="J165" s="24" t="str">
        <f aca="false">IF($A165="","",INDEX(Реестр!$I$2:$I$401,MATCH($A165,Реестр!$W$2:$W$401,0)))</f>
        <v>8 495 5222618</v>
      </c>
    </row>
    <row r="166" customFormat="false" ht="15" hidden="false" customHeight="false" outlineLevel="0" collapsed="false">
      <c r="A166" s="21" t="n">
        <f aca="false">IF(ROWS(A$5:A166)&lt;=MAX(Реестр!$W$2:$W$401),ROWS(A$5:A166),"")</f>
        <v>162</v>
      </c>
      <c r="B166" s="24" t="str">
        <f aca="false">IF($A166="","",INDEX(Реестр!$B$2:$B$401,MATCH($A166,Реестр!$W$2:$W$401,0)))</f>
        <v>ООО «Атлант Строй»</v>
      </c>
      <c r="C166" s="24" t="str">
        <f aca="false">IF($A166="","",INDEX(Реестр!$C$2:$C$401,MATCH($A166,Реестр!$W$2:$W$401,0)))</f>
        <v>2305222523</v>
      </c>
      <c r="D166" s="24" t="str">
        <f aca="false">IF($A166="","",INDEX(Реестр!$D$2:$D$401,MATCH($A166,Реестр!$W$2:$W$401,0)))</f>
        <v>1072344137909</v>
      </c>
      <c r="E166" s="24" t="str">
        <f aca="false">IF($A166="","",INDEX(Реестр!$E$2:$E$401,MATCH($A166,Реестр!$W$2:$W$401,0)))</f>
        <v>230501005</v>
      </c>
      <c r="F166" s="24" t="str">
        <f aca="false">IF($A166="","",INDEX(Реестр!$J$2:$J$401,MATCH($A166,Реестр!$W$2:$W$401,0)))</f>
        <v>Краснодарский край</v>
      </c>
      <c r="G166" s="24" t="str">
        <f aca="false">IF($A166="","",INDEX(Реестр!$F$2:$F$401,MATCH($A166,Реестр!$W$2:$W$401,0)))</f>
        <v>г. Краснодар, ул. Кирова, д. 81, оф. 292</v>
      </c>
      <c r="H166" s="24" t="str">
        <f aca="false">IF($A166="","",INDEX(Реестр!$G$2:$G$401,MATCH($A166,Реестр!$W$2:$W$401,0)))</f>
        <v>Егоров Т. С.</v>
      </c>
      <c r="I166" s="24" t="str">
        <f aca="false">IF($A166="","",INDEX(Реестр!$H$2:$H$401,MATCH($A166,Реестр!$W$2:$W$401,0)))</f>
        <v>zakaz@atlant-stroy.example</v>
      </c>
      <c r="J166" s="24" t="str">
        <f aca="false">IF($A166="","",INDEX(Реестр!$I$2:$I$401,MATCH($A166,Реестр!$W$2:$W$401,0)))</f>
        <v>+7 (861) 589-89-84</v>
      </c>
    </row>
    <row r="167" customFormat="false" ht="15" hidden="false" customHeight="false" outlineLevel="0" collapsed="false">
      <c r="A167" s="21" t="n">
        <f aca="false">IF(ROWS(A$5:A167)&lt;=MAX(Реестр!$W$2:$W$401),ROWS(A$5:A167),"")</f>
        <v>163</v>
      </c>
      <c r="B167" s="24" t="str">
        <f aca="false">IF($A167="","",INDEX(Реестр!$B$2:$B$401,MATCH($A167,Реестр!$W$2:$W$401,0)))</f>
        <v>ООО «Заря Агро»</v>
      </c>
      <c r="C167" s="24" t="str">
        <f aca="false">IF($A167="","",INDEX(Реестр!$C$2:$C$401,MATCH($A167,Реестр!$W$2:$W$401,0)))</f>
        <v>5240578482</v>
      </c>
      <c r="D167" s="24" t="str">
        <f aca="false">IF($A167="","",INDEX(Реестр!$D$2:$D$401,MATCH($A167,Реестр!$W$2:$W$401,0)))</f>
        <v>1075207267134</v>
      </c>
      <c r="E167" s="24" t="str">
        <f aca="false">IF($A167="","",INDEX(Реестр!$E$2:$E$401,MATCH($A167,Реестр!$W$2:$W$401,0)))</f>
        <v>524045005</v>
      </c>
      <c r="F167" s="24" t="str">
        <f aca="false">IF($A167="","",INDEX(Реестр!$J$2:$J$401,MATCH($A167,Реестр!$W$2:$W$401,0)))</f>
        <v>Нижегородская область</v>
      </c>
      <c r="G167" s="24" t="str">
        <f aca="false">IF($A167="","",INDEX(Реестр!$F$2:$F$401,MATCH($A167,Реестр!$W$2:$W$401,0)))</f>
        <v>г. Нижний Новгород, ул. Школьная, д. 119, оф. 86</v>
      </c>
      <c r="H167" s="24" t="str">
        <f aca="false">IF($A167="","",INDEX(Реестр!$G$2:$G$401,MATCH($A167,Реестр!$W$2:$W$401,0)))</f>
        <v>Иванов И. Д.</v>
      </c>
      <c r="I167" s="24" t="str">
        <f aca="false">IF($A167="","",INDEX(Реестр!$H$2:$H$401,MATCH($A167,Реестр!$W$2:$W$401,0)))</f>
        <v>office@zarya-agro.example</v>
      </c>
      <c r="J167" s="24" t="str">
        <f aca="false">IF($A167="","",INDEX(Реестр!$I$2:$I$401,MATCH($A167,Реестр!$W$2:$W$401,0)))</f>
        <v>+7 (831) 560-53-44</v>
      </c>
    </row>
    <row r="168" customFormat="false" ht="15" hidden="false" customHeight="false" outlineLevel="0" collapsed="false">
      <c r="A168" s="21" t="n">
        <f aca="false">IF(ROWS(A$5:A168)&lt;=MAX(Реестр!$W$2:$W$401),ROWS(A$5:A168),"")</f>
        <v>164</v>
      </c>
      <c r="B168" s="24" t="str">
        <f aca="false">IF($A168="","",INDEX(Реестр!$B$2:$B$401,MATCH($A168,Реестр!$W$2:$W$401,0)))</f>
        <v>АО «Меридиан Агро»</v>
      </c>
      <c r="C168" s="24" t="str">
        <f aca="false">IF($A168="","",INDEX(Реестр!$C$2:$C$401,MATCH($A168,Реестр!$W$2:$W$401,0)))</f>
        <v>6317287353</v>
      </c>
      <c r="D168" s="24" t="str">
        <f aca="false">IF($A168="","",INDEX(Реестр!$D$2:$D$401,MATCH($A168,Реестр!$W$2:$W$401,0)))</f>
        <v>5146307889052</v>
      </c>
      <c r="E168" s="24" t="str">
        <f aca="false">IF($A168="","",INDEX(Реестр!$E$2:$E$401,MATCH($A168,Реестр!$W$2:$W$401,0)))</f>
        <v>631701001</v>
      </c>
      <c r="F168" s="24" t="str">
        <f aca="false">IF($A168="","",INDEX(Реестр!$J$2:$J$401,MATCH($A168,Реестр!$W$2:$W$401,0)))</f>
        <v>Самарская область</v>
      </c>
      <c r="G168" s="24" t="str">
        <f aca="false">IF($A168="","",INDEX(Реестр!$F$2:$F$401,MATCH($A168,Реестр!$W$2:$W$401,0)))</f>
        <v>г. Самара, ул. Гагарина, д. 109, оф. 197</v>
      </c>
      <c r="H168" s="24" t="str">
        <f aca="false">IF($A168="","",INDEX(Реестр!$G$2:$G$401,MATCH($A168,Реестр!$W$2:$W$401,0)))</f>
        <v>Волков Т. Д.</v>
      </c>
      <c r="I168" s="24" t="str">
        <f aca="false">IF($A168="","",INDEX(Реестр!$H$2:$H$401,MATCH($A168,Реестр!$W$2:$W$401,0)))</f>
        <v>office@meridian-agro.example</v>
      </c>
      <c r="J168" s="24" t="str">
        <f aca="false">IF($A168="","",INDEX(Реестр!$I$2:$I$401,MATCH($A168,Реестр!$W$2:$W$401,0)))</f>
        <v>+7 (846) 552-30-71</v>
      </c>
    </row>
    <row r="169" customFormat="false" ht="15" hidden="false" customHeight="false" outlineLevel="0" collapsed="false">
      <c r="A169" s="21" t="n">
        <f aca="false">IF(ROWS(A$5:A169)&lt;=MAX(Реестр!$W$2:$W$401),ROWS(A$5:A169),"")</f>
        <v>165</v>
      </c>
      <c r="B169" s="24" t="str">
        <f aca="false">IF($A169="","",INDEX(Реестр!$B$2:$B$401,MATCH($A169,Реестр!$W$2:$W$401,0)))</f>
        <v>ООО «Дельта Проект»</v>
      </c>
      <c r="C169" s="24" t="str">
        <f aca="false">IF($A169="","",INDEX(Реестр!$C$2:$C$401,MATCH($A169,Реестр!$W$2:$W$401,0)))</f>
        <v>7732727220</v>
      </c>
      <c r="D169" s="24" t="str">
        <f aca="false">IF($A169="","",INDEX(Реестр!$D$2:$D$401,MATCH($A169,Реестр!$W$2:$W$401,0)))</f>
        <v>1167724770223</v>
      </c>
      <c r="E169" s="24" t="str">
        <f aca="false">IF($A169="","",INDEX(Реестр!$E$2:$E$401,MATCH($A169,Реестр!$W$2:$W$401,0)))</f>
        <v>773201009</v>
      </c>
      <c r="F169" s="24" t="str">
        <f aca="false">IF($A169="","",INDEX(Реестр!$J$2:$J$401,MATCH($A169,Реестр!$W$2:$W$401,0)))</f>
        <v>г. Москва</v>
      </c>
      <c r="G169" s="24" t="str">
        <f aca="false">IF($A169="","",INDEX(Реестр!$F$2:$F$401,MATCH($A169,Реестр!$W$2:$W$401,0)))</f>
        <v>г. Москва, ул. Садовая, д. 7, оф. 228</v>
      </c>
      <c r="H169" s="24" t="str">
        <f aca="false">IF($A169="","",INDEX(Реестр!$G$2:$G$401,MATCH($A169,Реестр!$W$2:$W$401,0)))</f>
        <v>Семёнова О. Д.</v>
      </c>
      <c r="I169" s="24" t="str">
        <f aca="false">IF($A169="","",INDEX(Реестр!$H$2:$H$401,MATCH($A169,Реестр!$W$2:$W$401,0)))</f>
        <v>info@delta-proekt.example</v>
      </c>
      <c r="J169" s="24" t="str">
        <f aca="false">IF($A169="","",INDEX(Реестр!$I$2:$I$401,MATCH($A169,Реестр!$W$2:$W$401,0)))</f>
        <v>+74955786553</v>
      </c>
    </row>
    <row r="170" customFormat="false" ht="15" hidden="false" customHeight="false" outlineLevel="0" collapsed="false">
      <c r="A170" s="21" t="n">
        <f aca="false">IF(ROWS(A$5:A170)&lt;=MAX(Реестр!$W$2:$W$401),ROWS(A$5:A170),"")</f>
        <v>166</v>
      </c>
      <c r="B170" s="24" t="str">
        <f aca="false">IF($A170="","",INDEX(Реестр!$B$2:$B$401,MATCH($A170,Реестр!$W$2:$W$401,0)))</f>
        <v>ООО «Квант Стандарт»</v>
      </c>
      <c r="C170" s="24" t="str">
        <f aca="false">IF($A170="","",INDEX(Реестр!$C$2:$C$401,MATCH($A170,Реестр!$W$2:$W$401,0)))</f>
        <v>9242189471</v>
      </c>
      <c r="D170" s="24" t="str">
        <f aca="false">IF($A170="","",INDEX(Реестр!$D$2:$D$401,MATCH($A170,Реестр!$W$2:$W$401,0)))</f>
        <v>5049242079190</v>
      </c>
      <c r="E170" s="24" t="str">
        <f aca="false">IF($A170="","",INDEX(Реестр!$E$2:$E$401,MATCH($A170,Реестр!$W$2:$W$401,0)))</f>
        <v>924201008</v>
      </c>
      <c r="F170" s="24" t="str">
        <f aca="false">IF($A170="","",INDEX(Реестр!$J$2:$J$401,MATCH($A170,Реестр!$W$2:$W$401,0)))</f>
        <v>г. Севастополь</v>
      </c>
      <c r="G170" s="24" t="str">
        <f aca="false">IF($A170="","",INDEX(Реестр!$F$2:$F$401,MATCH($A170,Реестр!$W$2:$W$401,0)))</f>
        <v>г. Севастополь, ул. Гагарина, д. 70, оф. 32</v>
      </c>
      <c r="H170" s="24" t="str">
        <f aca="false">IF($A170="","",INDEX(Реестр!$G$2:$G$401,MATCH($A170,Реестр!$W$2:$W$401,0)))</f>
        <v>Степанова Д. М.</v>
      </c>
      <c r="I170" s="24" t="str">
        <f aca="false">IF($A170="","",INDEX(Реестр!$H$2:$H$401,MATCH($A170,Реестр!$W$2:$W$401,0)))</f>
        <v>mail@kvant-standart.example</v>
      </c>
      <c r="J170" s="24" t="str">
        <f aca="false">IF($A170="","",INDEX(Реестр!$I$2:$I$401,MATCH($A170,Реестр!$W$2:$W$401,0)))</f>
        <v>8 869 5488412</v>
      </c>
    </row>
    <row r="171" customFormat="false" ht="15" hidden="false" customHeight="false" outlineLevel="0" collapsed="false">
      <c r="A171" s="21" t="n">
        <f aca="false">IF(ROWS(A$5:A171)&lt;=MAX(Реестр!$W$2:$W$401),ROWS(A$5:A171),"")</f>
        <v>167</v>
      </c>
      <c r="B171" s="24" t="str">
        <f aca="false">IF($A171="","",INDEX(Реестр!$B$2:$B$401,MATCH($A171,Реестр!$W$2:$W$401,0)))</f>
        <v>ООО «Берег Сервис»</v>
      </c>
      <c r="C171" s="24" t="str">
        <f aca="false">IF($A171="","",INDEX(Реестр!$C$2:$C$401,MATCH($A171,Реестр!$W$2:$W$401,0)))</f>
        <v>5420626745</v>
      </c>
      <c r="D171" s="24" t="str">
        <f aca="false">IF($A171="","",INDEX(Реестр!$D$2:$D$401,MATCH($A171,Реестр!$W$2:$W$401,0)))</f>
        <v>1075401842361</v>
      </c>
      <c r="E171" s="24" t="str">
        <f aca="false">IF($A171="","",INDEX(Реестр!$E$2:$E$401,MATCH($A171,Реестр!$W$2:$W$401,0)))</f>
        <v>542001007</v>
      </c>
      <c r="F171" s="24" t="str">
        <f aca="false">IF($A171="","",INDEX(Реестр!$J$2:$J$401,MATCH($A171,Реестр!$W$2:$W$401,0)))</f>
        <v>Новосибирская область</v>
      </c>
      <c r="G171" s="24" t="str">
        <f aca="false">IF($A171="","",INDEX(Реестр!$F$2:$F$401,MATCH($A171,Реестр!$W$2:$W$401,0)))</f>
        <v>г. Новосибирск, ул. Советская, д. 101, оф. 256</v>
      </c>
      <c r="H171" s="24" t="str">
        <f aca="false">IF($A171="","",INDEX(Реестр!$G$2:$G$401,MATCH($A171,Реестр!$W$2:$W$401,0)))</f>
        <v>Николаев В. И.</v>
      </c>
      <c r="I171" s="24" t="str">
        <f aca="false">IF($A171="","",INDEX(Реестр!$H$2:$H$401,MATCH($A171,Реестр!$W$2:$W$401,0)))</f>
        <v>mail@bereg-servis.example</v>
      </c>
      <c r="J171" s="24" t="str">
        <f aca="false">IF($A171="","",INDEX(Реестр!$I$2:$I$401,MATCH($A171,Реестр!$W$2:$W$401,0)))</f>
        <v>8 383 5821962</v>
      </c>
    </row>
    <row r="172" customFormat="false" ht="15" hidden="false" customHeight="false" outlineLevel="0" collapsed="false">
      <c r="A172" s="21" t="n">
        <f aca="false">IF(ROWS(A$5:A172)&lt;=MAX(Реестр!$W$2:$W$401),ROWS(A$5:A172),"")</f>
        <v>168</v>
      </c>
      <c r="B172" s="24" t="str">
        <f aca="false">IF($A172="","",INDEX(Реестр!$B$2:$B$401,MATCH($A172,Реестр!$W$2:$W$401,0)))</f>
        <v>АО «Альфа Агро»</v>
      </c>
      <c r="C172" s="24" t="str">
        <f aca="false">IF($A172="","",INDEX(Реестр!$C$2:$C$401,MATCH($A172,Реестр!$W$2:$W$401,0)))</f>
        <v>5411381457</v>
      </c>
      <c r="D172" s="24" t="str">
        <f aca="false">IF($A172="","",INDEX(Реестр!$D$2:$D$401,MATCH($A172,Реестр!$W$2:$W$401,0)))</f>
        <v>1055434680883</v>
      </c>
      <c r="E172" s="24" t="str">
        <f aca="false">IF($A172="","",INDEX(Реестр!$E$2:$E$401,MATCH($A172,Реестр!$W$2:$W$401,0)))</f>
        <v>541143008</v>
      </c>
      <c r="F172" s="24" t="str">
        <f aca="false">IF($A172="","",INDEX(Реестр!$J$2:$J$401,MATCH($A172,Реестр!$W$2:$W$401,0)))</f>
        <v>Новосибирская область</v>
      </c>
      <c r="G172" s="24" t="str">
        <f aca="false">IF($A172="","",INDEX(Реестр!$F$2:$F$401,MATCH($A172,Реестр!$W$2:$W$401,0)))</f>
        <v>г. Новосибирск, ул. Мира, д. 73, оф. 8</v>
      </c>
      <c r="H172" s="24" t="str">
        <f aca="false">IF($A172="","",INDEX(Реестр!$G$2:$G$401,MATCH($A172,Реестр!$W$2:$W$401,0)))</f>
        <v>Алексеев М. О.</v>
      </c>
      <c r="I172" s="24" t="str">
        <f aca="false">IF($A172="","",INDEX(Реестр!$H$2:$H$401,MATCH($A172,Реестр!$W$2:$W$401,0)))</f>
        <v>info@alfa-agro.example</v>
      </c>
      <c r="J172" s="24" t="str">
        <f aca="false">IF($A172="","",INDEX(Реестр!$I$2:$I$401,MATCH($A172,Реестр!$W$2:$W$401,0)))</f>
        <v>+73835673949</v>
      </c>
    </row>
    <row r="173" customFormat="false" ht="15" hidden="false" customHeight="false" outlineLevel="0" collapsed="false">
      <c r="A173" s="21" t="n">
        <f aca="false">IF(ROWS(A$5:A173)&lt;=MAX(Реестр!$W$2:$W$401),ROWS(A$5:A173),"")</f>
        <v>169</v>
      </c>
      <c r="B173" s="24" t="str">
        <f aca="false">IF($A173="","",INDEX(Реестр!$B$2:$B$401,MATCH($A173,Реестр!$W$2:$W$401,0)))</f>
        <v>ООО «Гранит Монтаж»</v>
      </c>
      <c r="C173" s="24" t="str">
        <f aca="false">IF($A173="","",INDEX(Реестр!$C$2:$C$401,MATCH($A173,Реестр!$W$2:$W$401,0)))</f>
        <v>6112153856</v>
      </c>
      <c r="D173" s="24" t="str">
        <f aca="false">IF($A173="","",INDEX(Реестр!$D$2:$D$401,MATCH($A173,Реестр!$W$2:$W$401,0)))</f>
        <v>1146132966583</v>
      </c>
      <c r="E173" s="24" t="str">
        <f aca="false">IF($A173="","",INDEX(Реестр!$E$2:$E$401,MATCH($A173,Реестр!$W$2:$W$401,0)))</f>
        <v>611243006</v>
      </c>
      <c r="F173" s="24" t="str">
        <f aca="false">IF($A173="","",INDEX(Реестр!$J$2:$J$401,MATCH($A173,Реестр!$W$2:$W$401,0)))</f>
        <v>Ростовская область</v>
      </c>
      <c r="G173" s="24" t="str">
        <f aca="false">IF($A173="","",INDEX(Реестр!$F$2:$F$401,MATCH($A173,Реестр!$W$2:$W$401,0)))</f>
        <v>г. Ростов-на-Дону, ул. Мира, д. 16, оф. 273</v>
      </c>
      <c r="H173" s="24" t="str">
        <f aca="false">IF($A173="","",INDEX(Реестр!$G$2:$G$401,MATCH($A173,Реестр!$W$2:$W$401,0)))</f>
        <v>Смирнов С. Е.</v>
      </c>
      <c r="I173" s="24" t="str">
        <f aca="false">IF($A173="","",INDEX(Реестр!$H$2:$H$401,MATCH($A173,Реестр!$W$2:$W$401,0)))</f>
        <v>mail@granit-montazh.example</v>
      </c>
      <c r="J173" s="24" t="str">
        <f aca="false">IF($A173="","",INDEX(Реестр!$I$2:$I$401,MATCH($A173,Реестр!$W$2:$W$401,0)))</f>
        <v>8 863 5787604</v>
      </c>
    </row>
    <row r="174" customFormat="false" ht="15" hidden="false" customHeight="false" outlineLevel="0" collapsed="false">
      <c r="A174" s="21" t="n">
        <f aca="false">IF(ROWS(A$5:A174)&lt;=MAX(Реестр!$W$2:$W$401),ROWS(A$5:A174),"")</f>
        <v>170</v>
      </c>
      <c r="B174" s="24" t="str">
        <f aca="false">IF($A174="","",INDEX(Реестр!$B$2:$B$401,MATCH($A174,Реестр!$W$2:$W$401,0)))</f>
        <v>ООО «Квант Снаб»</v>
      </c>
      <c r="C174" s="24" t="str">
        <f aca="false">IF($A174="","",INDEX(Реестр!$C$2:$C$401,MATCH($A174,Реестр!$W$2:$W$401,0)))</f>
        <v>7727744510</v>
      </c>
      <c r="D174" s="24" t="str">
        <f aca="false">IF($A174="","",INDEX(Реестр!$D$2:$D$401,MATCH($A174,Реестр!$W$2:$W$401,0)))</f>
        <v>1037745102900</v>
      </c>
      <c r="E174" s="24" t="str">
        <f aca="false">IF($A174="","",INDEX(Реестр!$E$2:$E$401,MATCH($A174,Реестр!$W$2:$W$401,0)))</f>
        <v>772701003</v>
      </c>
      <c r="F174" s="24" t="str">
        <f aca="false">IF($A174="","",INDEX(Реестр!$J$2:$J$401,MATCH($A174,Реестр!$W$2:$W$401,0)))</f>
        <v>г. Москва</v>
      </c>
      <c r="G174" s="24" t="str">
        <f aca="false">IF($A174="","",INDEX(Реестр!$F$2:$F$401,MATCH($A174,Реестр!$W$2:$W$401,0)))</f>
        <v>г. Москва, ул. Центральная, д. 58, оф. 175</v>
      </c>
      <c r="H174" s="24" t="str">
        <f aca="false">IF($A174="","",INDEX(Реестр!$G$2:$G$401,MATCH($A174,Реестр!$W$2:$W$401,0)))</f>
        <v>Фёдоров М. Е.</v>
      </c>
      <c r="I174" s="24" t="str">
        <f aca="false">IF($A174="","",INDEX(Реестр!$H$2:$H$401,MATCH($A174,Реестр!$W$2:$W$401,0)))</f>
        <v>sales@kvant-snab.example</v>
      </c>
      <c r="J174" s="24" t="str">
        <f aca="false">IF($A174="","",INDEX(Реестр!$I$2:$I$401,MATCH($A174,Реестр!$W$2:$W$401,0)))</f>
        <v>+74955740869</v>
      </c>
    </row>
    <row r="175" customFormat="false" ht="15" hidden="false" customHeight="false" outlineLevel="0" collapsed="false">
      <c r="A175" s="21" t="n">
        <f aca="false">IF(ROWS(A$5:A175)&lt;=MAX(Реестр!$W$2:$W$401),ROWS(A$5:A175),"")</f>
        <v>171</v>
      </c>
      <c r="B175" s="24" t="str">
        <f aca="false">IF($A175="","",INDEX(Реестр!$B$2:$B$401,MATCH($A175,Реестр!$W$2:$W$401,0)))</f>
        <v>ООО «Импульс Логистик»</v>
      </c>
      <c r="C175" s="24" t="str">
        <f aca="false">IF($A175="","",INDEX(Реестр!$C$2:$C$401,MATCH($A175,Реестр!$W$2:$W$401,0)))</f>
        <v>9232582066</v>
      </c>
      <c r="D175" s="24" t="str">
        <f aca="false">IF($A175="","",INDEX(Реестр!$D$2:$D$401,MATCH($A175,Реестр!$W$2:$W$401,0)))</f>
        <v>1049205005244</v>
      </c>
      <c r="E175" s="24" t="str">
        <f aca="false">IF($A175="","",INDEX(Реестр!$E$2:$E$401,MATCH($A175,Реестр!$W$2:$W$401,0)))</f>
        <v>923201004</v>
      </c>
      <c r="F175" s="24" t="str">
        <f aca="false">IF($A175="","",INDEX(Реестр!$J$2:$J$401,MATCH($A175,Реестр!$W$2:$W$401,0)))</f>
        <v>г. Севастополь</v>
      </c>
      <c r="G175" s="24" t="str">
        <f aca="false">IF($A175="","",INDEX(Реестр!$F$2:$F$401,MATCH($A175,Реестр!$W$2:$W$401,0)))</f>
        <v>г. Севастополь, ул. Гагарина, д. 1, оф. 118</v>
      </c>
      <c r="H175" s="24" t="str">
        <f aca="false">IF($A175="","",INDEX(Реестр!$G$2:$G$401,MATCH($A175,Реестр!$W$2:$W$401,0)))</f>
        <v>Павлов Н. Д.</v>
      </c>
      <c r="I175" s="24" t="str">
        <f aca="false">IF($A175="","",INDEX(Реестр!$H$2:$H$401,MATCH($A175,Реестр!$W$2:$W$401,0)))</f>
        <v>info@impuls-logistik.example</v>
      </c>
      <c r="J175" s="24" t="str">
        <f aca="false">IF($A175="","",INDEX(Реестр!$I$2:$I$401,MATCH($A175,Реестр!$W$2:$W$401,0)))</f>
        <v>+7 (869) 511-85-93</v>
      </c>
    </row>
    <row r="176" customFormat="false" ht="15" hidden="false" customHeight="false" outlineLevel="0" collapsed="false">
      <c r="A176" s="21" t="n">
        <f aca="false">IF(ROWS(A$5:A176)&lt;=MAX(Реестр!$W$2:$W$401),ROWS(A$5:A176),"")</f>
        <v>172</v>
      </c>
      <c r="B176" s="24" t="str">
        <f aca="false">IF($A176="","",INDEX(Реестр!$B$2:$B$401,MATCH($A176,Реестр!$W$2:$W$401,0)))</f>
        <v>АО «Горизонт Трейд»</v>
      </c>
      <c r="C176" s="24" t="str">
        <f aca="false">IF($A176="","",INDEX(Реестр!$C$2:$C$401,MATCH($A176,Реестр!$W$2:$W$401,0)))</f>
        <v>9246282295</v>
      </c>
      <c r="D176" s="24" t="str">
        <f aca="false">IF($A176="","",INDEX(Реестр!$D$2:$D$401,MATCH($A176,Реестр!$W$2:$W$401,0)))</f>
        <v>1139215976382</v>
      </c>
      <c r="E176" s="24" t="str">
        <f aca="false">IF($A176="","",INDEX(Реестр!$E$2:$E$401,MATCH($A176,Реестр!$W$2:$W$401,0)))</f>
        <v>924645006</v>
      </c>
      <c r="F176" s="24" t="str">
        <f aca="false">IF($A176="","",INDEX(Реестр!$J$2:$J$401,MATCH($A176,Реестр!$W$2:$W$401,0)))</f>
        <v>г. Севастополь</v>
      </c>
      <c r="G176" s="24" t="str">
        <f aca="false">IF($A176="","",INDEX(Реестр!$F$2:$F$401,MATCH($A176,Реестр!$W$2:$W$401,0)))</f>
        <v>г. Севастополь, ул. Гагарина, д. 104, оф. 244</v>
      </c>
      <c r="H176" s="24" t="str">
        <f aca="false">IF($A176="","",INDEX(Реестр!$G$2:$G$401,MATCH($A176,Реестр!$W$2:$W$401,0)))</f>
        <v>Михайлова А. Д.</v>
      </c>
      <c r="I176" s="24" t="str">
        <f aca="false">IF($A176="","",INDEX(Реестр!$H$2:$H$401,MATCH($A176,Реестр!$W$2:$W$401,0)))</f>
        <v>zakaz@gorizont-treid.example</v>
      </c>
      <c r="J176" s="24" t="str">
        <f aca="false">IF($A176="","",INDEX(Реестр!$I$2:$I$401,MATCH($A176,Реестр!$W$2:$W$401,0)))</f>
        <v>8 869 5949924</v>
      </c>
    </row>
    <row r="177" customFormat="false" ht="15" hidden="false" customHeight="false" outlineLevel="0" collapsed="false">
      <c r="A177" s="21" t="n">
        <f aca="false">IF(ROWS(A$5:A177)&lt;=MAX(Реестр!$W$2:$W$401),ROWS(A$5:A177),"")</f>
        <v>173</v>
      </c>
      <c r="B177" s="24" t="str">
        <f aca="false">IF($A177="","",INDEX(Реестр!$B$2:$B$401,MATCH($A177,Реестр!$W$2:$W$401,0)))</f>
        <v>АО «Горизонт Транс»</v>
      </c>
      <c r="C177" s="24" t="str">
        <f aca="false">IF($A177="","",INDEX(Реестр!$C$2:$C$401,MATCH($A177,Реестр!$W$2:$W$401,0)))</f>
        <v>1615208990</v>
      </c>
      <c r="D177" s="24" t="str">
        <f aca="false">IF($A177="","",INDEX(Реестр!$D$2:$D$401,MATCH($A177,Реестр!$W$2:$W$401,0)))</f>
        <v>1121604326546</v>
      </c>
      <c r="E177" s="24" t="str">
        <f aca="false">IF($A177="","",INDEX(Реестр!$E$2:$E$401,MATCH($A177,Реестр!$W$2:$W$401,0)))</f>
        <v>161501008</v>
      </c>
      <c r="F177" s="24" t="str">
        <f aca="false">IF($A177="","",INDEX(Реестр!$J$2:$J$401,MATCH($A177,Реестр!$W$2:$W$401,0)))</f>
        <v>Республика Татарстан</v>
      </c>
      <c r="G177" s="24" t="str">
        <f aca="false">IF($A177="","",INDEX(Реестр!$F$2:$F$401,MATCH($A177,Реестр!$W$2:$W$401,0)))</f>
        <v>г. Казань, ул. Ленина, д. 70, оф. 238</v>
      </c>
      <c r="H177" s="24" t="str">
        <f aca="false">IF($A177="","",INDEX(Реестр!$G$2:$G$401,MATCH($A177,Реестр!$W$2:$W$401,0)))</f>
        <v>Иванова Т. И.</v>
      </c>
      <c r="I177" s="24" t="str">
        <f aca="false">IF($A177="","",INDEX(Реестр!$H$2:$H$401,MATCH($A177,Реестр!$W$2:$W$401,0)))</f>
        <v>office@gorizont-trans.example</v>
      </c>
      <c r="J177" s="24" t="str">
        <f aca="false">IF($A177="","",INDEX(Реестр!$I$2:$I$401,MATCH($A177,Реестр!$W$2:$W$401,0)))</f>
        <v>+78435349836</v>
      </c>
    </row>
    <row r="178" customFormat="false" ht="15" hidden="false" customHeight="false" outlineLevel="0" collapsed="false">
      <c r="A178" s="21" t="n">
        <f aca="false">IF(ROWS(A$5:A178)&lt;=MAX(Реестр!$W$2:$W$401),ROWS(A$5:A178),"")</f>
        <v>174</v>
      </c>
      <c r="B178" s="24" t="str">
        <f aca="false">IF($A178="","",INDEX(Реестр!$B$2:$B$401,MATCH($A178,Реестр!$W$2:$W$401,0)))</f>
        <v>ООО «Альфа Транс»</v>
      </c>
      <c r="C178" s="24" t="str">
        <f aca="false">IF($A178="","",INDEX(Реестр!$C$2:$C$401,MATCH($A178,Реестр!$W$2:$W$401,0)))</f>
        <v>5423228076</v>
      </c>
      <c r="D178" s="24" t="str">
        <f aca="false">IF($A178="","",INDEX(Реестр!$D$2:$D$401,MATCH($A178,Реестр!$W$2:$W$401,0)))</f>
        <v>1225441068753</v>
      </c>
      <c r="E178" s="24" t="str">
        <f aca="false">IF($A178="","",INDEX(Реестр!$E$2:$E$401,MATCH($A178,Реестр!$W$2:$W$401,0)))</f>
        <v>542301008</v>
      </c>
      <c r="F178" s="24" t="str">
        <f aca="false">IF($A178="","",INDEX(Реестр!$J$2:$J$401,MATCH($A178,Реестр!$W$2:$W$401,0)))</f>
        <v>Новосибирская область</v>
      </c>
      <c r="G178" s="24" t="str">
        <f aca="false">IF($A178="","",INDEX(Реестр!$F$2:$F$401,MATCH($A178,Реестр!$W$2:$W$401,0)))</f>
        <v>г. Новосибирск, ул. Ленина, д. 9, оф. 142</v>
      </c>
      <c r="H178" s="24" t="str">
        <f aca="false">IF($A178="","",INDEX(Реестр!$G$2:$G$401,MATCH($A178,Реестр!$W$2:$W$401,0)))</f>
        <v>Семёнова О. Е.</v>
      </c>
      <c r="I178" s="24" t="str">
        <f aca="false">IF($A178="","",INDEX(Реестр!$H$2:$H$401,MATCH($A178,Реестр!$W$2:$W$401,0)))</f>
        <v>sales@alfa-trans.example</v>
      </c>
      <c r="J178" s="24" t="str">
        <f aca="false">IF($A178="","",INDEX(Реестр!$I$2:$I$401,MATCH($A178,Реестр!$W$2:$W$401,0)))</f>
        <v>+73835026000</v>
      </c>
    </row>
    <row r="179" customFormat="false" ht="15" hidden="false" customHeight="false" outlineLevel="0" collapsed="false">
      <c r="A179" s="21" t="n">
        <f aca="false">IF(ROWS(A$5:A179)&lt;=MAX(Реестр!$W$2:$W$401),ROWS(A$5:A179),"")</f>
        <v>175</v>
      </c>
      <c r="B179" s="24" t="str">
        <f aca="false">IF($A179="","",INDEX(Реестр!$B$2:$B$401,MATCH($A179,Реестр!$W$2:$W$401,0)))</f>
        <v>ООО «Атлант Снаб»</v>
      </c>
      <c r="C179" s="24" t="str">
        <f aca="false">IF($A179="","",INDEX(Реестр!$C$2:$C$401,MATCH($A179,Реестр!$W$2:$W$401,0)))</f>
        <v>7825556673</v>
      </c>
      <c r="D179" s="24" t="str">
        <f aca="false">IF($A179="","",INDEX(Реестр!$D$2:$D$401,MATCH($A179,Реестр!$W$2:$W$401,0)))</f>
        <v>5217833587120</v>
      </c>
      <c r="E179" s="24" t="str">
        <f aca="false">IF($A179="","",INDEX(Реестр!$E$2:$E$401,MATCH($A179,Реестр!$W$2:$W$401,0)))</f>
        <v>782501001</v>
      </c>
      <c r="F179" s="24" t="str">
        <f aca="false">IF($A179="","",INDEX(Реестр!$J$2:$J$401,MATCH($A179,Реестр!$W$2:$W$401,0)))</f>
        <v>г. Санкт-Петербург</v>
      </c>
      <c r="G179" s="24" t="str">
        <f aca="false">IF($A179="","",INDEX(Реестр!$F$2:$F$401,MATCH($A179,Реестр!$W$2:$W$401,0)))</f>
        <v>г. Санкт-Петербург, ул. Заводская, д. 52, оф. 32</v>
      </c>
      <c r="H179" s="24" t="str">
        <f aca="false">IF($A179="","",INDEX(Реестр!$G$2:$G$401,MATCH($A179,Реестр!$W$2:$W$401,0)))</f>
        <v>Николаева С. С.</v>
      </c>
      <c r="I179" s="24" t="str">
        <f aca="false">IF($A179="","",INDEX(Реестр!$H$2:$H$401,MATCH($A179,Реестр!$W$2:$W$401,0)))</f>
        <v>mail@atlant-snab.example</v>
      </c>
      <c r="J179" s="24" t="str">
        <f aca="false">IF($A179="","",INDEX(Реестр!$I$2:$I$401,MATCH($A179,Реестр!$W$2:$W$401,0)))</f>
        <v>+7 (812) 507-16-77</v>
      </c>
    </row>
    <row r="180" customFormat="false" ht="15" hidden="false" customHeight="false" outlineLevel="0" collapsed="false">
      <c r="A180" s="21" t="n">
        <f aca="false">IF(ROWS(A$5:A180)&lt;=MAX(Реестр!$W$2:$W$401),ROWS(A$5:A180),"")</f>
        <v>176</v>
      </c>
      <c r="B180" s="24" t="str">
        <f aca="false">IF($A180="","",INDEX(Реестр!$B$2:$B$401,MATCH($A180,Реестр!$W$2:$W$401,0)))</f>
        <v>АО «Дельта Софт»</v>
      </c>
      <c r="C180" s="24" t="str">
        <f aca="false">IF($A180="","",INDEX(Реестр!$C$2:$C$401,MATCH($A180,Реестр!$W$2:$W$401,0)))</f>
        <v>7835607334</v>
      </c>
      <c r="D180" s="24" t="str">
        <f aca="false">IF($A180="","",INDEX(Реестр!$D$2:$D$401,MATCH($A180,Реестр!$W$2:$W$401,0)))</f>
        <v>5037811023410</v>
      </c>
      <c r="E180" s="24" t="str">
        <f aca="false">IF($A180="","",INDEX(Реестр!$E$2:$E$401,MATCH($A180,Реестр!$W$2:$W$401,0)))</f>
        <v>783545005</v>
      </c>
      <c r="F180" s="24" t="str">
        <f aca="false">IF($A180="","",INDEX(Реестр!$J$2:$J$401,MATCH($A180,Реестр!$W$2:$W$401,0)))</f>
        <v>г. Санкт-Петербург</v>
      </c>
      <c r="G180" s="24" t="str">
        <f aca="false">IF($A180="","",INDEX(Реестр!$F$2:$F$401,MATCH($A180,Реестр!$W$2:$W$401,0)))</f>
        <v>г. Санкт-Петербург, ул. Парковая, д. 67, оф. 177</v>
      </c>
      <c r="H180" s="24" t="str">
        <f aca="false">IF($A180="","",INDEX(Реестр!$G$2:$G$401,MATCH($A180,Реестр!$W$2:$W$401,0)))</f>
        <v>Михайлова О. М.</v>
      </c>
      <c r="I180" s="24" t="str">
        <f aca="false">IF($A180="","",INDEX(Реестр!$H$2:$H$401,MATCH($A180,Реестр!$W$2:$W$401,0)))</f>
        <v>office@delta-soft.example</v>
      </c>
      <c r="J180" s="24" t="str">
        <f aca="false">IF($A180="","",INDEX(Реестр!$I$2:$I$401,MATCH($A180,Реестр!$W$2:$W$401,0)))</f>
        <v>+78125111129</v>
      </c>
    </row>
    <row r="181" customFormat="false" ht="15" hidden="false" customHeight="false" outlineLevel="0" collapsed="false">
      <c r="A181" s="21" t="n">
        <f aca="false">IF(ROWS(A$5:A181)&lt;=MAX(Реестр!$W$2:$W$401),ROWS(A$5:A181),"")</f>
        <v>177</v>
      </c>
      <c r="B181" s="24" t="str">
        <f aca="false">IF($A181="","",INDEX(Реестр!$B$2:$B$401,MATCH($A181,Реестр!$W$2:$W$401,0)))</f>
        <v>ООО «Орбита Энерго»</v>
      </c>
      <c r="C181" s="24" t="str">
        <f aca="false">IF($A181="","",INDEX(Реестр!$C$2:$C$401,MATCH($A181,Реестр!$W$2:$W$401,0)))</f>
        <v>7414387210</v>
      </c>
      <c r="D181" s="24" t="str">
        <f aca="false">IF($A181="","",INDEX(Реестр!$D$2:$D$401,MATCH($A181,Реестр!$W$2:$W$401,0)))</f>
        <v>5047410168834</v>
      </c>
      <c r="E181" s="24" t="str">
        <f aca="false">IF($A181="","",INDEX(Реестр!$E$2:$E$401,MATCH($A181,Реестр!$W$2:$W$401,0)))</f>
        <v>741445001</v>
      </c>
      <c r="F181" s="24" t="str">
        <f aca="false">IF($A181="","",INDEX(Реестр!$J$2:$J$401,MATCH($A181,Реестр!$W$2:$W$401,0)))</f>
        <v>Челябинская область</v>
      </c>
      <c r="G181" s="24" t="str">
        <f aca="false">IF($A181="","",INDEX(Реестр!$F$2:$F$401,MATCH($A181,Реестр!$W$2:$W$401,0)))</f>
        <v>г. Челябинск, ул. Заводская, д. 86, оф. 14</v>
      </c>
      <c r="H181" s="24" t="str">
        <f aca="false">IF($A181="","",INDEX(Реестр!$G$2:$G$401,MATCH($A181,Реестр!$W$2:$W$401,0)))</f>
        <v>Павлова Д. А.</v>
      </c>
      <c r="I181" s="24" t="str">
        <f aca="false">IF($A181="","",INDEX(Реестр!$H$2:$H$401,MATCH($A181,Реестр!$W$2:$W$401,0)))</f>
        <v>zakaz@orbita-energo.example</v>
      </c>
      <c r="J181" s="24" t="str">
        <f aca="false">IF($A181="","",INDEX(Реестр!$I$2:$I$401,MATCH($A181,Реестр!$W$2:$W$401,0)))</f>
        <v>+7 (351) 534-59-99</v>
      </c>
    </row>
    <row r="182" customFormat="false" ht="15" hidden="false" customHeight="false" outlineLevel="0" collapsed="false">
      <c r="A182" s="21" t="n">
        <f aca="false">IF(ROWS(A$5:A182)&lt;=MAX(Реестр!$W$2:$W$401),ROWS(A$5:A182),"")</f>
        <v>178</v>
      </c>
      <c r="B182" s="24" t="str">
        <f aca="false">IF($A182="","",INDEX(Реестр!$B$2:$B$401,MATCH($A182,Реестр!$W$2:$W$401,0)))</f>
        <v>ООО «Заря Стандарт»</v>
      </c>
      <c r="C182" s="24" t="str">
        <f aca="false">IF($A182="","",INDEX(Реестр!$C$2:$C$401,MATCH($A182,Реестр!$W$2:$W$401,0)))</f>
        <v>2317558782</v>
      </c>
      <c r="D182" s="24" t="str">
        <f aca="false">IF($A182="","",INDEX(Реестр!$D$2:$D$401,MATCH($A182,Реестр!$W$2:$W$401,0)))</f>
        <v>1232321910215</v>
      </c>
      <c r="E182" s="24" t="str">
        <f aca="false">IF($A182="","",INDEX(Реестр!$E$2:$E$401,MATCH($A182,Реестр!$W$2:$W$401,0)))</f>
        <v>231701007</v>
      </c>
      <c r="F182" s="24" t="str">
        <f aca="false">IF($A182="","",INDEX(Реестр!$J$2:$J$401,MATCH($A182,Реестр!$W$2:$W$401,0)))</f>
        <v>Краснодарский край</v>
      </c>
      <c r="G182" s="24" t="str">
        <f aca="false">IF($A182="","",INDEX(Реестр!$F$2:$F$401,MATCH($A182,Реестр!$W$2:$W$401,0)))</f>
        <v>г. Краснодар, ул. Кирова, д. 85, оф. 8</v>
      </c>
      <c r="H182" s="24" t="str">
        <f aca="false">IF($A182="","",INDEX(Реестр!$G$2:$G$401,MATCH($A182,Реестр!$W$2:$W$401,0)))</f>
        <v>Козлова М. А.</v>
      </c>
      <c r="I182" s="24" t="str">
        <f aca="false">IF($A182="","",INDEX(Реестр!$H$2:$H$401,MATCH($A182,Реестр!$W$2:$W$401,0)))</f>
        <v>office@zarya-standart.example</v>
      </c>
      <c r="J182" s="24" t="str">
        <f aca="false">IF($A182="","",INDEX(Реестр!$I$2:$I$401,MATCH($A182,Реестр!$W$2:$W$401,0)))</f>
        <v>+78615026028</v>
      </c>
    </row>
    <row r="183" customFormat="false" ht="15" hidden="false" customHeight="false" outlineLevel="0" collapsed="false">
      <c r="A183" s="21" t="n">
        <f aca="false">IF(ROWS(A$5:A183)&lt;=MAX(Реестр!$W$2:$W$401),ROWS(A$5:A183),"")</f>
        <v>179</v>
      </c>
      <c r="B183" s="24" t="str">
        <f aca="false">IF($A183="","",INDEX(Реестр!$B$2:$B$401,MATCH($A183,Реестр!$W$2:$W$401,0)))</f>
        <v>ООО «Горизонт Монтаж»</v>
      </c>
      <c r="C183" s="24" t="str">
        <f aca="false">IF($A183="","",INDEX(Реестр!$C$2:$C$401,MATCH($A183,Реестр!$W$2:$W$401,0)))</f>
        <v>5203561882</v>
      </c>
      <c r="D183" s="24" t="str">
        <f aca="false">IF($A183="","",INDEX(Реестр!$D$2:$D$401,MATCH($A183,Реестр!$W$2:$W$401,0)))</f>
        <v>1175239912561</v>
      </c>
      <c r="E183" s="24" t="str">
        <f aca="false">IF($A183="","",INDEX(Реестр!$E$2:$E$401,MATCH($A183,Реестр!$W$2:$W$401,0)))</f>
        <v>520301006</v>
      </c>
      <c r="F183" s="24" t="str">
        <f aca="false">IF($A183="","",INDEX(Реестр!$J$2:$J$401,MATCH($A183,Реестр!$W$2:$W$401,0)))</f>
        <v>Нижегородская область</v>
      </c>
      <c r="G183" s="24" t="str">
        <f aca="false">IF($A183="","",INDEX(Реестр!$F$2:$F$401,MATCH($A183,Реестр!$W$2:$W$401,0)))</f>
        <v>г. Нижний Новгород, ул. Парковая, д. 24, оф. 26</v>
      </c>
      <c r="H183" s="24" t="str">
        <f aca="false">IF($A183="","",INDEX(Реестр!$G$2:$G$401,MATCH($A183,Реестр!$W$2:$W$401,0)))</f>
        <v>Егорова М. Т.</v>
      </c>
      <c r="I183" s="24" t="str">
        <f aca="false">IF($A183="","",INDEX(Реестр!$H$2:$H$401,MATCH($A183,Реестр!$W$2:$W$401,0)))</f>
        <v>mail@gorizont-montazh.example</v>
      </c>
      <c r="J183" s="24" t="str">
        <f aca="false">IF($A183="","",INDEX(Реестр!$I$2:$I$401,MATCH($A183,Реестр!$W$2:$W$401,0)))</f>
        <v>+7 (831) 528-83-24</v>
      </c>
    </row>
    <row r="184" customFormat="false" ht="15" hidden="false" customHeight="false" outlineLevel="0" collapsed="false">
      <c r="A184" s="21" t="n">
        <f aca="false">IF(ROWS(A$5:A184)&lt;=MAX(Реестр!$W$2:$W$401),ROWS(A$5:A184),"")</f>
        <v>180</v>
      </c>
      <c r="B184" s="24" t="str">
        <f aca="false">IF($A184="","",INDEX(Реестр!$B$2:$B$401,MATCH($A184,Реестр!$W$2:$W$401,0)))</f>
        <v>АО «Навигатор Монтаж»</v>
      </c>
      <c r="C184" s="24" t="str">
        <f aca="false">IF($A184="","",INDEX(Реестр!$C$2:$C$401,MATCH($A184,Реестр!$W$2:$W$401,0)))</f>
        <v>7839466613</v>
      </c>
      <c r="D184" s="24" t="str">
        <f aca="false">IF($A184="","",INDEX(Реестр!$D$2:$D$401,MATCH($A184,Реестр!$W$2:$W$401,0)))</f>
        <v>5057833237336</v>
      </c>
      <c r="E184" s="24" t="str">
        <f aca="false">IF($A184="","",INDEX(Реестр!$E$2:$E$401,MATCH($A184,Реестр!$W$2:$W$401,0)))</f>
        <v>783901002</v>
      </c>
      <c r="F184" s="24" t="str">
        <f aca="false">IF($A184="","",INDEX(Реестр!$J$2:$J$401,MATCH($A184,Реестр!$W$2:$W$401,0)))</f>
        <v>г. Санкт-Петербург</v>
      </c>
      <c r="G184" s="24" t="str">
        <f aca="false">IF($A184="","",INDEX(Реестр!$F$2:$F$401,MATCH($A184,Реестр!$W$2:$W$401,0)))</f>
        <v>г. Санкт-Петербург, ул. Советская, д. 57, оф. 151</v>
      </c>
      <c r="H184" s="24" t="str">
        <f aca="false">IF($A184="","",INDEX(Реестр!$G$2:$G$401,MATCH($A184,Реестр!$W$2:$W$401,0)))</f>
        <v>Морозова А. Н.</v>
      </c>
      <c r="I184" s="24" t="str">
        <f aca="false">IF($A184="","",INDEX(Реестр!$H$2:$H$401,MATCH($A184,Реестр!$W$2:$W$401,0)))</f>
        <v>office@navigator-montazh.example</v>
      </c>
      <c r="J184" s="24" t="str">
        <f aca="false">IF($A184="","",INDEX(Реестр!$I$2:$I$401,MATCH($A184,Реестр!$W$2:$W$401,0)))</f>
        <v>8 812 5128082</v>
      </c>
    </row>
    <row r="185" customFormat="false" ht="15" hidden="false" customHeight="false" outlineLevel="0" collapsed="false">
      <c r="A185" s="21" t="n">
        <f aca="false">IF(ROWS(A$5:A185)&lt;=MAX(Реестр!$W$2:$W$401),ROWS(A$5:A185),"")</f>
        <v>181</v>
      </c>
      <c r="B185" s="24" t="str">
        <f aca="false">IF($A185="","",INDEX(Реестр!$B$2:$B$401,MATCH($A185,Реестр!$W$2:$W$401,0)))</f>
        <v>ООО «Юпитер Стандарт»</v>
      </c>
      <c r="C185" s="24" t="str">
        <f aca="false">IF($A185="","",INDEX(Реестр!$C$2:$C$401,MATCH($A185,Реестр!$W$2:$W$401,0)))</f>
        <v>7812416598</v>
      </c>
      <c r="D185" s="24" t="str">
        <f aca="false">IF($A185="","",INDEX(Реестр!$D$2:$D$401,MATCH($A185,Реестр!$W$2:$W$401,0)))</f>
        <v>1047831894241</v>
      </c>
      <c r="E185" s="24" t="str">
        <f aca="false">IF($A185="","",INDEX(Реестр!$E$2:$E$401,MATCH($A185,Реестр!$W$2:$W$401,0)))</f>
        <v>781201004</v>
      </c>
      <c r="F185" s="24" t="str">
        <f aca="false">IF($A185="","",INDEX(Реестр!$J$2:$J$401,MATCH($A185,Реестр!$W$2:$W$401,0)))</f>
        <v>г. Санкт-Петербург</v>
      </c>
      <c r="G185" s="24" t="str">
        <f aca="false">IF($A185="","",INDEX(Реестр!$F$2:$F$401,MATCH($A185,Реестр!$W$2:$W$401,0)))</f>
        <v>г. Санкт-Петербург, ул. Центральная, д. 11, оф. 197</v>
      </c>
      <c r="H185" s="24" t="str">
        <f aca="false">IF($A185="","",INDEX(Реестр!$G$2:$G$401,MATCH($A185,Реестр!$W$2:$W$401,0)))</f>
        <v>Николаев Т. Д.</v>
      </c>
      <c r="I185" s="24" t="str">
        <f aca="false">IF($A185="","",INDEX(Реестр!$H$2:$H$401,MATCH($A185,Реестр!$W$2:$W$401,0)))</f>
        <v>zakaz@yupiter-standart.example</v>
      </c>
      <c r="J185" s="24" t="str">
        <f aca="false">IF($A185="","",INDEX(Реестр!$I$2:$I$401,MATCH($A185,Реестр!$W$2:$W$401,0)))</f>
        <v>+78125765202</v>
      </c>
    </row>
    <row r="186" customFormat="false" ht="15" hidden="false" customHeight="false" outlineLevel="0" collapsed="false">
      <c r="A186" s="21" t="n">
        <f aca="false">IF(ROWS(A$5:A186)&lt;=MAX(Реестр!$W$2:$W$401),ROWS(A$5:A186),"")</f>
        <v>182</v>
      </c>
      <c r="B186" s="24" t="str">
        <f aca="false">IF($A186="","",INDEX(Реестр!$B$2:$B$401,MATCH($A186,Реестр!$W$2:$W$401,0)))</f>
        <v>ООО «Вектор Торг»</v>
      </c>
      <c r="C186" s="24" t="str">
        <f aca="false">IF($A186="","",INDEX(Реестр!$C$2:$C$401,MATCH($A186,Реестр!$W$2:$W$401,0)))</f>
        <v>2426486168</v>
      </c>
      <c r="D186" s="24" t="str">
        <f aca="false">IF($A186="","",INDEX(Реестр!$D$2:$D$401,MATCH($A186,Реестр!$W$2:$W$401,0)))</f>
        <v>1232439402800</v>
      </c>
      <c r="E186" s="24" t="str">
        <f aca="false">IF($A186="","",INDEX(Реестр!$E$2:$E$401,MATCH($A186,Реестр!$W$2:$W$401,0)))</f>
        <v>242601004</v>
      </c>
      <c r="F186" s="24" t="str">
        <f aca="false">IF($A186="","",INDEX(Реестр!$J$2:$J$401,MATCH($A186,Реестр!$W$2:$W$401,0)))</f>
        <v>Красноярский край</v>
      </c>
      <c r="G186" s="24" t="str">
        <f aca="false">IF($A186="","",INDEX(Реестр!$F$2:$F$401,MATCH($A186,Реестр!$W$2:$W$401,0)))</f>
        <v>г. Красноярск, ул. Заводская, д. 25, оф. 19</v>
      </c>
      <c r="H186" s="24" t="str">
        <f aca="false">IF($A186="","",INDEX(Реестр!$G$2:$G$401,MATCH($A186,Реестр!$W$2:$W$401,0)))</f>
        <v>Семёнова О. Н.</v>
      </c>
      <c r="I186" s="24" t="str">
        <f aca="false">IF($A186="","",INDEX(Реестр!$H$2:$H$401,MATCH($A186,Реестр!$W$2:$W$401,0)))</f>
        <v>mail@vektor-torg.example</v>
      </c>
      <c r="J186" s="24" t="str">
        <f aca="false">IF($A186="","",INDEX(Реестр!$I$2:$I$401,MATCH($A186,Реестр!$W$2:$W$401,0)))</f>
        <v>+73915808099</v>
      </c>
    </row>
    <row r="187" customFormat="false" ht="15" hidden="false" customHeight="false" outlineLevel="0" collapsed="false">
      <c r="A187" s="21" t="n">
        <f aca="false">IF(ROWS(A$5:A187)&lt;=MAX(Реестр!$W$2:$W$401),ROWS(A$5:A187),"")</f>
        <v>183</v>
      </c>
      <c r="B187" s="24" t="str">
        <f aca="false">IF($A187="","",INDEX(Реестр!$B$2:$B$401,MATCH($A187,Реестр!$W$2:$W$401,0)))</f>
        <v>ООО «Заря Консалт»</v>
      </c>
      <c r="C187" s="24" t="str">
        <f aca="false">IF($A187="","",INDEX(Реестр!$C$2:$C$401,MATCH($A187,Реестр!$W$2:$W$401,0)))</f>
        <v>9222687895</v>
      </c>
      <c r="D187" s="24" t="str">
        <f aca="false">IF($A187="","",INDEX(Реестр!$D$2:$D$401,MATCH($A187,Реестр!$W$2:$W$401,0)))</f>
        <v>5209222398952</v>
      </c>
      <c r="E187" s="24" t="str">
        <f aca="false">IF($A187="","",INDEX(Реестр!$E$2:$E$401,MATCH($A187,Реестр!$W$2:$W$401,0)))</f>
        <v>922201004</v>
      </c>
      <c r="F187" s="24" t="str">
        <f aca="false">IF($A187="","",INDEX(Реестр!$J$2:$J$401,MATCH($A187,Реестр!$W$2:$W$401,0)))</f>
        <v>г. Севастополь</v>
      </c>
      <c r="G187" s="24" t="str">
        <f aca="false">IF($A187="","",INDEX(Реестр!$F$2:$F$401,MATCH($A187,Реестр!$W$2:$W$401,0)))</f>
        <v>г. Севастополь, ул. Мира, д. 100, оф. 169</v>
      </c>
      <c r="H187" s="24" t="str">
        <f aca="false">IF($A187="","",INDEX(Реестр!$G$2:$G$401,MATCH($A187,Реестр!$W$2:$W$401,0)))</f>
        <v>Соколов С. Е.</v>
      </c>
      <c r="I187" s="24" t="str">
        <f aca="false">IF($A187="","",INDEX(Реестр!$H$2:$H$401,MATCH($A187,Реестр!$W$2:$W$401,0)))</f>
        <v>office@zarya-konsalt.example</v>
      </c>
      <c r="J187" s="24" t="str">
        <f aca="false">IF($A187="","",INDEX(Реестр!$I$2:$I$401,MATCH($A187,Реестр!$W$2:$W$401,0)))</f>
        <v>+7 (869) 523-64-77</v>
      </c>
    </row>
    <row r="188" customFormat="false" ht="15" hidden="false" customHeight="false" outlineLevel="0" collapsed="false">
      <c r="A188" s="21" t="n">
        <f aca="false">IF(ROWS(A$5:A188)&lt;=MAX(Реестр!$W$2:$W$401),ROWS(A$5:A188),"")</f>
        <v>184</v>
      </c>
      <c r="B188" s="24" t="str">
        <f aca="false">IF($A188="","",INDEX(Реестр!$B$2:$B$401,MATCH($A188,Реестр!$W$2:$W$401,0)))</f>
        <v>ООО «Прогресс Агро»</v>
      </c>
      <c r="C188" s="24" t="str">
        <f aca="false">IF($A188="","",INDEX(Реестр!$C$2:$C$401,MATCH($A188,Реестр!$W$2:$W$401,0)))</f>
        <v>6112914821</v>
      </c>
      <c r="D188" s="24" t="str">
        <f aca="false">IF($A188="","",INDEX(Реестр!$D$2:$D$401,MATCH($A188,Реестр!$W$2:$W$401,0)))</f>
        <v>1076102388163</v>
      </c>
      <c r="E188" s="24" t="str">
        <f aca="false">IF($A188="","",INDEX(Реестр!$E$2:$E$401,MATCH($A188,Реестр!$W$2:$W$401,0)))</f>
        <v>611201004</v>
      </c>
      <c r="F188" s="24" t="str">
        <f aca="false">IF($A188="","",INDEX(Реестр!$J$2:$J$401,MATCH($A188,Реестр!$W$2:$W$401,0)))</f>
        <v>Ростовская область</v>
      </c>
      <c r="G188" s="24" t="str">
        <f aca="false">IF($A188="","",INDEX(Реестр!$F$2:$F$401,MATCH($A188,Реестр!$W$2:$W$401,0)))</f>
        <v>г. Ростов-на-Дону, ул. Победы, д. 118, оф. 201</v>
      </c>
      <c r="H188" s="24" t="str">
        <f aca="false">IF($A188="","",INDEX(Реестр!$G$2:$G$401,MATCH($A188,Реестр!$W$2:$W$401,0)))</f>
        <v>Кузнецов С. С.</v>
      </c>
      <c r="I188" s="24" t="str">
        <f aca="false">IF($A188="","",INDEX(Реестр!$H$2:$H$401,MATCH($A188,Реестр!$W$2:$W$401,0)))</f>
        <v>office@progress-agro.example</v>
      </c>
      <c r="J188" s="24" t="str">
        <f aca="false">IF($A188="","",INDEX(Реестр!$I$2:$I$401,MATCH($A188,Реестр!$W$2:$W$401,0)))</f>
        <v>8 863 5032129</v>
      </c>
    </row>
    <row r="189" customFormat="false" ht="15" hidden="false" customHeight="false" outlineLevel="0" collapsed="false">
      <c r="A189" s="21" t="n">
        <f aca="false">IF(ROWS(A$5:A189)&lt;=MAX(Реестр!$W$2:$W$401),ROWS(A$5:A189),"")</f>
        <v>185</v>
      </c>
      <c r="B189" s="24" t="str">
        <f aca="false">IF($A189="","",INDEX(Реестр!$B$2:$B$401,MATCH($A189,Реестр!$W$2:$W$401,0)))</f>
        <v>ООО «Атлант Мед»</v>
      </c>
      <c r="C189" s="24" t="str">
        <f aca="false">IF($A189="","",INDEX(Реестр!$C$2:$C$401,MATCH($A189,Реестр!$W$2:$W$401,0)))</f>
        <v>6113430051</v>
      </c>
      <c r="D189" s="24" t="str">
        <f aca="false">IF($A189="","",INDEX(Реестр!$D$2:$D$401,MATCH($A189,Реестр!$W$2:$W$401,0)))</f>
        <v>5176108988171</v>
      </c>
      <c r="E189" s="24" t="str">
        <f aca="false">IF($A189="","",INDEX(Реестр!$E$2:$E$401,MATCH($A189,Реестр!$W$2:$W$401,0)))</f>
        <v>611301007</v>
      </c>
      <c r="F189" s="24" t="str">
        <f aca="false">IF($A189="","",INDEX(Реестр!$J$2:$J$401,MATCH($A189,Реестр!$W$2:$W$401,0)))</f>
        <v>Ростовская область</v>
      </c>
      <c r="G189" s="24" t="str">
        <f aca="false">IF($A189="","",INDEX(Реестр!$F$2:$F$401,MATCH($A189,Реестр!$W$2:$W$401,0)))</f>
        <v>г. Ростов-на-Дону, ул. Садовая, д. 22, оф. 129</v>
      </c>
      <c r="H189" s="24" t="str">
        <f aca="false">IF($A189="","",INDEX(Реестр!$G$2:$G$401,MATCH($A189,Реестр!$W$2:$W$401,0)))</f>
        <v>Егорова А. Н.</v>
      </c>
      <c r="I189" s="24" t="str">
        <f aca="false">IF($A189="","",INDEX(Реестр!$H$2:$H$401,MATCH($A189,Реестр!$W$2:$W$401,0)))</f>
        <v>sales@atlant-med.example</v>
      </c>
      <c r="J189" s="24" t="str">
        <f aca="false">IF($A189="","",INDEX(Реестр!$I$2:$I$401,MATCH($A189,Реестр!$W$2:$W$401,0)))</f>
        <v>+78635705623</v>
      </c>
    </row>
    <row r="190" customFormat="false" ht="15" hidden="false" customHeight="false" outlineLevel="0" collapsed="false">
      <c r="A190" s="21" t="n">
        <f aca="false">IF(ROWS(A$5:A190)&lt;=MAX(Реестр!$W$2:$W$401),ROWS(A$5:A190),"")</f>
        <v>186</v>
      </c>
      <c r="B190" s="24" t="str">
        <f aca="false">IF($A190="","",INDEX(Реестр!$B$2:$B$401,MATCH($A190,Реестр!$W$2:$W$401,0)))</f>
        <v>ООО «Тандем Сервис»</v>
      </c>
      <c r="C190" s="24" t="str">
        <f aca="false">IF($A190="","",INDEX(Реестр!$C$2:$C$401,MATCH($A190,Реестр!$W$2:$W$401,0)))</f>
        <v>6342340723</v>
      </c>
      <c r="D190" s="24" t="str">
        <f aca="false">IF($A190="","",INDEX(Реестр!$D$2:$D$401,MATCH($A190,Реестр!$W$2:$W$401,0)))</f>
        <v>5036306810788</v>
      </c>
      <c r="E190" s="24" t="str">
        <f aca="false">IF($A190="","",INDEX(Реестр!$E$2:$E$401,MATCH($A190,Реестр!$W$2:$W$401,0)))</f>
        <v>634243004</v>
      </c>
      <c r="F190" s="24" t="str">
        <f aca="false">IF($A190="","",INDEX(Реестр!$J$2:$J$401,MATCH($A190,Реестр!$W$2:$W$401,0)))</f>
        <v>Самарская область</v>
      </c>
      <c r="G190" s="24" t="str">
        <f aca="false">IF($A190="","",INDEX(Реестр!$F$2:$F$401,MATCH($A190,Реестр!$W$2:$W$401,0)))</f>
        <v>г. Самара, ул. Мира, д. 106, оф. 297</v>
      </c>
      <c r="H190" s="24" t="str">
        <f aca="false">IF($A190="","",INDEX(Реестр!$G$2:$G$401,MATCH($A190,Реестр!$W$2:$W$401,0)))</f>
        <v>Васильева В. Н.</v>
      </c>
      <c r="I190" s="24" t="str">
        <f aca="false">IF($A190="","",INDEX(Реестр!$H$2:$H$401,MATCH($A190,Реестр!$W$2:$W$401,0)))</f>
        <v>sales@tandem-servis.example</v>
      </c>
      <c r="J190" s="24" t="str">
        <f aca="false">IF($A190="","",INDEX(Реестр!$I$2:$I$401,MATCH($A190,Реестр!$W$2:$W$401,0)))</f>
        <v>+7 (846) 548-13-72</v>
      </c>
    </row>
    <row r="191" customFormat="false" ht="15" hidden="false" customHeight="false" outlineLevel="0" collapsed="false">
      <c r="A191" s="21" t="n">
        <f aca="false">IF(ROWS(A$5:A191)&lt;=MAX(Реестр!$W$2:$W$401),ROWS(A$5:A191),"")</f>
        <v>187</v>
      </c>
      <c r="B191" s="24" t="str">
        <f aca="false">IF($A191="","",INDEX(Реестр!$B$2:$B$401,MATCH($A191,Реестр!$W$2:$W$401,0)))</f>
        <v>ООО «Прогресс Групп»</v>
      </c>
      <c r="C191" s="24" t="str">
        <f aca="false">IF($A191="","",INDEX(Реестр!$C$2:$C$401,MATCH($A191,Реестр!$W$2:$W$401,0)))</f>
        <v>5026949547</v>
      </c>
      <c r="D191" s="24" t="str">
        <f aca="false">IF($A191="","",INDEX(Реестр!$D$2:$D$401,MATCH($A191,Реестр!$W$2:$W$401,0)))</f>
        <v>5045041140513</v>
      </c>
      <c r="E191" s="24" t="str">
        <f aca="false">IF($A191="","",INDEX(Реестр!$E$2:$E$401,MATCH($A191,Реестр!$W$2:$W$401,0)))</f>
        <v>502601006</v>
      </c>
      <c r="F191" s="24" t="str">
        <f aca="false">IF($A191="","",INDEX(Реестр!$J$2:$J$401,MATCH($A191,Реестр!$W$2:$W$401,0)))</f>
        <v>Московская область</v>
      </c>
      <c r="G191" s="24" t="str">
        <f aca="false">IF($A191="","",INDEX(Реестр!$F$2:$F$401,MATCH($A191,Реестр!$W$2:$W$401,0)))</f>
        <v>г. Красногорск, ул. Советская, д. 100, оф. 281</v>
      </c>
      <c r="H191" s="24" t="str">
        <f aca="false">IF($A191="","",INDEX(Реестр!$G$2:$G$401,MATCH($A191,Реестр!$W$2:$W$401,0)))</f>
        <v>Лебедева С. А.</v>
      </c>
      <c r="I191" s="24" t="str">
        <f aca="false">IF($A191="","",INDEX(Реестр!$H$2:$H$401,MATCH($A191,Реестр!$W$2:$W$401,0)))</f>
        <v>sales@progress-grupp.example</v>
      </c>
      <c r="J191" s="24" t="str">
        <f aca="false">IF($A191="","",INDEX(Реестр!$I$2:$I$401,MATCH($A191,Реестр!$W$2:$W$401,0)))</f>
        <v>+74985826466</v>
      </c>
    </row>
    <row r="192" customFormat="false" ht="15" hidden="false" customHeight="false" outlineLevel="0" collapsed="false">
      <c r="A192" s="21" t="n">
        <f aca="false">IF(ROWS(A$5:A192)&lt;=MAX(Реестр!$W$2:$W$401),ROWS(A$5:A192),"")</f>
        <v>188</v>
      </c>
      <c r="B192" s="24" t="str">
        <f aca="false">IF($A192="","",INDEX(Реестр!$B$2:$B$401,MATCH($A192,Реестр!$W$2:$W$401,0)))</f>
        <v>ООО «Берег Мед»</v>
      </c>
      <c r="C192" s="24" t="str">
        <f aca="false">IF($A192="","",INDEX(Реестр!$C$2:$C$401,MATCH($A192,Реестр!$W$2:$W$401,0)))</f>
        <v>2323552443</v>
      </c>
      <c r="D192" s="24" t="str">
        <f aca="false">IF($A192="","",INDEX(Реестр!$D$2:$D$401,MATCH($A192,Реестр!$W$2:$W$401,0)))</f>
        <v>1192315413058</v>
      </c>
      <c r="E192" s="24" t="str">
        <f aca="false">IF($A192="","",INDEX(Реестр!$E$2:$E$401,MATCH($A192,Реестр!$W$2:$W$401,0)))</f>
        <v>232301003</v>
      </c>
      <c r="F192" s="24" t="str">
        <f aca="false">IF($A192="","",INDEX(Реестр!$J$2:$J$401,MATCH($A192,Реестр!$W$2:$W$401,0)))</f>
        <v>Краснодарский край</v>
      </c>
      <c r="G192" s="24" t="str">
        <f aca="false">IF($A192="","",INDEX(Реестр!$F$2:$F$401,MATCH($A192,Реестр!$W$2:$W$401,0)))</f>
        <v>г. Краснодар, ул. Центральная, д. 5, оф. 45</v>
      </c>
      <c r="H192" s="24" t="str">
        <f aca="false">IF($A192="","",INDEX(Реестр!$G$2:$G$401,MATCH($A192,Реестр!$W$2:$W$401,0)))</f>
        <v>Лебедева Н. И.</v>
      </c>
      <c r="I192" s="24" t="str">
        <f aca="false">IF($A192="","",INDEX(Реестр!$H$2:$H$401,MATCH($A192,Реестр!$W$2:$W$401,0)))</f>
        <v>zakaz@bereg-med.example</v>
      </c>
      <c r="J192" s="24" t="str">
        <f aca="false">IF($A192="","",INDEX(Реестр!$I$2:$I$401,MATCH($A192,Реестр!$W$2:$W$401,0)))</f>
        <v>+78615890219</v>
      </c>
    </row>
    <row r="193" customFormat="false" ht="15" hidden="false" customHeight="false" outlineLevel="0" collapsed="false">
      <c r="A193" s="21" t="n">
        <f aca="false">IF(ROWS(A$5:A193)&lt;=MAX(Реестр!$W$2:$W$401),ROWS(A$5:A193),"")</f>
        <v>189</v>
      </c>
      <c r="B193" s="24" t="str">
        <f aca="false">IF($A193="","",INDEX(Реестр!$B$2:$B$401,MATCH($A193,Реестр!$W$2:$W$401,0)))</f>
        <v>ООО «Атлант Проект»</v>
      </c>
      <c r="C193" s="24" t="str">
        <f aca="false">IF($A193="","",INDEX(Реестр!$C$2:$C$401,MATCH($A193,Реестр!$W$2:$W$401,0)))</f>
        <v>7423175501</v>
      </c>
      <c r="D193" s="24" t="str">
        <f aca="false">IF($A193="","",INDEX(Реестр!$D$2:$D$401,MATCH($A193,Реестр!$W$2:$W$401,0)))</f>
        <v>5057442718009</v>
      </c>
      <c r="E193" s="24" t="str">
        <f aca="false">IF($A193="","",INDEX(Реестр!$E$2:$E$401,MATCH($A193,Реестр!$W$2:$W$401,0)))</f>
        <v>742345006</v>
      </c>
      <c r="F193" s="24" t="str">
        <f aca="false">IF($A193="","",INDEX(Реестр!$J$2:$J$401,MATCH($A193,Реестр!$W$2:$W$401,0)))</f>
        <v>Челябинская область</v>
      </c>
      <c r="G193" s="24" t="str">
        <f aca="false">IF($A193="","",INDEX(Реестр!$F$2:$F$401,MATCH($A193,Реестр!$W$2:$W$401,0)))</f>
        <v>г. Челябинск, ул. Гагарина, д. 74, оф. 176</v>
      </c>
      <c r="H193" s="24" t="str">
        <f aca="false">IF($A193="","",INDEX(Реестр!$G$2:$G$401,MATCH($A193,Реестр!$W$2:$W$401,0)))</f>
        <v>Кузнецова Е. С.</v>
      </c>
      <c r="I193" s="24" t="str">
        <f aca="false">IF($A193="","",INDEX(Реестр!$H$2:$H$401,MATCH($A193,Реестр!$W$2:$W$401,0)))</f>
        <v>mail@atlant-proekt.example</v>
      </c>
      <c r="J193" s="24" t="str">
        <f aca="false">IF($A193="","",INDEX(Реестр!$I$2:$I$401,MATCH($A193,Реестр!$W$2:$W$401,0)))</f>
        <v>+7 (351) 569-68-47</v>
      </c>
    </row>
    <row r="194" customFormat="false" ht="15" hidden="false" customHeight="false" outlineLevel="0" collapsed="false">
      <c r="A194" s="21" t="n">
        <f aca="false">IF(ROWS(A$5:A194)&lt;=MAX(Реестр!$W$2:$W$401),ROWS(A$5:A194),"")</f>
        <v>190</v>
      </c>
      <c r="B194" s="24" t="str">
        <f aca="false">IF($A194="","",INDEX(Реестр!$B$2:$B$401,MATCH($A194,Реестр!$W$2:$W$401,0)))</f>
        <v>ООО «Меридиан Трейд»</v>
      </c>
      <c r="C194" s="24" t="str">
        <f aca="false">IF($A194="","",INDEX(Реестр!$C$2:$C$401,MATCH($A194,Реестр!$W$2:$W$401,0)))</f>
        <v>5211349093</v>
      </c>
      <c r="D194" s="24" t="str">
        <f aca="false">IF($A194="","",INDEX(Реестр!$D$2:$D$401,MATCH($A194,Реестр!$W$2:$W$401,0)))</f>
        <v>1125223920876</v>
      </c>
      <c r="E194" s="24" t="str">
        <f aca="false">IF($A194="","",INDEX(Реестр!$E$2:$E$401,MATCH($A194,Реестр!$W$2:$W$401,0)))</f>
        <v>521145006</v>
      </c>
      <c r="F194" s="24" t="str">
        <f aca="false">IF($A194="","",INDEX(Реестр!$J$2:$J$401,MATCH($A194,Реестр!$W$2:$W$401,0)))</f>
        <v>Нижегородская область</v>
      </c>
      <c r="G194" s="24" t="str">
        <f aca="false">IF($A194="","",INDEX(Реестр!$F$2:$F$401,MATCH($A194,Реестр!$W$2:$W$401,0)))</f>
        <v>г. Нижний Новгород, ул. Парковая, д. 83, оф. 234</v>
      </c>
      <c r="H194" s="24" t="str">
        <f aca="false">IF($A194="","",INDEX(Реестр!$G$2:$G$401,MATCH($A194,Реестр!$W$2:$W$401,0)))</f>
        <v>Смирнов Н. М.</v>
      </c>
      <c r="I194" s="24" t="str">
        <f aca="false">IF($A194="","",INDEX(Реестр!$H$2:$H$401,MATCH($A194,Реестр!$W$2:$W$401,0)))</f>
        <v>sales@meridian-treid.example</v>
      </c>
      <c r="J194" s="24" t="str">
        <f aca="false">IF($A194="","",INDEX(Реестр!$I$2:$I$401,MATCH($A194,Реестр!$W$2:$W$401,0)))</f>
        <v>+78315546796</v>
      </c>
    </row>
    <row r="195" customFormat="false" ht="15" hidden="false" customHeight="false" outlineLevel="0" collapsed="false">
      <c r="A195" s="21" t="n">
        <f aca="false">IF(ROWS(A$5:A195)&lt;=MAX(Реестр!$W$2:$W$401),ROWS(A$5:A195),"")</f>
        <v>191</v>
      </c>
      <c r="B195" s="24" t="str">
        <f aca="false">IF($A195="","",INDEX(Реестр!$B$2:$B$401,MATCH($A195,Реестр!$W$2:$W$401,0)))</f>
        <v>ООО «Линия Проект»</v>
      </c>
      <c r="C195" s="24" t="str">
        <f aca="false">IF($A195="","",INDEX(Реестр!$C$2:$C$401,MATCH($A195,Реестр!$W$2:$W$401,0)))</f>
        <v>7716337343</v>
      </c>
      <c r="D195" s="24" t="str">
        <f aca="false">IF($A195="","",INDEX(Реестр!$D$2:$D$401,MATCH($A195,Реестр!$W$2:$W$401,0)))</f>
        <v>5097736924247</v>
      </c>
      <c r="E195" s="24" t="str">
        <f aca="false">IF($A195="","",INDEX(Реестр!$E$2:$E$401,MATCH($A195,Реестр!$W$2:$W$401,0)))</f>
        <v>771601007</v>
      </c>
      <c r="F195" s="24" t="str">
        <f aca="false">IF($A195="","",INDEX(Реестр!$J$2:$J$401,MATCH($A195,Реестр!$W$2:$W$401,0)))</f>
        <v>г. Москва</v>
      </c>
      <c r="G195" s="24" t="str">
        <f aca="false">IF($A195="","",INDEX(Реестр!$F$2:$F$401,MATCH($A195,Реестр!$W$2:$W$401,0)))</f>
        <v>г. Москва, ул. Парковая, д. 112, оф. 157</v>
      </c>
      <c r="H195" s="24" t="str">
        <f aca="false">IF($A195="","",INDEX(Реестр!$G$2:$G$401,MATCH($A195,Реестр!$W$2:$W$401,0)))</f>
        <v>Лебедева С. С.</v>
      </c>
      <c r="I195" s="24" t="str">
        <f aca="false">IF($A195="","",INDEX(Реестр!$H$2:$H$401,MATCH($A195,Реестр!$W$2:$W$401,0)))</f>
        <v>sales@liniya-proekt.example</v>
      </c>
      <c r="J195" s="24" t="str">
        <f aca="false">IF($A195="","",INDEX(Реестр!$I$2:$I$401,MATCH($A195,Реестр!$W$2:$W$401,0)))</f>
        <v>+7 (495) 529-74-79</v>
      </c>
    </row>
    <row r="196" customFormat="false" ht="15" hidden="false" customHeight="false" outlineLevel="0" collapsed="false">
      <c r="A196" s="21" t="n">
        <f aca="false">IF(ROWS(A$5:A196)&lt;=MAX(Реестр!$W$2:$W$401),ROWS(A$5:A196),"")</f>
        <v>192</v>
      </c>
      <c r="B196" s="24" t="str">
        <f aca="false">IF($A196="","",INDEX(Реестр!$B$2:$B$401,MATCH($A196,Реестр!$W$2:$W$401,0)))</f>
        <v>ООО «Альфа Принт»</v>
      </c>
      <c r="C196" s="24" t="str">
        <f aca="false">IF($A196="","",INDEX(Реестр!$C$2:$C$401,MATCH($A196,Реестр!$W$2:$W$401,0)))</f>
        <v>9143710566</v>
      </c>
      <c r="D196" s="24" t="str">
        <f aca="false">IF($A196="","",INDEX(Реестр!$D$2:$D$401,MATCH($A196,Реестр!$W$2:$W$401,0)))</f>
        <v>5249118859468</v>
      </c>
      <c r="E196" s="24" t="str">
        <f aca="false">IF($A196="","",INDEX(Реестр!$E$2:$E$401,MATCH($A196,Реестр!$W$2:$W$401,0)))</f>
        <v>914301007</v>
      </c>
      <c r="F196" s="24" t="str">
        <f aca="false">IF($A196="","",INDEX(Реестр!$J$2:$J$401,MATCH($A196,Реестр!$W$2:$W$401,0)))</f>
        <v>Республика Крым</v>
      </c>
      <c r="G196" s="24" t="str">
        <f aca="false">IF($A196="","",INDEX(Реестр!$F$2:$F$401,MATCH($A196,Реестр!$W$2:$W$401,0)))</f>
        <v>г. Симферополь, ул. Парковая, д. 105, оф. 113</v>
      </c>
      <c r="H196" s="24" t="str">
        <f aca="false">IF($A196="","",INDEX(Реестр!$G$2:$G$401,MATCH($A196,Реестр!$W$2:$W$401,0)))</f>
        <v>Михайлова Д. А.</v>
      </c>
      <c r="I196" s="24" t="str">
        <f aca="false">IF($A196="","",INDEX(Реестр!$H$2:$H$401,MATCH($A196,Реестр!$W$2:$W$401,0)))</f>
        <v>sales@alfa-print.example</v>
      </c>
      <c r="J196" s="24" t="str">
        <f aca="false">IF($A196="","",INDEX(Реестр!$I$2:$I$401,MATCH($A196,Реестр!$W$2:$W$401,0)))</f>
        <v>+7 (365) 555-45-83</v>
      </c>
    </row>
    <row r="197" customFormat="false" ht="15" hidden="false" customHeight="false" outlineLevel="0" collapsed="false">
      <c r="A197" s="21" t="n">
        <f aca="false">IF(ROWS(A$5:A197)&lt;=MAX(Реестр!$W$2:$W$401),ROWS(A$5:A197),"")</f>
        <v>193</v>
      </c>
      <c r="B197" s="24" t="str">
        <f aca="false">IF($A197="","",INDEX(Реестр!$B$2:$B$401,MATCH($A197,Реестр!$W$2:$W$401,0)))</f>
        <v>АО «Прогресс Трейд»</v>
      </c>
      <c r="C197" s="24" t="str">
        <f aca="false">IF($A197="","",INDEX(Реестр!$C$2:$C$401,MATCH($A197,Реестр!$W$2:$W$401,0)))</f>
        <v>1649438409</v>
      </c>
      <c r="D197" s="24" t="str">
        <f aca="false">IF($A197="","",INDEX(Реестр!$D$2:$D$401,MATCH($A197,Реестр!$W$2:$W$401,0)))</f>
        <v>1021632406938</v>
      </c>
      <c r="E197" s="24" t="str">
        <f aca="false">IF($A197="","",INDEX(Реестр!$E$2:$E$401,MATCH($A197,Реестр!$W$2:$W$401,0)))</f>
        <v>164943007</v>
      </c>
      <c r="F197" s="24" t="str">
        <f aca="false">IF($A197="","",INDEX(Реестр!$J$2:$J$401,MATCH($A197,Реестр!$W$2:$W$401,0)))</f>
        <v>Республика Татарстан</v>
      </c>
      <c r="G197" s="24" t="str">
        <f aca="false">IF($A197="","",INDEX(Реестр!$F$2:$F$401,MATCH($A197,Реестр!$W$2:$W$401,0)))</f>
        <v>г. Казань, ул. Гагарина, д. 98, оф. 66</v>
      </c>
      <c r="H197" s="24" t="str">
        <f aca="false">IF($A197="","",INDEX(Реестр!$G$2:$G$401,MATCH($A197,Реестр!$W$2:$W$401,0)))</f>
        <v>Михайлов Д. С.</v>
      </c>
      <c r="I197" s="24" t="str">
        <f aca="false">IF($A197="","",INDEX(Реестр!$H$2:$H$401,MATCH($A197,Реестр!$W$2:$W$401,0)))</f>
        <v>sales@progress-treid.example</v>
      </c>
      <c r="J197" s="24" t="str">
        <f aca="false">IF($A197="","",INDEX(Реестр!$I$2:$I$401,MATCH($A197,Реестр!$W$2:$W$401,0)))</f>
        <v>8 843 5351428</v>
      </c>
    </row>
    <row r="198" customFormat="false" ht="15" hidden="false" customHeight="false" outlineLevel="0" collapsed="false">
      <c r="A198" s="21" t="n">
        <f aca="false">IF(ROWS(A$5:A198)&lt;=MAX(Реестр!$W$2:$W$401),ROWS(A$5:A198),"")</f>
        <v>194</v>
      </c>
      <c r="B198" s="24" t="str">
        <f aca="false">IF($A198="","",INDEX(Реестр!$B$2:$B$401,MATCH($A198,Реестр!$W$2:$W$401,0)))</f>
        <v>ООО «Радуга Софт»</v>
      </c>
      <c r="C198" s="24" t="str">
        <f aca="false">IF($A198="","",INDEX(Реестр!$C$2:$C$401,MATCH($A198,Реестр!$W$2:$W$401,0)))</f>
        <v>5404936404</v>
      </c>
      <c r="D198" s="24" t="str">
        <f aca="false">IF($A198="","",INDEX(Реестр!$D$2:$D$401,MATCH($A198,Реестр!$W$2:$W$401,0)))</f>
        <v>5095414843937</v>
      </c>
      <c r="E198" s="24" t="str">
        <f aca="false">IF($A198="","",INDEX(Реестр!$E$2:$E$401,MATCH($A198,Реестр!$W$2:$W$401,0)))</f>
        <v>540401008</v>
      </c>
      <c r="F198" s="24" t="str">
        <f aca="false">IF($A198="","",INDEX(Реестр!$J$2:$J$401,MATCH($A198,Реестр!$W$2:$W$401,0)))</f>
        <v>Новосибирская область</v>
      </c>
      <c r="G198" s="24" t="str">
        <f aca="false">IF($A198="","",INDEX(Реестр!$F$2:$F$401,MATCH($A198,Реестр!$W$2:$W$401,0)))</f>
        <v>г. Новосибирск, ул. Школьная, д. 10, оф. 34</v>
      </c>
      <c r="H198" s="24" t="str">
        <f aca="false">IF($A198="","",INDEX(Реестр!$G$2:$G$401,MATCH($A198,Реестр!$W$2:$W$401,0)))</f>
        <v>Козлов М. О.</v>
      </c>
      <c r="I198" s="24" t="str">
        <f aca="false">IF($A198="","",INDEX(Реестр!$H$2:$H$401,MATCH($A198,Реестр!$W$2:$W$401,0)))</f>
        <v>sales@raduga-soft.example</v>
      </c>
      <c r="J198" s="24" t="str">
        <f aca="false">IF($A198="","",INDEX(Реестр!$I$2:$I$401,MATCH($A198,Реестр!$W$2:$W$401,0)))</f>
        <v>8 383 5209139</v>
      </c>
    </row>
    <row r="199" customFormat="false" ht="15" hidden="false" customHeight="false" outlineLevel="0" collapsed="false">
      <c r="A199" s="21" t="n">
        <f aca="false">IF(ROWS(A$5:A199)&lt;=MAX(Реестр!$W$2:$W$401),ROWS(A$5:A199),"")</f>
        <v>195</v>
      </c>
      <c r="B199" s="24" t="str">
        <f aca="false">IF($A199="","",INDEX(Реестр!$B$2:$B$401,MATCH($A199,Реестр!$W$2:$W$401,0)))</f>
        <v>ООО «Прогресс Пласт»</v>
      </c>
      <c r="C199" s="24" t="str">
        <f aca="false">IF($A199="","",INDEX(Реестр!$C$2:$C$401,MATCH($A199,Реестр!$W$2:$W$401,0)))</f>
        <v>2315626250</v>
      </c>
      <c r="D199" s="24" t="str">
        <f aca="false">IF($A199="","",INDEX(Реестр!$D$2:$D$401,MATCH($A199,Реестр!$W$2:$W$401,0)))</f>
        <v>5162344383999</v>
      </c>
      <c r="E199" s="24" t="str">
        <f aca="false">IF($A199="","",INDEX(Реестр!$E$2:$E$401,MATCH($A199,Реестр!$W$2:$W$401,0)))</f>
        <v>231501008</v>
      </c>
      <c r="F199" s="24" t="str">
        <f aca="false">IF($A199="","",INDEX(Реестр!$J$2:$J$401,MATCH($A199,Реестр!$W$2:$W$401,0)))</f>
        <v>Краснодарский край</v>
      </c>
      <c r="G199" s="24" t="str">
        <f aca="false">IF($A199="","",INDEX(Реестр!$F$2:$F$401,MATCH($A199,Реестр!$W$2:$W$401,0)))</f>
        <v>г. Краснодар, ул. Набережная, д. 24, оф. 89</v>
      </c>
      <c r="H199" s="24" t="str">
        <f aca="false">IF($A199="","",INDEX(Реестр!$G$2:$G$401,MATCH($A199,Реестр!$W$2:$W$401,0)))</f>
        <v>Соколов С. С.</v>
      </c>
      <c r="I199" s="24" t="str">
        <f aca="false">IF($A199="","",INDEX(Реестр!$H$2:$H$401,MATCH($A199,Реестр!$W$2:$W$401,0)))</f>
        <v>office@progress-plast.example</v>
      </c>
      <c r="J199" s="24" t="str">
        <f aca="false">IF($A199="","",INDEX(Реестр!$I$2:$I$401,MATCH($A199,Реестр!$W$2:$W$401,0)))</f>
        <v>+78615996266</v>
      </c>
    </row>
    <row r="200" customFormat="false" ht="15" hidden="false" customHeight="false" outlineLevel="0" collapsed="false">
      <c r="A200" s="21" t="n">
        <f aca="false">IF(ROWS(A$5:A200)&lt;=MAX(Реестр!$W$2:$W$401),ROWS(A$5:A200),"")</f>
        <v>196</v>
      </c>
      <c r="B200" s="24" t="str">
        <f aca="false">IF($A200="","",INDEX(Реестр!$B$2:$B$401,MATCH($A200,Реестр!$W$2:$W$401,0)))</f>
        <v>ООО «Радуга Проект»</v>
      </c>
      <c r="C200" s="24" t="str">
        <f aca="false">IF($A200="","",INDEX(Реестр!$C$2:$C$401,MATCH($A200,Реестр!$W$2:$W$401,0)))</f>
        <v>7809733131</v>
      </c>
      <c r="D200" s="24" t="str">
        <f aca="false">IF($A200="","",INDEX(Реестр!$D$2:$D$401,MATCH($A200,Реестр!$W$2:$W$401,0)))</f>
        <v>1157805609466</v>
      </c>
      <c r="E200" s="24" t="str">
        <f aca="false">IF($A200="","",INDEX(Реестр!$E$2:$E$401,MATCH($A200,Реестр!$W$2:$W$401,0)))</f>
        <v>780901003</v>
      </c>
      <c r="F200" s="24" t="str">
        <f aca="false">IF($A200="","",INDEX(Реестр!$J$2:$J$401,MATCH($A200,Реестр!$W$2:$W$401,0)))</f>
        <v>г. Санкт-Петербург</v>
      </c>
      <c r="G200" s="24" t="str">
        <f aca="false">IF($A200="","",INDEX(Реестр!$F$2:$F$401,MATCH($A200,Реестр!$W$2:$W$401,0)))</f>
        <v>г. Санкт-Петербург, ул. Советская, д. 55, оф. 122</v>
      </c>
      <c r="H200" s="24" t="str">
        <f aca="false">IF($A200="","",INDEX(Реестр!$G$2:$G$401,MATCH($A200,Реестр!$W$2:$W$401,0)))</f>
        <v>Васильев Т. А.</v>
      </c>
      <c r="I200" s="24" t="str">
        <f aca="false">IF($A200="","",INDEX(Реестр!$H$2:$H$401,MATCH($A200,Реестр!$W$2:$W$401,0)))</f>
        <v>sales@raduga-proekt.example</v>
      </c>
      <c r="J200" s="24" t="str">
        <f aca="false">IF($A200="","",INDEX(Реестр!$I$2:$I$401,MATCH($A200,Реестр!$W$2:$W$401,0)))</f>
        <v>8 812 5148031</v>
      </c>
    </row>
    <row r="201" customFormat="false" ht="15" hidden="false" customHeight="false" outlineLevel="0" collapsed="false">
      <c r="A201" s="21" t="n">
        <f aca="false">IF(ROWS(A$5:A201)&lt;=MAX(Реестр!$W$2:$W$401),ROWS(A$5:A201),"")</f>
        <v>197</v>
      </c>
      <c r="B201" s="24" t="str">
        <f aca="false">IF($A201="","",INDEX(Реестр!$B$2:$B$401,MATCH($A201,Реестр!$W$2:$W$401,0)))</f>
        <v>ООО «Квант Консалт»</v>
      </c>
      <c r="C201" s="24" t="str">
        <f aca="false">IF($A201="","",INDEX(Реестр!$C$2:$C$401,MATCH($A201,Реестр!$W$2:$W$401,0)))</f>
        <v>6134245412</v>
      </c>
      <c r="D201" s="24" t="str">
        <f aca="false">IF($A201="","",INDEX(Реестр!$D$2:$D$401,MATCH($A201,Реестр!$W$2:$W$401,0)))</f>
        <v>1056123761253</v>
      </c>
      <c r="E201" s="24" t="str">
        <f aca="false">IF($A201="","",INDEX(Реестр!$E$2:$E$401,MATCH($A201,Реестр!$W$2:$W$401,0)))</f>
        <v>613401008</v>
      </c>
      <c r="F201" s="24" t="str">
        <f aca="false">IF($A201="","",INDEX(Реестр!$J$2:$J$401,MATCH($A201,Реестр!$W$2:$W$401,0)))</f>
        <v>Ростовская область</v>
      </c>
      <c r="G201" s="24" t="str">
        <f aca="false">IF($A201="","",INDEX(Реестр!$F$2:$F$401,MATCH($A201,Реестр!$W$2:$W$401,0)))</f>
        <v>г. Ростов-на-Дону, ул. Советская, д. 40, оф. 31</v>
      </c>
      <c r="H201" s="24" t="str">
        <f aca="false">IF($A201="","",INDEX(Реестр!$G$2:$G$401,MATCH($A201,Реестр!$W$2:$W$401,0)))</f>
        <v>Михайлова М. И.</v>
      </c>
      <c r="I201" s="24" t="str">
        <f aca="false">IF($A201="","",INDEX(Реестр!$H$2:$H$401,MATCH($A201,Реестр!$W$2:$W$401,0)))</f>
        <v>mail@kvant-konsalt.example</v>
      </c>
      <c r="J201" s="24" t="str">
        <f aca="false">IF($A201="","",INDEX(Реестр!$I$2:$I$401,MATCH($A201,Реестр!$W$2:$W$401,0)))</f>
        <v>+78635477956</v>
      </c>
    </row>
    <row r="202" customFormat="false" ht="15" hidden="false" customHeight="false" outlineLevel="0" collapsed="false">
      <c r="A202" s="21" t="n">
        <f aca="false">IF(ROWS(A$5:A202)&lt;=MAX(Реестр!$W$2:$W$401),ROWS(A$5:A202),"")</f>
        <v>198</v>
      </c>
      <c r="B202" s="24" t="str">
        <f aca="false">IF($A202="","",INDEX(Реестр!$B$2:$B$401,MATCH($A202,Реестр!$W$2:$W$401,0)))</f>
        <v>АО «Навигатор Групп»</v>
      </c>
      <c r="C202" s="24" t="str">
        <f aca="false">IF($A202="","",INDEX(Реестр!$C$2:$C$401,MATCH($A202,Реестр!$W$2:$W$401,0)))</f>
        <v>7703758908</v>
      </c>
      <c r="D202" s="24" t="str">
        <f aca="false">IF($A202="","",INDEX(Реестр!$D$2:$D$401,MATCH($A202,Реестр!$W$2:$W$401,0)))</f>
        <v>5117731685869</v>
      </c>
      <c r="E202" s="24" t="str">
        <f aca="false">IF($A202="","",INDEX(Реестр!$E$2:$E$401,MATCH($A202,Реестр!$W$2:$W$401,0)))</f>
        <v>770345005</v>
      </c>
      <c r="F202" s="24" t="str">
        <f aca="false">IF($A202="","",INDEX(Реестр!$J$2:$J$401,MATCH($A202,Реестр!$W$2:$W$401,0)))</f>
        <v>г. Москва</v>
      </c>
      <c r="G202" s="24" t="str">
        <f aca="false">IF($A202="","",INDEX(Реестр!$F$2:$F$401,MATCH($A202,Реестр!$W$2:$W$401,0)))</f>
        <v>г. Москва, ул. Ленина, д. 108, оф. 48</v>
      </c>
      <c r="H202" s="24" t="str">
        <f aca="false">IF($A202="","",INDEX(Реестр!$G$2:$G$401,MATCH($A202,Реестр!$W$2:$W$401,0)))</f>
        <v>Степанов С. Д.</v>
      </c>
      <c r="I202" s="24" t="str">
        <f aca="false">IF($A202="","",INDEX(Реестр!$H$2:$H$401,MATCH($A202,Реестр!$W$2:$W$401,0)))</f>
        <v>sales@navigator-grupp.example</v>
      </c>
      <c r="J202" s="24" t="str">
        <f aca="false">IF($A202="","",INDEX(Реестр!$I$2:$I$401,MATCH($A202,Реестр!$W$2:$W$401,0)))</f>
        <v>+74955470928</v>
      </c>
    </row>
    <row r="203" customFormat="false" ht="15" hidden="false" customHeight="false" outlineLevel="0" collapsed="false">
      <c r="A203" s="21" t="n">
        <f aca="false">IF(ROWS(A$5:A203)&lt;=MAX(Реестр!$W$2:$W$401),ROWS(A$5:A203),"")</f>
        <v>199</v>
      </c>
      <c r="B203" s="24" t="str">
        <f aca="false">IF($A203="","",INDEX(Реестр!$B$2:$B$401,MATCH($A203,Реестр!$W$2:$W$401,0)))</f>
        <v>ООО «Радуга Энерго»</v>
      </c>
      <c r="C203" s="24" t="str">
        <f aca="false">IF($A203="","",INDEX(Реестр!$C$2:$C$401,MATCH($A203,Реестр!$W$2:$W$401,0)))</f>
        <v>7821871184</v>
      </c>
      <c r="D203" s="24" t="str">
        <f aca="false">IF($A203="","",INDEX(Реестр!$D$2:$D$401,MATCH($A203,Реестр!$W$2:$W$401,0)))</f>
        <v>1147808030028</v>
      </c>
      <c r="E203" s="24" t="str">
        <f aca="false">IF($A203="","",INDEX(Реестр!$E$2:$E$401,MATCH($A203,Реестр!$W$2:$W$401,0)))</f>
        <v>782101009</v>
      </c>
      <c r="F203" s="24" t="str">
        <f aca="false">IF($A203="","",INDEX(Реестр!$J$2:$J$401,MATCH($A203,Реестр!$W$2:$W$401,0)))</f>
        <v>г. Санкт-Петербург</v>
      </c>
      <c r="G203" s="24" t="str">
        <f aca="false">IF($A203="","",INDEX(Реестр!$F$2:$F$401,MATCH($A203,Реестр!$W$2:$W$401,0)))</f>
        <v>г. Санкт-Петербург, ул. Победы, д. 97, оф. 177</v>
      </c>
      <c r="H203" s="24" t="str">
        <f aca="false">IF($A203="","",INDEX(Реестр!$G$2:$G$401,MATCH($A203,Реестр!$W$2:$W$401,0)))</f>
        <v>Семёнов Т. С.</v>
      </c>
      <c r="I203" s="24" t="str">
        <f aca="false">IF($A203="","",INDEX(Реестр!$H$2:$H$401,MATCH($A203,Реестр!$W$2:$W$401,0)))</f>
        <v>info@raduga-energo.example</v>
      </c>
      <c r="J203" s="24" t="str">
        <f aca="false">IF($A203="","",INDEX(Реестр!$I$2:$I$401,MATCH($A203,Реестр!$W$2:$W$401,0)))</f>
        <v>8 812 5213614</v>
      </c>
    </row>
    <row r="204" customFormat="false" ht="15" hidden="false" customHeight="false" outlineLevel="0" collapsed="false">
      <c r="A204" s="21" t="n">
        <f aca="false">IF(ROWS(A$5:A204)&lt;=MAX(Реестр!$W$2:$W$401),ROWS(A$5:A204),"")</f>
        <v>200</v>
      </c>
      <c r="B204" s="24" t="str">
        <f aca="false">IF($A204="","",INDEX(Реестр!$B$2:$B$401,MATCH($A204,Реестр!$W$2:$W$401,0)))</f>
        <v>ООО «Гранит Консалт»</v>
      </c>
      <c r="C204" s="24" t="str">
        <f aca="false">IF($A204="","",INDEX(Реестр!$C$2:$C$401,MATCH($A204,Реестр!$W$2:$W$401,0)))</f>
        <v>1637504248</v>
      </c>
      <c r="D204" s="24" t="str">
        <f aca="false">IF($A204="","",INDEX(Реестр!$D$2:$D$401,MATCH($A204,Реестр!$W$2:$W$401,0)))</f>
        <v>1111611990643</v>
      </c>
      <c r="E204" s="24" t="str">
        <f aca="false">IF($A204="","",INDEX(Реестр!$E$2:$E$401,MATCH($A204,Реестр!$W$2:$W$401,0)))</f>
        <v>163701005</v>
      </c>
      <c r="F204" s="24" t="str">
        <f aca="false">IF($A204="","",INDEX(Реестр!$J$2:$J$401,MATCH($A204,Реестр!$W$2:$W$401,0)))</f>
        <v>Республика Татарстан</v>
      </c>
      <c r="G204" s="24" t="str">
        <f aca="false">IF($A204="","",INDEX(Реестр!$F$2:$F$401,MATCH($A204,Реестр!$W$2:$W$401,0)))</f>
        <v>г. Казань, ул. Садовая, д. 18, оф. 236</v>
      </c>
      <c r="H204" s="24" t="str">
        <f aca="false">IF($A204="","",INDEX(Реестр!$G$2:$G$401,MATCH($A204,Реестр!$W$2:$W$401,0)))</f>
        <v>Кузнецов В. Н.</v>
      </c>
      <c r="I204" s="24" t="str">
        <f aca="false">IF($A204="","",INDEX(Реестр!$H$2:$H$401,MATCH($A204,Реестр!$W$2:$W$401,0)))</f>
        <v>info@granit-konsalt.example</v>
      </c>
      <c r="J204" s="24" t="str">
        <f aca="false">IF($A204="","",INDEX(Реестр!$I$2:$I$401,MATCH($A204,Реестр!$W$2:$W$401,0)))</f>
        <v>+7 (843) 586-32-43</v>
      </c>
    </row>
    <row r="205" customFormat="false" ht="15" hidden="false" customHeight="false" outlineLevel="0" collapsed="false">
      <c r="A205" s="21" t="n">
        <f aca="false">IF(ROWS(A$5:A205)&lt;=MAX(Реестр!$W$2:$W$401),ROWS(A$5:A205),"")</f>
        <v>201</v>
      </c>
      <c r="B205" s="24" t="str">
        <f aca="false">IF($A205="","",INDEX(Реестр!$B$2:$B$401,MATCH($A205,Реестр!$W$2:$W$401,0)))</f>
        <v>ООО «Дельта Фуд»</v>
      </c>
      <c r="C205" s="24" t="str">
        <f aca="false">IF($A205="","",INDEX(Реестр!$C$2:$C$401,MATCH($A205,Реестр!$W$2:$W$401,0)))</f>
        <v>5230783309</v>
      </c>
      <c r="D205" s="24" t="str">
        <f aca="false">IF($A205="","",INDEX(Реестр!$D$2:$D$401,MATCH($A205,Реестр!$W$2:$W$401,0)))</f>
        <v>5055213524845</v>
      </c>
      <c r="E205" s="24" t="str">
        <f aca="false">IF($A205="","",INDEX(Реестр!$E$2:$E$401,MATCH($A205,Реестр!$W$2:$W$401,0)))</f>
        <v>523001001</v>
      </c>
      <c r="F205" s="24" t="str">
        <f aca="false">IF($A205="","",INDEX(Реестр!$J$2:$J$401,MATCH($A205,Реестр!$W$2:$W$401,0)))</f>
        <v>Нижегородская область</v>
      </c>
      <c r="G205" s="24" t="str">
        <f aca="false">IF($A205="","",INDEX(Реестр!$F$2:$F$401,MATCH($A205,Реестр!$W$2:$W$401,0)))</f>
        <v>г. Нижний Новгород, ул. Советская, д. 49, оф. 140</v>
      </c>
      <c r="H205" s="24" t="str">
        <f aca="false">IF($A205="","",INDEX(Реестр!$G$2:$G$401,MATCH($A205,Реестр!$W$2:$W$401,0)))</f>
        <v>Васильев Д. Е.</v>
      </c>
      <c r="I205" s="24" t="str">
        <f aca="false">IF($A205="","",INDEX(Реестр!$H$2:$H$401,MATCH($A205,Реестр!$W$2:$W$401,0)))</f>
        <v>sales@delta-fud.example</v>
      </c>
      <c r="J205" s="24" t="str">
        <f aca="false">IF($A205="","",INDEX(Реестр!$I$2:$I$401,MATCH($A205,Реестр!$W$2:$W$401,0)))</f>
        <v>8 831 5012802</v>
      </c>
    </row>
    <row r="206" customFormat="false" ht="15" hidden="false" customHeight="false" outlineLevel="0" collapsed="false">
      <c r="A206" s="21" t="n">
        <f aca="false">IF(ROWS(A$5:A206)&lt;=MAX(Реестр!$W$2:$W$401),ROWS(A$5:A206),"")</f>
        <v>202</v>
      </c>
      <c r="B206" s="24" t="str">
        <f aca="false">IF($A206="","",INDEX(Реестр!$B$2:$B$401,MATCH($A206,Реестр!$W$2:$W$401,0)))</f>
        <v>АО «Альфа Фуд»</v>
      </c>
      <c r="C206" s="24" t="str">
        <f aca="false">IF($A206="","",INDEX(Реестр!$C$2:$C$401,MATCH($A206,Реестр!$W$2:$W$401,0)))</f>
        <v>5014724274</v>
      </c>
      <c r="D206" s="24" t="str">
        <f aca="false">IF($A206="","",INDEX(Реестр!$D$2:$D$401,MATCH($A206,Реестр!$W$2:$W$401,0)))</f>
        <v>1135020712991</v>
      </c>
      <c r="E206" s="24" t="str">
        <f aca="false">IF($A206="","",INDEX(Реестр!$E$2:$E$401,MATCH($A206,Реестр!$W$2:$W$401,0)))</f>
        <v>501401002</v>
      </c>
      <c r="F206" s="24" t="str">
        <f aca="false">IF($A206="","",INDEX(Реестр!$J$2:$J$401,MATCH($A206,Реестр!$W$2:$W$401,0)))</f>
        <v>Московская область</v>
      </c>
      <c r="G206" s="24" t="str">
        <f aca="false">IF($A206="","",INDEX(Реестр!$F$2:$F$401,MATCH($A206,Реестр!$W$2:$W$401,0)))</f>
        <v>г. Красногорск, ул. Парковая, д. 28, оф. 186</v>
      </c>
      <c r="H206" s="24" t="str">
        <f aca="false">IF($A206="","",INDEX(Реестр!$G$2:$G$401,MATCH($A206,Реестр!$W$2:$W$401,0)))</f>
        <v>Лебедев С. А.</v>
      </c>
      <c r="I206" s="24" t="str">
        <f aca="false">IF($A206="","",INDEX(Реестр!$H$2:$H$401,MATCH($A206,Реестр!$W$2:$W$401,0)))</f>
        <v>zakaz@alfa-fud.example</v>
      </c>
      <c r="J206" s="24" t="str">
        <f aca="false">IF($A206="","",INDEX(Реестр!$I$2:$I$401,MATCH($A206,Реестр!$W$2:$W$401,0)))</f>
        <v>8 498 5777910</v>
      </c>
    </row>
    <row r="207" customFormat="false" ht="15" hidden="false" customHeight="false" outlineLevel="0" collapsed="false">
      <c r="A207" s="21" t="n">
        <f aca="false">IF(ROWS(A$5:A207)&lt;=MAX(Реестр!$W$2:$W$401),ROWS(A$5:A207),"")</f>
        <v>203</v>
      </c>
      <c r="B207" s="24" t="str">
        <f aca="false">IF($A207="","",INDEX(Реестр!$B$2:$B$401,MATCH($A207,Реестр!$W$2:$W$401,0)))</f>
        <v>ООО «Альфа Групп»</v>
      </c>
      <c r="C207" s="24" t="str">
        <f aca="false">IF($A207="","",INDEX(Реестр!$C$2:$C$401,MATCH($A207,Реестр!$W$2:$W$401,0)))</f>
        <v>5008142510</v>
      </c>
      <c r="D207" s="24" t="str">
        <f aca="false">IF($A207="","",INDEX(Реестр!$D$2:$D$401,MATCH($A207,Реестр!$W$2:$W$401,0)))</f>
        <v>1205040226456</v>
      </c>
      <c r="E207" s="24" t="str">
        <f aca="false">IF($A207="","",INDEX(Реестр!$E$2:$E$401,MATCH($A207,Реестр!$W$2:$W$401,0)))</f>
        <v>500845001</v>
      </c>
      <c r="F207" s="24" t="str">
        <f aca="false">IF($A207="","",INDEX(Реестр!$J$2:$J$401,MATCH($A207,Реестр!$W$2:$W$401,0)))</f>
        <v>Московская область</v>
      </c>
      <c r="G207" s="24" t="str">
        <f aca="false">IF($A207="","",INDEX(Реестр!$F$2:$F$401,MATCH($A207,Реестр!$W$2:$W$401,0)))</f>
        <v>г. Красногорск, ул. Садовая, д. 97, оф. 13</v>
      </c>
      <c r="H207" s="24" t="str">
        <f aca="false">IF($A207="","",INDEX(Реестр!$G$2:$G$401,MATCH($A207,Реестр!$W$2:$W$401,0)))</f>
        <v>Смирнов Е. Д.</v>
      </c>
      <c r="I207" s="24" t="str">
        <f aca="false">IF($A207="","",INDEX(Реестр!$H$2:$H$401,MATCH($A207,Реестр!$W$2:$W$401,0)))</f>
        <v>zakaz@alfa-grupp.example</v>
      </c>
      <c r="J207" s="24" t="str">
        <f aca="false">IF($A207="","",INDEX(Реестр!$I$2:$I$401,MATCH($A207,Реестр!$W$2:$W$401,0)))</f>
        <v>8 498 5613764</v>
      </c>
    </row>
    <row r="208" customFormat="false" ht="15" hidden="false" customHeight="false" outlineLevel="0" collapsed="false">
      <c r="A208" s="21" t="n">
        <f aca="false">IF(ROWS(A$5:A208)&lt;=MAX(Реестр!$W$2:$W$401),ROWS(A$5:A208),"")</f>
        <v>204</v>
      </c>
      <c r="B208" s="24" t="str">
        <f aca="false">IF($A208="","",INDEX(Реестр!$B$2:$B$401,MATCH($A208,Реестр!$W$2:$W$401,0)))</f>
        <v>ООО «Квант Принт»</v>
      </c>
      <c r="C208" s="24" t="str">
        <f aca="false">IF($A208="","",INDEX(Реестр!$C$2:$C$401,MATCH($A208,Реестр!$W$2:$W$401,0)))</f>
        <v>7833580824</v>
      </c>
      <c r="D208" s="24" t="str">
        <f aca="false">IF($A208="","",INDEX(Реестр!$D$2:$D$401,MATCH($A208,Реестр!$W$2:$W$401,0)))</f>
        <v>5197811760823</v>
      </c>
      <c r="E208" s="24" t="str">
        <f aca="false">IF($A208="","",INDEX(Реестр!$E$2:$E$401,MATCH($A208,Реестр!$W$2:$W$401,0)))</f>
        <v>783345002</v>
      </c>
      <c r="F208" s="24" t="str">
        <f aca="false">IF($A208="","",INDEX(Реестр!$J$2:$J$401,MATCH($A208,Реестр!$W$2:$W$401,0)))</f>
        <v>г. Санкт-Петербург</v>
      </c>
      <c r="G208" s="24" t="str">
        <f aca="false">IF($A208="","",INDEX(Реестр!$F$2:$F$401,MATCH($A208,Реестр!$W$2:$W$401,0)))</f>
        <v>г. Санкт-Петербург, ул. Школьная, д. 73, оф. 241</v>
      </c>
      <c r="H208" s="24" t="str">
        <f aca="false">IF($A208="","",INDEX(Реестр!$G$2:$G$401,MATCH($A208,Реестр!$W$2:$W$401,0)))</f>
        <v>Михайлова О. И.</v>
      </c>
      <c r="I208" s="24" t="str">
        <f aca="false">IF($A208="","",INDEX(Реестр!$H$2:$H$401,MATCH($A208,Реестр!$W$2:$W$401,0)))</f>
        <v>zakaz@kvant-print.example</v>
      </c>
      <c r="J208" s="24" t="str">
        <f aca="false">IF($A208="","",INDEX(Реестр!$I$2:$I$401,MATCH($A208,Реестр!$W$2:$W$401,0)))</f>
        <v>+78125504144</v>
      </c>
    </row>
    <row r="209" customFormat="false" ht="15" hidden="false" customHeight="false" outlineLevel="0" collapsed="false">
      <c r="A209" s="21" t="n">
        <f aca="false">IF(ROWS(A$5:A209)&lt;=MAX(Реестр!$W$2:$W$401),ROWS(A$5:A209),"")</f>
        <v>205</v>
      </c>
      <c r="B209" s="24" t="str">
        <f aca="false">IF($A209="","",INDEX(Реестр!$B$2:$B$401,MATCH($A209,Реестр!$W$2:$W$401,0)))</f>
        <v>ООО «Линия Энерго»</v>
      </c>
      <c r="C209" s="24" t="str">
        <f aca="false">IF($A209="","",INDEX(Реестр!$C$2:$C$401,MATCH($A209,Реестр!$W$2:$W$401,0)))</f>
        <v>7744914120</v>
      </c>
      <c r="D209" s="24" t="str">
        <f aca="false">IF($A209="","",INDEX(Реестр!$D$2:$D$401,MATCH($A209,Реестр!$W$2:$W$401,0)))</f>
        <v>5157711185572</v>
      </c>
      <c r="E209" s="24" t="str">
        <f aca="false">IF($A209="","",INDEX(Реестр!$E$2:$E$401,MATCH($A209,Реестр!$W$2:$W$401,0)))</f>
        <v>774401003</v>
      </c>
      <c r="F209" s="24" t="str">
        <f aca="false">IF($A209="","",INDEX(Реестр!$J$2:$J$401,MATCH($A209,Реестр!$W$2:$W$401,0)))</f>
        <v>г. Москва</v>
      </c>
      <c r="G209" s="24" t="str">
        <f aca="false">IF($A209="","",INDEX(Реестр!$F$2:$F$401,MATCH($A209,Реестр!$W$2:$W$401,0)))</f>
        <v>г. Москва, ул. Центральная, д. 53, оф. 81</v>
      </c>
      <c r="H209" s="24" t="str">
        <f aca="false">IF($A209="","",INDEX(Реестр!$G$2:$G$401,MATCH($A209,Реестр!$W$2:$W$401,0)))</f>
        <v>Петрова И. Е.</v>
      </c>
      <c r="I209" s="24" t="str">
        <f aca="false">IF($A209="","",INDEX(Реестр!$H$2:$H$401,MATCH($A209,Реестр!$W$2:$W$401,0)))</f>
        <v>sales@liniya-energo.example</v>
      </c>
      <c r="J209" s="24" t="str">
        <f aca="false">IF($A209="","",INDEX(Реестр!$I$2:$I$401,MATCH($A209,Реестр!$W$2:$W$401,0)))</f>
        <v>+7 (495) 543-36-61</v>
      </c>
    </row>
    <row r="210" customFormat="false" ht="15" hidden="false" customHeight="false" outlineLevel="0" collapsed="false">
      <c r="A210" s="21" t="n">
        <f aca="false">IF(ROWS(A$5:A210)&lt;=MAX(Реестр!$W$2:$W$401),ROWS(A$5:A210),"")</f>
        <v>206</v>
      </c>
      <c r="B210" s="24" t="str">
        <f aca="false">IF($A210="","",INDEX(Реестр!$B$2:$B$401,MATCH($A210,Реестр!$W$2:$W$401,0)))</f>
        <v>ООО «Прогресс Логистик»</v>
      </c>
      <c r="C210" s="24" t="str">
        <f aca="false">IF($A210="","",INDEX(Реестр!$C$2:$C$401,MATCH($A210,Реестр!$W$2:$W$401,0)))</f>
        <v>6141132360</v>
      </c>
      <c r="D210" s="24" t="str">
        <f aca="false">IF($A210="","",INDEX(Реестр!$D$2:$D$401,MATCH($A210,Реестр!$W$2:$W$401,0)))</f>
        <v>5186107143063</v>
      </c>
      <c r="E210" s="24" t="str">
        <f aca="false">IF($A210="","",INDEX(Реестр!$E$2:$E$401,MATCH($A210,Реестр!$W$2:$W$401,0)))</f>
        <v>614101007</v>
      </c>
      <c r="F210" s="24" t="str">
        <f aca="false">IF($A210="","",INDEX(Реестр!$J$2:$J$401,MATCH($A210,Реестр!$W$2:$W$401,0)))</f>
        <v>Ростовская область</v>
      </c>
      <c r="G210" s="24" t="str">
        <f aca="false">IF($A210="","",INDEX(Реестр!$F$2:$F$401,MATCH($A210,Реестр!$W$2:$W$401,0)))</f>
        <v>г. Ростов-на-Дону, ул. Советская, д. 25, оф. 172</v>
      </c>
      <c r="H210" s="24" t="str">
        <f aca="false">IF($A210="","",INDEX(Реестр!$G$2:$G$401,MATCH($A210,Реестр!$W$2:$W$401,0)))</f>
        <v>Павлов Д. М.</v>
      </c>
      <c r="I210" s="24" t="str">
        <f aca="false">IF($A210="","",INDEX(Реестр!$H$2:$H$401,MATCH($A210,Реестр!$W$2:$W$401,0)))</f>
        <v>sales@progress-logistik.example</v>
      </c>
      <c r="J210" s="24" t="str">
        <f aca="false">IF($A210="","",INDEX(Реестр!$I$2:$I$401,MATCH($A210,Реестр!$W$2:$W$401,0)))</f>
        <v>+7 (863) 589-61-84</v>
      </c>
    </row>
    <row r="211" customFormat="false" ht="15" hidden="false" customHeight="false" outlineLevel="0" collapsed="false">
      <c r="A211" s="21" t="n">
        <f aca="false">IF(ROWS(A$5:A211)&lt;=MAX(Реестр!$W$2:$W$401),ROWS(A$5:A211),"")</f>
        <v>207</v>
      </c>
      <c r="B211" s="24" t="str">
        <f aca="false">IF($A211="","",INDEX(Реестр!$B$2:$B$401,MATCH($A211,Реестр!$W$2:$W$401,0)))</f>
        <v>ООО «Эталон Снаб»</v>
      </c>
      <c r="C211" s="24" t="str">
        <f aca="false">IF($A211="","",INDEX(Реестр!$C$2:$C$401,MATCH($A211,Реестр!$W$2:$W$401,0)))</f>
        <v>9212585301</v>
      </c>
      <c r="D211" s="24" t="str">
        <f aca="false">IF($A211="","",INDEX(Реестр!$D$2:$D$401,MATCH($A211,Реестр!$W$2:$W$401,0)))</f>
        <v>1159207831122</v>
      </c>
      <c r="E211" s="24" t="str">
        <f aca="false">IF($A211="","",INDEX(Реестр!$E$2:$E$401,MATCH($A211,Реестр!$W$2:$W$401,0)))</f>
        <v>921243007</v>
      </c>
      <c r="F211" s="24" t="str">
        <f aca="false">IF($A211="","",INDEX(Реестр!$J$2:$J$401,MATCH($A211,Реестр!$W$2:$W$401,0)))</f>
        <v>г. Севастополь</v>
      </c>
      <c r="G211" s="24" t="str">
        <f aca="false">IF($A211="","",INDEX(Реестр!$F$2:$F$401,MATCH($A211,Реестр!$W$2:$W$401,0)))</f>
        <v>г. Севастополь, ул. Мира, д. 91, оф. 31</v>
      </c>
      <c r="H211" s="24" t="str">
        <f aca="false">IF($A211="","",INDEX(Реестр!$G$2:$G$401,MATCH($A211,Реестр!$W$2:$W$401,0)))</f>
        <v>Кузнецов Д. Т.</v>
      </c>
      <c r="I211" s="24" t="str">
        <f aca="false">IF($A211="","",INDEX(Реестр!$H$2:$H$401,MATCH($A211,Реестр!$W$2:$W$401,0)))</f>
        <v>info@etalon-snab.example</v>
      </c>
      <c r="J211" s="24" t="str">
        <f aca="false">IF($A211="","",INDEX(Реестр!$I$2:$I$401,MATCH($A211,Реестр!$W$2:$W$401,0)))</f>
        <v>+78695304699</v>
      </c>
    </row>
    <row r="212" customFormat="false" ht="15" hidden="false" customHeight="false" outlineLevel="0" collapsed="false">
      <c r="A212" s="21" t="n">
        <f aca="false">IF(ROWS(A$5:A212)&lt;=MAX(Реестр!$W$2:$W$401),ROWS(A$5:A212),"")</f>
        <v>208</v>
      </c>
      <c r="B212" s="24" t="str">
        <f aca="false">IF($A212="","",INDEX(Реестр!$B$2:$B$401,MATCH($A212,Реестр!$W$2:$W$401,0)))</f>
        <v>ООО «Юпитер Проект»</v>
      </c>
      <c r="C212" s="24" t="str">
        <f aca="false">IF($A212="","",INDEX(Реестр!$C$2:$C$401,MATCH($A212,Реестр!$W$2:$W$401,0)))</f>
        <v>5041123610</v>
      </c>
      <c r="D212" s="24" t="str">
        <f aca="false">IF($A212="","",INDEX(Реестр!$D$2:$D$401,MATCH($A212,Реестр!$W$2:$W$401,0)))</f>
        <v>1235047398046</v>
      </c>
      <c r="E212" s="24" t="str">
        <f aca="false">IF($A212="","",INDEX(Реестр!$E$2:$E$401,MATCH($A212,Реестр!$W$2:$W$401,0)))</f>
        <v>504143007</v>
      </c>
      <c r="F212" s="24" t="str">
        <f aca="false">IF($A212="","",INDEX(Реестр!$J$2:$J$401,MATCH($A212,Реестр!$W$2:$W$401,0)))</f>
        <v>Московская область</v>
      </c>
      <c r="G212" s="24" t="str">
        <f aca="false">IF($A212="","",INDEX(Реестр!$F$2:$F$401,MATCH($A212,Реестр!$W$2:$W$401,0)))</f>
        <v>г. Красногорск, ул. Парковая, д. 88, оф. 195</v>
      </c>
      <c r="H212" s="24" t="str">
        <f aca="false">IF($A212="","",INDEX(Реестр!$G$2:$G$401,MATCH($A212,Реестр!$W$2:$W$401,0)))</f>
        <v>Иванов М. С.</v>
      </c>
      <c r="I212" s="24" t="str">
        <f aca="false">IF($A212="","",INDEX(Реестр!$H$2:$H$401,MATCH($A212,Реестр!$W$2:$W$401,0)))</f>
        <v>zakaz@yupiter-proekt.example</v>
      </c>
      <c r="J212" s="24" t="str">
        <f aca="false">IF($A212="","",INDEX(Реестр!$I$2:$I$401,MATCH($A212,Реестр!$W$2:$W$401,0)))</f>
        <v>+7 (498) 568-41-21</v>
      </c>
    </row>
    <row r="213" customFormat="false" ht="15" hidden="false" customHeight="false" outlineLevel="0" collapsed="false">
      <c r="A213" s="21" t="n">
        <f aca="false">IF(ROWS(A$5:A213)&lt;=MAX(Реестр!$W$2:$W$401),ROWS(A$5:A213),"")</f>
        <v>209</v>
      </c>
      <c r="B213" s="24" t="str">
        <f aca="false">IF($A213="","",INDEX(Реестр!$B$2:$B$401,MATCH($A213,Реестр!$W$2:$W$401,0)))</f>
        <v>ООО «Радуга Фуд»</v>
      </c>
      <c r="C213" s="24" t="str">
        <f aca="false">IF($A213="","",INDEX(Реестр!$C$2:$C$401,MATCH($A213,Реестр!$W$2:$W$401,0)))</f>
        <v>2420150179</v>
      </c>
      <c r="D213" s="24" t="str">
        <f aca="false">IF($A213="","",INDEX(Реестр!$D$2:$D$401,MATCH($A213,Реестр!$W$2:$W$401,0)))</f>
        <v>1022447362948</v>
      </c>
      <c r="E213" s="24" t="str">
        <f aca="false">IF($A213="","",INDEX(Реестр!$E$2:$E$401,MATCH($A213,Реестр!$W$2:$W$401,0)))</f>
        <v>242001004</v>
      </c>
      <c r="F213" s="24" t="str">
        <f aca="false">IF($A213="","",INDEX(Реестр!$J$2:$J$401,MATCH($A213,Реестр!$W$2:$W$401,0)))</f>
        <v>Красноярский край</v>
      </c>
      <c r="G213" s="24" t="str">
        <f aca="false">IF($A213="","",INDEX(Реестр!$F$2:$F$401,MATCH($A213,Реестр!$W$2:$W$401,0)))</f>
        <v>г. Красноярск, ул. Мира, д. 17, оф. 187</v>
      </c>
      <c r="H213" s="24" t="str">
        <f aca="false">IF($A213="","",INDEX(Реестр!$G$2:$G$401,MATCH($A213,Реестр!$W$2:$W$401,0)))</f>
        <v>Николаева М. О.</v>
      </c>
      <c r="I213" s="24" t="str">
        <f aca="false">IF($A213="","",INDEX(Реестр!$H$2:$H$401,MATCH($A213,Реестр!$W$2:$W$401,0)))</f>
        <v>sales@raduga-fud.example</v>
      </c>
      <c r="J213" s="24" t="str">
        <f aca="false">IF($A213="","",INDEX(Реестр!$I$2:$I$401,MATCH($A213,Реестр!$W$2:$W$401,0)))</f>
        <v>8 391 5634126</v>
      </c>
    </row>
    <row r="214" customFormat="false" ht="15" hidden="false" customHeight="false" outlineLevel="0" collapsed="false">
      <c r="A214" s="21" t="n">
        <f aca="false">IF(ROWS(A$5:A214)&lt;=MAX(Реестр!$W$2:$W$401),ROWS(A$5:A214),"")</f>
        <v>210</v>
      </c>
      <c r="B214" s="24" t="str">
        <f aca="false">IF($A214="","",INDEX(Реестр!$B$2:$B$401,MATCH($A214,Реестр!$W$2:$W$401,0)))</f>
        <v>ООО «Линия Принт»</v>
      </c>
      <c r="C214" s="24" t="str">
        <f aca="false">IF($A214="","",INDEX(Реестр!$C$2:$C$401,MATCH($A214,Реестр!$W$2:$W$401,0)))</f>
        <v>0237762210</v>
      </c>
      <c r="D214" s="24" t="str">
        <f aca="false">IF($A214="","",INDEX(Реестр!$D$2:$D$401,MATCH($A214,Реестр!$W$2:$W$401,0)))</f>
        <v>1030247895260</v>
      </c>
      <c r="E214" s="24" t="str">
        <f aca="false">IF($A214="","",INDEX(Реестр!$E$2:$E$401,MATCH($A214,Реестр!$W$2:$W$401,0)))</f>
        <v>023743005</v>
      </c>
      <c r="F214" s="24" t="str">
        <f aca="false">IF($A214="","",INDEX(Реестр!$J$2:$J$401,MATCH($A214,Реестр!$W$2:$W$401,0)))</f>
        <v>Республика Башкортостан</v>
      </c>
      <c r="G214" s="24" t="str">
        <f aca="false">IF($A214="","",INDEX(Реестр!$F$2:$F$401,MATCH($A214,Реестр!$W$2:$W$401,0)))</f>
        <v>г. Уфа, ул. Центральная, д. 64, оф. 35</v>
      </c>
      <c r="H214" s="24" t="str">
        <f aca="false">IF($A214="","",INDEX(Реестр!$G$2:$G$401,MATCH($A214,Реестр!$W$2:$W$401,0)))</f>
        <v>Кузнецова Е. М.</v>
      </c>
      <c r="I214" s="24" t="str">
        <f aca="false">IF($A214="","",INDEX(Реестр!$H$2:$H$401,MATCH($A214,Реестр!$W$2:$W$401,0)))</f>
        <v>info@liniya-print.example</v>
      </c>
      <c r="J214" s="24" t="str">
        <f aca="false">IF($A214="","",INDEX(Реестр!$I$2:$I$401,MATCH($A214,Реестр!$W$2:$W$401,0)))</f>
        <v>+73475516616</v>
      </c>
    </row>
    <row r="215" customFormat="false" ht="15" hidden="false" customHeight="false" outlineLevel="0" collapsed="false">
      <c r="A215" s="21" t="n">
        <f aca="false">IF(ROWS(A$5:A215)&lt;=MAX(Реестр!$W$2:$W$401),ROWS(A$5:A215),"")</f>
        <v>211</v>
      </c>
      <c r="B215" s="24" t="str">
        <f aca="false">IF($A215="","",INDEX(Реестр!$B$2:$B$401,MATCH($A215,Реестр!$W$2:$W$401,0)))</f>
        <v>АО «Орбита Технологии»</v>
      </c>
      <c r="C215" s="24" t="str">
        <f aca="false">IF($A215="","",INDEX(Реестр!$C$2:$C$401,MATCH($A215,Реестр!$W$2:$W$401,0)))</f>
        <v>6608894610</v>
      </c>
      <c r="D215" s="24" t="str">
        <f aca="false">IF($A215="","",INDEX(Реестр!$D$2:$D$401,MATCH($A215,Реестр!$W$2:$W$401,0)))</f>
        <v>5076610863951</v>
      </c>
      <c r="E215" s="24" t="str">
        <f aca="false">IF($A215="","",INDEX(Реестр!$E$2:$E$401,MATCH($A215,Реестр!$W$2:$W$401,0)))</f>
        <v>660801001</v>
      </c>
      <c r="F215" s="24" t="str">
        <f aca="false">IF($A215="","",INDEX(Реестр!$J$2:$J$401,MATCH($A215,Реестр!$W$2:$W$401,0)))</f>
        <v>Свердловская область</v>
      </c>
      <c r="G215" s="24" t="str">
        <f aca="false">IF($A215="","",INDEX(Реестр!$F$2:$F$401,MATCH($A215,Реестр!$W$2:$W$401,0)))</f>
        <v>г. Екатеринбург, ул. Садовая, д. 88, оф. 119</v>
      </c>
      <c r="H215" s="24" t="str">
        <f aca="false">IF($A215="","",INDEX(Реестр!$G$2:$G$401,MATCH($A215,Реестр!$W$2:$W$401,0)))</f>
        <v>Васильева И. Е.</v>
      </c>
      <c r="I215" s="24" t="str">
        <f aca="false">IF($A215="","",INDEX(Реестр!$H$2:$H$401,MATCH($A215,Реестр!$W$2:$W$401,0)))</f>
        <v>sales@orbita-tekhnologii.example</v>
      </c>
      <c r="J215" s="24" t="str">
        <f aca="false">IF($A215="","",INDEX(Реестр!$I$2:$I$401,MATCH($A215,Реестр!$W$2:$W$401,0)))</f>
        <v>8 343 5147027</v>
      </c>
    </row>
    <row r="216" customFormat="false" ht="15" hidden="false" customHeight="false" outlineLevel="0" collapsed="false">
      <c r="A216" s="21" t="n">
        <f aca="false">IF(ROWS(A$5:A216)&lt;=MAX(Реестр!$W$2:$W$401),ROWS(A$5:A216),"")</f>
        <v>212</v>
      </c>
      <c r="B216" s="24" t="str">
        <f aca="false">IF($A216="","",INDEX(Реестр!$B$2:$B$401,MATCH($A216,Реестр!$W$2:$W$401,0)))</f>
        <v>ООО «Феникс Снаб»</v>
      </c>
      <c r="C216" s="24" t="str">
        <f aca="false">IF($A216="","",INDEX(Реестр!$C$2:$C$401,MATCH($A216,Реестр!$W$2:$W$401,0)))</f>
        <v>9249112252</v>
      </c>
      <c r="D216" s="24" t="str">
        <f aca="false">IF($A216="","",INDEX(Реестр!$D$2:$D$401,MATCH($A216,Реестр!$W$2:$W$401,0)))</f>
        <v>1099209793407</v>
      </c>
      <c r="E216" s="24" t="str">
        <f aca="false">IF($A216="","",INDEX(Реестр!$E$2:$E$401,MATCH($A216,Реестр!$W$2:$W$401,0)))</f>
        <v>924943006</v>
      </c>
      <c r="F216" s="24" t="str">
        <f aca="false">IF($A216="","",INDEX(Реестр!$J$2:$J$401,MATCH($A216,Реестр!$W$2:$W$401,0)))</f>
        <v>г. Севастополь</v>
      </c>
      <c r="G216" s="24" t="str">
        <f aca="false">IF($A216="","",INDEX(Реестр!$F$2:$F$401,MATCH($A216,Реестр!$W$2:$W$401,0)))</f>
        <v>г. Севастополь, ул. Парковая, д. 25, оф. 299</v>
      </c>
      <c r="H216" s="24" t="str">
        <f aca="false">IF($A216="","",INDEX(Реестр!$G$2:$G$401,MATCH($A216,Реестр!$W$2:$W$401,0)))</f>
        <v>Иванов Т. О.</v>
      </c>
      <c r="I216" s="24" t="str">
        <f aca="false">IF($A216="","",INDEX(Реестр!$H$2:$H$401,MATCH($A216,Реестр!$W$2:$W$401,0)))</f>
        <v>sales@feniks-snab.example</v>
      </c>
      <c r="J216" s="24" t="str">
        <f aca="false">IF($A216="","",INDEX(Реестр!$I$2:$I$401,MATCH($A216,Реестр!$W$2:$W$401,0)))</f>
        <v>+7 (869) 537-57-95</v>
      </c>
    </row>
    <row r="217" customFormat="false" ht="15" hidden="false" customHeight="false" outlineLevel="0" collapsed="false">
      <c r="A217" s="21" t="n">
        <f aca="false">IF(ROWS(A$5:A217)&lt;=MAX(Реестр!$W$2:$W$401),ROWS(A$5:A217),"")</f>
        <v>213</v>
      </c>
      <c r="B217" s="24" t="str">
        <f aca="false">IF($A217="","",INDEX(Реестр!$B$2:$B$401,MATCH($A217,Реестр!$W$2:$W$401,0)))</f>
        <v>ООО «Берег Снаб»</v>
      </c>
      <c r="C217" s="24" t="str">
        <f aca="false">IF($A217="","",INDEX(Реестр!$C$2:$C$401,MATCH($A217,Реестр!$W$2:$W$401,0)))</f>
        <v>2301498496</v>
      </c>
      <c r="D217" s="24" t="str">
        <f aca="false">IF($A217="","",INDEX(Реестр!$D$2:$D$401,MATCH($A217,Реестр!$W$2:$W$401,0)))</f>
        <v>1022315257106</v>
      </c>
      <c r="E217" s="24" t="str">
        <f aca="false">IF($A217="","",INDEX(Реестр!$E$2:$E$401,MATCH($A217,Реестр!$W$2:$W$401,0)))</f>
        <v>230101009</v>
      </c>
      <c r="F217" s="24" t="str">
        <f aca="false">IF($A217="","",INDEX(Реестр!$J$2:$J$401,MATCH($A217,Реестр!$W$2:$W$401,0)))</f>
        <v>Краснодарский край</v>
      </c>
      <c r="G217" s="24" t="str">
        <f aca="false">IF($A217="","",INDEX(Реестр!$F$2:$F$401,MATCH($A217,Реестр!$W$2:$W$401,0)))</f>
        <v>г. Краснодар, ул. Победы, д. 100, оф. 271</v>
      </c>
      <c r="H217" s="24" t="str">
        <f aca="false">IF($A217="","",INDEX(Реестр!$G$2:$G$401,MATCH($A217,Реестр!$W$2:$W$401,0)))</f>
        <v>Степанова Е. В.</v>
      </c>
      <c r="I217" s="24" t="str">
        <f aca="false">IF($A217="","",INDEX(Реестр!$H$2:$H$401,MATCH($A217,Реестр!$W$2:$W$401,0)))</f>
        <v>zakaz@bereg-snab.example</v>
      </c>
      <c r="J217" s="24" t="str">
        <f aca="false">IF($A217="","",INDEX(Реестр!$I$2:$I$401,MATCH($A217,Реестр!$W$2:$W$401,0)))</f>
        <v>8 861 5038482</v>
      </c>
    </row>
    <row r="218" customFormat="false" ht="15" hidden="false" customHeight="false" outlineLevel="0" collapsed="false">
      <c r="A218" s="21" t="n">
        <f aca="false">IF(ROWS(A$5:A218)&lt;=MAX(Реестр!$W$2:$W$401),ROWS(A$5:A218),"")</f>
        <v>214</v>
      </c>
      <c r="B218" s="24" t="str">
        <f aca="false">IF($A218="","",INDEX(Реестр!$B$2:$B$401,MATCH($A218,Реестр!$W$2:$W$401,0)))</f>
        <v>ООО «Тандем Стандарт»</v>
      </c>
      <c r="C218" s="24" t="str">
        <f aca="false">IF($A218="","",INDEX(Реестр!$C$2:$C$401,MATCH($A218,Реестр!$W$2:$W$401,0)))</f>
        <v>7731379933</v>
      </c>
      <c r="D218" s="24" t="str">
        <f aca="false">IF($A218="","",INDEX(Реестр!$D$2:$D$401,MATCH($A218,Реестр!$W$2:$W$401,0)))</f>
        <v>5177748321328</v>
      </c>
      <c r="E218" s="24" t="str">
        <f aca="false">IF($A218="","",INDEX(Реестр!$E$2:$E$401,MATCH($A218,Реестр!$W$2:$W$401,0)))</f>
        <v>773143008</v>
      </c>
      <c r="F218" s="24" t="str">
        <f aca="false">IF($A218="","",INDEX(Реестр!$J$2:$J$401,MATCH($A218,Реестр!$W$2:$W$401,0)))</f>
        <v>г. Москва</v>
      </c>
      <c r="G218" s="24" t="str">
        <f aca="false">IF($A218="","",INDEX(Реестр!$F$2:$F$401,MATCH($A218,Реестр!$W$2:$W$401,0)))</f>
        <v>г. Москва, ул. Центральная, д. 97, оф. 211</v>
      </c>
      <c r="H218" s="24" t="str">
        <f aca="false">IF($A218="","",INDEX(Реестр!$G$2:$G$401,MATCH($A218,Реестр!$W$2:$W$401,0)))</f>
        <v>Петрова С. Д.</v>
      </c>
      <c r="I218" s="24" t="str">
        <f aca="false">IF($A218="","",INDEX(Реестр!$H$2:$H$401,MATCH($A218,Реестр!$W$2:$W$401,0)))</f>
        <v>mail@tandem-standart.example</v>
      </c>
      <c r="J218" s="24" t="str">
        <f aca="false">IF($A218="","",INDEX(Реестр!$I$2:$I$401,MATCH($A218,Реестр!$W$2:$W$401,0)))</f>
        <v>+7 (495) 533-18-67</v>
      </c>
    </row>
    <row r="219" customFormat="false" ht="15" hidden="false" customHeight="false" outlineLevel="0" collapsed="false">
      <c r="A219" s="21" t="n">
        <f aca="false">IF(ROWS(A$5:A219)&lt;=MAX(Реестр!$W$2:$W$401),ROWS(A$5:A219),"")</f>
        <v>215</v>
      </c>
      <c r="B219" s="24" t="str">
        <f aca="false">IF($A219="","",INDEX(Реестр!$B$2:$B$401,MATCH($A219,Реестр!$W$2:$W$401,0)))</f>
        <v>ООО «Эталон Фуд»</v>
      </c>
      <c r="C219" s="24" t="str">
        <f aca="false">IF($A219="","",INDEX(Реестр!$C$2:$C$401,MATCH($A219,Реестр!$W$2:$W$401,0)))</f>
        <v>2347239494</v>
      </c>
      <c r="D219" s="24" t="str">
        <f aca="false">IF($A219="","",INDEX(Реестр!$D$2:$D$401,MATCH($A219,Реестр!$W$2:$W$401,0)))</f>
        <v>5212317272140</v>
      </c>
      <c r="E219" s="24" t="str">
        <f aca="false">IF($A219="","",INDEX(Реестр!$E$2:$E$401,MATCH($A219,Реестр!$W$2:$W$401,0)))</f>
        <v>234701001</v>
      </c>
      <c r="F219" s="24" t="str">
        <f aca="false">IF($A219="","",INDEX(Реестр!$J$2:$J$401,MATCH($A219,Реестр!$W$2:$W$401,0)))</f>
        <v>Краснодарский край</v>
      </c>
      <c r="G219" s="24" t="str">
        <f aca="false">IF($A219="","",INDEX(Реестр!$F$2:$F$401,MATCH($A219,Реестр!$W$2:$W$401,0)))</f>
        <v>г. Краснодар, ул. Парковая, д. 106, оф. 86</v>
      </c>
      <c r="H219" s="24" t="str">
        <f aca="false">IF($A219="","",INDEX(Реестр!$G$2:$G$401,MATCH($A219,Реестр!$W$2:$W$401,0)))</f>
        <v>Петрова С. И.</v>
      </c>
      <c r="I219" s="24" t="str">
        <f aca="false">IF($A219="","",INDEX(Реестр!$H$2:$H$401,MATCH($A219,Реестр!$W$2:$W$401,0)))</f>
        <v>zakaz@etalon-fud.example</v>
      </c>
      <c r="J219" s="24" t="str">
        <f aca="false">IF($A219="","",INDEX(Реестр!$I$2:$I$401,MATCH($A219,Реестр!$W$2:$W$401,0)))</f>
        <v>8 861 5074600</v>
      </c>
    </row>
    <row r="220" customFormat="false" ht="15" hidden="false" customHeight="false" outlineLevel="0" collapsed="false">
      <c r="A220" s="21" t="n">
        <f aca="false">IF(ROWS(A$5:A220)&lt;=MAX(Реестр!$W$2:$W$401),ROWS(A$5:A220),"")</f>
        <v>216</v>
      </c>
      <c r="B220" s="24" t="str">
        <f aca="false">IF($A220="","",INDEX(Реестр!$B$2:$B$401,MATCH($A220,Реестр!$W$2:$W$401,0)))</f>
        <v>ООО «Прогресс Консалт»</v>
      </c>
      <c r="C220" s="24" t="str">
        <f aca="false">IF($A220="","",INDEX(Реестр!$C$2:$C$401,MATCH($A220,Реестр!$W$2:$W$401,0)))</f>
        <v>6105070567</v>
      </c>
      <c r="D220" s="24" t="str">
        <f aca="false">IF($A220="","",INDEX(Реестр!$D$2:$D$401,MATCH($A220,Реестр!$W$2:$W$401,0)))</f>
        <v>5236117496324</v>
      </c>
      <c r="E220" s="24" t="str">
        <f aca="false">IF($A220="","",INDEX(Реестр!$E$2:$E$401,MATCH($A220,Реестр!$W$2:$W$401,0)))</f>
        <v>610501001</v>
      </c>
      <c r="F220" s="24" t="str">
        <f aca="false">IF($A220="","",INDEX(Реестр!$J$2:$J$401,MATCH($A220,Реестр!$W$2:$W$401,0)))</f>
        <v>Ростовская область</v>
      </c>
      <c r="G220" s="24" t="str">
        <f aca="false">IF($A220="","",INDEX(Реестр!$F$2:$F$401,MATCH($A220,Реестр!$W$2:$W$401,0)))</f>
        <v>г. Ростов-на-Дону, ул. Заводская, д. 54, оф. 197</v>
      </c>
      <c r="H220" s="24" t="str">
        <f aca="false">IF($A220="","",INDEX(Реестр!$G$2:$G$401,MATCH($A220,Реестр!$W$2:$W$401,0)))</f>
        <v>Козлов Н. О.</v>
      </c>
      <c r="I220" s="24" t="str">
        <f aca="false">IF($A220="","",INDEX(Реестр!$H$2:$H$401,MATCH($A220,Реестр!$W$2:$W$401,0)))</f>
        <v>sales@progress-konsalt.example</v>
      </c>
      <c r="J220" s="24" t="str">
        <f aca="false">IF($A220="","",INDEX(Реестр!$I$2:$I$401,MATCH($A220,Реестр!$W$2:$W$401,0)))</f>
        <v>+7 (863) 597-71-91</v>
      </c>
    </row>
    <row r="221" customFormat="false" ht="15" hidden="false" customHeight="false" outlineLevel="0" collapsed="false">
      <c r="A221" s="21" t="n">
        <f aca="false">IF(ROWS(A$5:A221)&lt;=MAX(Реестр!$W$2:$W$401),ROWS(A$5:A221),"")</f>
        <v>217</v>
      </c>
      <c r="B221" s="24" t="str">
        <f aca="false">IF($A221="","",INDEX(Реестр!$B$2:$B$401,MATCH($A221,Реестр!$W$2:$W$401,0)))</f>
        <v>ООО «Дельта Трейд»</v>
      </c>
      <c r="C221" s="24" t="str">
        <f aca="false">IF($A221="","",INDEX(Реестр!$C$2:$C$401,MATCH($A221,Реестр!$W$2:$W$401,0)))</f>
        <v>9123289406</v>
      </c>
      <c r="D221" s="24" t="str">
        <f aca="false">IF($A221="","",INDEX(Реестр!$D$2:$D$401,MATCH($A221,Реестр!$W$2:$W$401,0)))</f>
        <v>5089117580976</v>
      </c>
      <c r="E221" s="24" t="str">
        <f aca="false">IF($A221="","",INDEX(Реестр!$E$2:$E$401,MATCH($A221,Реестр!$W$2:$W$401,0)))</f>
        <v>912343003</v>
      </c>
      <c r="F221" s="24" t="str">
        <f aca="false">IF($A221="","",INDEX(Реестр!$J$2:$J$401,MATCH($A221,Реестр!$W$2:$W$401,0)))</f>
        <v>Республика Крым</v>
      </c>
      <c r="G221" s="24" t="str">
        <f aca="false">IF($A221="","",INDEX(Реестр!$F$2:$F$401,MATCH($A221,Реестр!$W$2:$W$401,0)))</f>
        <v>г. Симферополь, ул. Кирова, д. 2, оф. 208</v>
      </c>
      <c r="H221" s="24" t="str">
        <f aca="false">IF($A221="","",INDEX(Реестр!$G$2:$G$401,MATCH($A221,Реестр!$W$2:$W$401,0)))</f>
        <v>Морозова С. Т.</v>
      </c>
      <c r="I221" s="24" t="str">
        <f aca="false">IF($A221="","",INDEX(Реестр!$H$2:$H$401,MATCH($A221,Реестр!$W$2:$W$401,0)))</f>
        <v>mail@delta-treid.example</v>
      </c>
      <c r="J221" s="24" t="str">
        <f aca="false">IF($A221="","",INDEX(Реестр!$I$2:$I$401,MATCH($A221,Реестр!$W$2:$W$401,0)))</f>
        <v>+7 (365) 518-98-79</v>
      </c>
    </row>
    <row r="222" customFormat="false" ht="15" hidden="false" customHeight="false" outlineLevel="0" collapsed="false">
      <c r="A222" s="21" t="n">
        <f aca="false">IF(ROWS(A$5:A222)&lt;=MAX(Реестр!$W$2:$W$401),ROWS(A$5:A222),"")</f>
        <v>218</v>
      </c>
      <c r="B222" s="24" t="str">
        <f aca="false">IF($A222="","",INDEX(Реестр!$B$2:$B$401,MATCH($A222,Реестр!$W$2:$W$401,0)))</f>
        <v>ООО «Импульс Принт»</v>
      </c>
      <c r="C222" s="24" t="str">
        <f aca="false">IF($A222="","",INDEX(Реестр!$C$2:$C$401,MATCH($A222,Реестр!$W$2:$W$401,0)))</f>
        <v>6124187377</v>
      </c>
      <c r="D222" s="24" t="str">
        <f aca="false">IF($A222="","",INDEX(Реестр!$D$2:$D$401,MATCH($A222,Реестр!$W$2:$W$401,0)))</f>
        <v>5056120555805</v>
      </c>
      <c r="E222" s="24" t="str">
        <f aca="false">IF($A222="","",INDEX(Реестр!$E$2:$E$401,MATCH($A222,Реестр!$W$2:$W$401,0)))</f>
        <v>612445001</v>
      </c>
      <c r="F222" s="24" t="str">
        <f aca="false">IF($A222="","",INDEX(Реестр!$J$2:$J$401,MATCH($A222,Реестр!$W$2:$W$401,0)))</f>
        <v>Ростовская область</v>
      </c>
      <c r="G222" s="24" t="str">
        <f aca="false">IF($A222="","",INDEX(Реестр!$F$2:$F$401,MATCH($A222,Реестр!$W$2:$W$401,0)))</f>
        <v>г. Ростов-на-Дону, ул. Победы, д. 90, оф. 158</v>
      </c>
      <c r="H222" s="24" t="str">
        <f aca="false">IF($A222="","",INDEX(Реестр!$G$2:$G$401,MATCH($A222,Реестр!$W$2:$W$401,0)))</f>
        <v>Иванова Д. Д.</v>
      </c>
      <c r="I222" s="24" t="str">
        <f aca="false">IF($A222="","",INDEX(Реестр!$H$2:$H$401,MATCH($A222,Реестр!$W$2:$W$401,0)))</f>
        <v>office@impuls-print.example</v>
      </c>
      <c r="J222" s="24" t="str">
        <f aca="false">IF($A222="","",INDEX(Реестр!$I$2:$I$401,MATCH($A222,Реестр!$W$2:$W$401,0)))</f>
        <v>8 863 5675564</v>
      </c>
    </row>
    <row r="223" customFormat="false" ht="15" hidden="false" customHeight="false" outlineLevel="0" collapsed="false">
      <c r="A223" s="21" t="n">
        <f aca="false">IF(ROWS(A$5:A223)&lt;=MAX(Реестр!$W$2:$W$401),ROWS(A$5:A223),"")</f>
        <v>219</v>
      </c>
      <c r="B223" s="24" t="str">
        <f aca="false">IF($A223="","",INDEX(Реестр!$B$2:$B$401,MATCH($A223,Реестр!$W$2:$W$401,0)))</f>
        <v>ООО «Радуга Снаб»</v>
      </c>
      <c r="C223" s="24" t="str">
        <f aca="false">IF($A223="","",INDEX(Реестр!$C$2:$C$401,MATCH($A223,Реестр!$W$2:$W$401,0)))</f>
        <v>9121308967</v>
      </c>
      <c r="D223" s="24" t="str">
        <f aca="false">IF($A223="","",INDEX(Реестр!$D$2:$D$401,MATCH($A223,Реестр!$W$2:$W$401,0)))</f>
        <v>5209133868895</v>
      </c>
      <c r="E223" s="24" t="str">
        <f aca="false">IF($A223="","",INDEX(Реестр!$E$2:$E$401,MATCH($A223,Реестр!$W$2:$W$401,0)))</f>
        <v>912143003</v>
      </c>
      <c r="F223" s="24" t="str">
        <f aca="false">IF($A223="","",INDEX(Реестр!$J$2:$J$401,MATCH($A223,Реестр!$W$2:$W$401,0)))</f>
        <v>Республика Крым</v>
      </c>
      <c r="G223" s="24" t="str">
        <f aca="false">IF($A223="","",INDEX(Реестр!$F$2:$F$401,MATCH($A223,Реестр!$W$2:$W$401,0)))</f>
        <v>г. Симферополь, ул. Садовая, д. 41, оф. 180</v>
      </c>
      <c r="H223" s="24" t="str">
        <f aca="false">IF($A223="","",INDEX(Реестр!$G$2:$G$401,MATCH($A223,Реестр!$W$2:$W$401,0)))</f>
        <v>Иванов Н. М.</v>
      </c>
      <c r="I223" s="24" t="str">
        <f aca="false">IF($A223="","",INDEX(Реестр!$H$2:$H$401,MATCH($A223,Реестр!$W$2:$W$401,0)))</f>
        <v>office@raduga-snab.example</v>
      </c>
      <c r="J223" s="24" t="str">
        <f aca="false">IF($A223="","",INDEX(Реестр!$I$2:$I$401,MATCH($A223,Реестр!$W$2:$W$401,0)))</f>
        <v>+7 (365) 534-14-18</v>
      </c>
    </row>
    <row r="224" customFormat="false" ht="15" hidden="false" customHeight="false" outlineLevel="0" collapsed="false">
      <c r="A224" s="21" t="n">
        <f aca="false">IF(ROWS(A$5:A224)&lt;=MAX(Реестр!$W$2:$W$401),ROWS(A$5:A224),"")</f>
        <v>220</v>
      </c>
      <c r="B224" s="24" t="str">
        <f aca="false">IF($A224="","",INDEX(Реестр!$B$2:$B$401,MATCH($A224,Реестр!$W$2:$W$401,0)))</f>
        <v>ООО «Гранит Торг»</v>
      </c>
      <c r="C224" s="24" t="str">
        <f aca="false">IF($A224="","",INDEX(Реестр!$C$2:$C$401,MATCH($A224,Реестр!$W$2:$W$401,0)))</f>
        <v>6147193391</v>
      </c>
      <c r="D224" s="24" t="str">
        <f aca="false">IF($A224="","",INDEX(Реестр!$D$2:$D$401,MATCH($A224,Реестр!$W$2:$W$401,0)))</f>
        <v>5066145106979</v>
      </c>
      <c r="E224" s="24" t="str">
        <f aca="false">IF($A224="","",INDEX(Реестр!$E$2:$E$401,MATCH($A224,Реестр!$W$2:$W$401,0)))</f>
        <v>614701005</v>
      </c>
      <c r="F224" s="24" t="str">
        <f aca="false">IF($A224="","",INDEX(Реестр!$J$2:$J$401,MATCH($A224,Реестр!$W$2:$W$401,0)))</f>
        <v>Ростовская область</v>
      </c>
      <c r="G224" s="24" t="str">
        <f aca="false">IF($A224="","",INDEX(Реестр!$F$2:$F$401,MATCH($A224,Реестр!$W$2:$W$401,0)))</f>
        <v>г. Ростов-на-Дону, ул. Центральная, д. 47, оф. 85</v>
      </c>
      <c r="H224" s="24" t="str">
        <f aca="false">IF($A224="","",INDEX(Реестр!$G$2:$G$401,MATCH($A224,Реестр!$W$2:$W$401,0)))</f>
        <v>Петрова Д. О.</v>
      </c>
      <c r="I224" s="24" t="str">
        <f aca="false">IF($A224="","",INDEX(Реестр!$H$2:$H$401,MATCH($A224,Реестр!$W$2:$W$401,0)))</f>
        <v>sales@granit-torg.example</v>
      </c>
      <c r="J224" s="24" t="str">
        <f aca="false">IF($A224="","",INDEX(Реестр!$I$2:$I$401,MATCH($A224,Реестр!$W$2:$W$401,0)))</f>
        <v>8 863 5669300</v>
      </c>
    </row>
    <row r="225" customFormat="false" ht="15" hidden="false" customHeight="false" outlineLevel="0" collapsed="false">
      <c r="A225" s="21" t="n">
        <f aca="false">IF(ROWS(A$5:A225)&lt;=MAX(Реестр!$W$2:$W$401),ROWS(A$5:A225),"")</f>
        <v>221</v>
      </c>
      <c r="B225" s="24" t="str">
        <f aca="false">IF($A225="","",INDEX(Реестр!$B$2:$B$401,MATCH($A225,Реестр!$W$2:$W$401,0)))</f>
        <v>ООО «Радуга Строй»</v>
      </c>
      <c r="C225" s="24" t="str">
        <f aca="false">IF($A225="","",INDEX(Реестр!$C$2:$C$401,MATCH($A225,Реестр!$W$2:$W$401,0)))</f>
        <v>6619289357</v>
      </c>
      <c r="D225" s="24" t="str">
        <f aca="false">IF($A225="","",INDEX(Реестр!$D$2:$D$401,MATCH($A225,Реестр!$W$2:$W$401,0)))</f>
        <v>1106602410661</v>
      </c>
      <c r="E225" s="24" t="str">
        <f aca="false">IF($A225="","",INDEX(Реестр!$E$2:$E$401,MATCH($A225,Реестр!$W$2:$W$401,0)))</f>
        <v>661901001</v>
      </c>
      <c r="F225" s="24" t="str">
        <f aca="false">IF($A225="","",INDEX(Реестр!$J$2:$J$401,MATCH($A225,Реестр!$W$2:$W$401,0)))</f>
        <v>Свердловская область</v>
      </c>
      <c r="G225" s="24" t="str">
        <f aca="false">IF($A225="","",INDEX(Реестр!$F$2:$F$401,MATCH($A225,Реестр!$W$2:$W$401,0)))</f>
        <v>г. Екатеринбург, ул. Набережная, д. 60, оф. 72</v>
      </c>
      <c r="H225" s="24" t="str">
        <f aca="false">IF($A225="","",INDEX(Реестр!$G$2:$G$401,MATCH($A225,Реестр!$W$2:$W$401,0)))</f>
        <v>Смирнова С. М.</v>
      </c>
      <c r="I225" s="24" t="str">
        <f aca="false">IF($A225="","",INDEX(Реестр!$H$2:$H$401,MATCH($A225,Реестр!$W$2:$W$401,0)))</f>
        <v>zakaz@raduga-stroy.example</v>
      </c>
      <c r="J225" s="24" t="str">
        <f aca="false">IF($A225="","",INDEX(Реестр!$I$2:$I$401,MATCH($A225,Реестр!$W$2:$W$401,0)))</f>
        <v>+7 (343) 553-94-90</v>
      </c>
    </row>
    <row r="226" customFormat="false" ht="15" hidden="false" customHeight="false" outlineLevel="0" collapsed="false">
      <c r="A226" s="21" t="n">
        <f aca="false">IF(ROWS(A$5:A226)&lt;=MAX(Реестр!$W$2:$W$401),ROWS(A$5:A226),"")</f>
        <v>222</v>
      </c>
      <c r="B226" s="24" t="str">
        <f aca="false">IF($A226="","",INDEX(Реестр!$B$2:$B$401,MATCH($A226,Реестр!$W$2:$W$401,0)))</f>
        <v>ООО «Атлант Софт»</v>
      </c>
      <c r="C226" s="24" t="str">
        <f aca="false">IF($A226="","",INDEX(Реестр!$C$2:$C$401,MATCH($A226,Реестр!$W$2:$W$401,0)))</f>
        <v>1624601332</v>
      </c>
      <c r="D226" s="24" t="str">
        <f aca="false">IF($A226="","",INDEX(Реестр!$D$2:$D$401,MATCH($A226,Реестр!$W$2:$W$401,0)))</f>
        <v>1021611261682</v>
      </c>
      <c r="E226" s="24" t="str">
        <f aca="false">IF($A226="","",INDEX(Реестр!$E$2:$E$401,MATCH($A226,Реестр!$W$2:$W$401,0)))</f>
        <v>162445003</v>
      </c>
      <c r="F226" s="24" t="str">
        <f aca="false">IF($A226="","",INDEX(Реестр!$J$2:$J$401,MATCH($A226,Реестр!$W$2:$W$401,0)))</f>
        <v>Республика Татарстан</v>
      </c>
      <c r="G226" s="24" t="str">
        <f aca="false">IF($A226="","",INDEX(Реестр!$F$2:$F$401,MATCH($A226,Реестр!$W$2:$W$401,0)))</f>
        <v>г. Казань, ул. Ленина, д. 60, оф. 51</v>
      </c>
      <c r="H226" s="24" t="str">
        <f aca="false">IF($A226="","",INDEX(Реестр!$G$2:$G$401,MATCH($A226,Реестр!$W$2:$W$401,0)))</f>
        <v>Смирнов Н. А.</v>
      </c>
      <c r="I226" s="24" t="str">
        <f aca="false">IF($A226="","",INDEX(Реестр!$H$2:$H$401,MATCH($A226,Реестр!$W$2:$W$401,0)))</f>
        <v>zakaz@atlant-soft.example</v>
      </c>
      <c r="J226" s="24" t="str">
        <f aca="false">IF($A226="","",INDEX(Реестр!$I$2:$I$401,MATCH($A226,Реестр!$W$2:$W$401,0)))</f>
        <v>+78435948405</v>
      </c>
    </row>
    <row r="227" customFormat="false" ht="15" hidden="false" customHeight="false" outlineLevel="0" collapsed="false">
      <c r="A227" s="21" t="n">
        <f aca="false">IF(ROWS(A$5:A227)&lt;=MAX(Реестр!$W$2:$W$401),ROWS(A$5:A227),"")</f>
        <v>223</v>
      </c>
      <c r="B227" s="24" t="str">
        <f aca="false">IF($A227="","",INDEX(Реестр!$B$2:$B$401,MATCH($A227,Реестр!$W$2:$W$401,0)))</f>
        <v>ООО «Тандем Транс»</v>
      </c>
      <c r="C227" s="24" t="str">
        <f aca="false">IF($A227="","",INDEX(Реестр!$C$2:$C$401,MATCH($A227,Реестр!$W$2:$W$401,0)))</f>
        <v>7726429650</v>
      </c>
      <c r="D227" s="24" t="str">
        <f aca="false">IF($A227="","",INDEX(Реестр!$D$2:$D$401,MATCH($A227,Реестр!$W$2:$W$401,0)))</f>
        <v>1237737861350</v>
      </c>
      <c r="E227" s="24" t="str">
        <f aca="false">IF($A227="","",INDEX(Реестр!$E$2:$E$401,MATCH($A227,Реестр!$W$2:$W$401,0)))</f>
        <v>772601004</v>
      </c>
      <c r="F227" s="24" t="str">
        <f aca="false">IF($A227="","",INDEX(Реестр!$J$2:$J$401,MATCH($A227,Реестр!$W$2:$W$401,0)))</f>
        <v>г. Москва</v>
      </c>
      <c r="G227" s="24" t="str">
        <f aca="false">IF($A227="","",INDEX(Реестр!$F$2:$F$401,MATCH($A227,Реестр!$W$2:$W$401,0)))</f>
        <v>г. Москва, ул. Мира, д. 54, оф. 206</v>
      </c>
      <c r="H227" s="24" t="str">
        <f aca="false">IF($A227="","",INDEX(Реестр!$G$2:$G$401,MATCH($A227,Реестр!$W$2:$W$401,0)))</f>
        <v>Петрова А. Е.</v>
      </c>
      <c r="I227" s="24" t="str">
        <f aca="false">IF($A227="","",INDEX(Реестр!$H$2:$H$401,MATCH($A227,Реестр!$W$2:$W$401,0)))</f>
        <v>sales@tandem-trans.example</v>
      </c>
      <c r="J227" s="24" t="str">
        <f aca="false">IF($A227="","",INDEX(Реестр!$I$2:$I$401,MATCH($A227,Реестр!$W$2:$W$401,0)))</f>
        <v>+74955772369</v>
      </c>
    </row>
    <row r="228" customFormat="false" ht="15" hidden="false" customHeight="false" outlineLevel="0" collapsed="false">
      <c r="A228" s="21" t="n">
        <f aca="false">IF(ROWS(A$5:A228)&lt;=MAX(Реестр!$W$2:$W$401),ROWS(A$5:A228),"")</f>
        <v>224</v>
      </c>
      <c r="B228" s="24" t="str">
        <f aca="false">IF($A228="","",INDEX(Реестр!$B$2:$B$401,MATCH($A228,Реестр!$W$2:$W$401,0)))</f>
        <v>ООО «Вектор Технологии»</v>
      </c>
      <c r="C228" s="24" t="str">
        <f aca="false">IF($A228="","",INDEX(Реестр!$C$2:$C$401,MATCH($A228,Реестр!$W$2:$W$401,0)))</f>
        <v>6619557052</v>
      </c>
      <c r="D228" s="24" t="str">
        <f aca="false">IF($A228="","",INDEX(Реестр!$D$2:$D$401,MATCH($A228,Реестр!$W$2:$W$401,0)))</f>
        <v>5026631486426</v>
      </c>
      <c r="E228" s="24" t="str">
        <f aca="false">IF($A228="","",INDEX(Реестр!$E$2:$E$401,MATCH($A228,Реестр!$W$2:$W$401,0)))</f>
        <v>661943005</v>
      </c>
      <c r="F228" s="24" t="str">
        <f aca="false">IF($A228="","",INDEX(Реестр!$J$2:$J$401,MATCH($A228,Реестр!$W$2:$W$401,0)))</f>
        <v>Свердловская область</v>
      </c>
      <c r="G228" s="24" t="str">
        <f aca="false">IF($A228="","",INDEX(Реестр!$F$2:$F$401,MATCH($A228,Реестр!$W$2:$W$401,0)))</f>
        <v>г. Екатеринбург, ул. Советская, д. 20, оф. 177</v>
      </c>
      <c r="H228" s="24" t="str">
        <f aca="false">IF($A228="","",INDEX(Реестр!$G$2:$G$401,MATCH($A228,Реестр!$W$2:$W$401,0)))</f>
        <v>Васильева Е. Т.</v>
      </c>
      <c r="I228" s="24" t="str">
        <f aca="false">IF($A228="","",INDEX(Реестр!$H$2:$H$401,MATCH($A228,Реестр!$W$2:$W$401,0)))</f>
        <v>zakaz@vektor-tekhnologii.example</v>
      </c>
      <c r="J228" s="24" t="str">
        <f aca="false">IF($A228="","",INDEX(Реестр!$I$2:$I$401,MATCH($A228,Реестр!$W$2:$W$401,0)))</f>
        <v>+7 (343) 566-31-25</v>
      </c>
    </row>
    <row r="229" customFormat="false" ht="15" hidden="false" customHeight="false" outlineLevel="0" collapsed="false">
      <c r="A229" s="21" t="n">
        <f aca="false">IF(ROWS(A$5:A229)&lt;=MAX(Реестр!$W$2:$W$401),ROWS(A$5:A229),"")</f>
        <v>225</v>
      </c>
      <c r="B229" s="24" t="str">
        <f aca="false">IF($A229="","",INDEX(Реестр!$B$2:$B$401,MATCH($A229,Реестр!$W$2:$W$401,0)))</f>
        <v>ООО «Дельта Снаб»</v>
      </c>
      <c r="C229" s="24" t="str">
        <f aca="false">IF($A229="","",INDEX(Реестр!$C$2:$C$401,MATCH($A229,Реестр!$W$2:$W$401,0)))</f>
        <v>7748307180</v>
      </c>
      <c r="D229" s="24" t="str">
        <f aca="false">IF($A229="","",INDEX(Реестр!$D$2:$D$401,MATCH($A229,Реестр!$W$2:$W$401,0)))</f>
        <v>1227726087665</v>
      </c>
      <c r="E229" s="24" t="str">
        <f aca="false">IF($A229="","",INDEX(Реестр!$E$2:$E$401,MATCH($A229,Реестр!$W$2:$W$401,0)))</f>
        <v>774801009</v>
      </c>
      <c r="F229" s="24" t="str">
        <f aca="false">IF($A229="","",INDEX(Реестр!$J$2:$J$401,MATCH($A229,Реестр!$W$2:$W$401,0)))</f>
        <v>г. Москва</v>
      </c>
      <c r="G229" s="24" t="str">
        <f aca="false">IF($A229="","",INDEX(Реестр!$F$2:$F$401,MATCH($A229,Реестр!$W$2:$W$401,0)))</f>
        <v>г. Москва, ул. Набережная, д. 92, оф. 149</v>
      </c>
      <c r="H229" s="24" t="str">
        <f aca="false">IF($A229="","",INDEX(Реестр!$G$2:$G$401,MATCH($A229,Реестр!$W$2:$W$401,0)))</f>
        <v>Николаева С. С.</v>
      </c>
      <c r="I229" s="24" t="str">
        <f aca="false">IF($A229="","",INDEX(Реестр!$H$2:$H$401,MATCH($A229,Реестр!$W$2:$W$401,0)))</f>
        <v>info@delta-snab.example</v>
      </c>
      <c r="J229" s="24" t="str">
        <f aca="false">IF($A229="","",INDEX(Реестр!$I$2:$I$401,MATCH($A229,Реестр!$W$2:$W$401,0)))</f>
        <v>+74955633872</v>
      </c>
    </row>
    <row r="230" customFormat="false" ht="15" hidden="false" customHeight="false" outlineLevel="0" collapsed="false">
      <c r="A230" s="21" t="n">
        <f aca="false">IF(ROWS(A$5:A230)&lt;=MAX(Реестр!$W$2:$W$401),ROWS(A$5:A230),"")</f>
        <v>226</v>
      </c>
      <c r="B230" s="24" t="str">
        <f aca="false">IF($A230="","",INDEX(Реестр!$B$2:$B$401,MATCH($A230,Реестр!$W$2:$W$401,0)))</f>
        <v>ООО «Атлант Консалт»</v>
      </c>
      <c r="C230" s="24" t="str">
        <f aca="false">IF($A230="","",INDEX(Реестр!$C$2:$C$401,MATCH($A230,Реестр!$W$2:$W$401,0)))</f>
        <v>7729232926</v>
      </c>
      <c r="D230" s="24" t="str">
        <f aca="false">IF($A230="","",INDEX(Реестр!$D$2:$D$401,MATCH($A230,Реестр!$W$2:$W$401,0)))</f>
        <v>1107705557849</v>
      </c>
      <c r="E230" s="24" t="str">
        <f aca="false">IF($A230="","",INDEX(Реестр!$E$2:$E$401,MATCH($A230,Реестр!$W$2:$W$401,0)))</f>
        <v>772945006</v>
      </c>
      <c r="F230" s="24" t="str">
        <f aca="false">IF($A230="","",INDEX(Реестр!$J$2:$J$401,MATCH($A230,Реестр!$W$2:$W$401,0)))</f>
        <v>г. Москва</v>
      </c>
      <c r="G230" s="24" t="str">
        <f aca="false">IF($A230="","",INDEX(Реестр!$F$2:$F$401,MATCH($A230,Реестр!$W$2:$W$401,0)))</f>
        <v>г. Москва, ул. Советская, д. 34, оф. 294</v>
      </c>
      <c r="H230" s="24" t="str">
        <f aca="false">IF($A230="","",INDEX(Реестр!$G$2:$G$401,MATCH($A230,Реестр!$W$2:$W$401,0)))</f>
        <v>Соколова С. Н.</v>
      </c>
      <c r="I230" s="24" t="str">
        <f aca="false">IF($A230="","",INDEX(Реестр!$H$2:$H$401,MATCH($A230,Реестр!$W$2:$W$401,0)))</f>
        <v>sales@atlant-konsalt.example</v>
      </c>
      <c r="J230" s="24" t="str">
        <f aca="false">IF($A230="","",INDEX(Реестр!$I$2:$I$401,MATCH($A230,Реестр!$W$2:$W$401,0)))</f>
        <v>+7 (495) 549-73-62</v>
      </c>
    </row>
    <row r="231" customFormat="false" ht="15" hidden="false" customHeight="false" outlineLevel="0" collapsed="false">
      <c r="A231" s="21" t="n">
        <f aca="false">IF(ROWS(A$5:A231)&lt;=MAX(Реестр!$W$2:$W$401),ROWS(A$5:A231),"")</f>
        <v>227</v>
      </c>
      <c r="B231" s="24" t="str">
        <f aca="false">IF($A231="","",INDEX(Реестр!$B$2:$B$401,MATCH($A231,Реестр!$W$2:$W$401,0)))</f>
        <v>АО «Феникс Софт»</v>
      </c>
      <c r="C231" s="24" t="str">
        <f aca="false">IF($A231="","",INDEX(Реестр!$C$2:$C$401,MATCH($A231,Реестр!$W$2:$W$401,0)))</f>
        <v>7829701191</v>
      </c>
      <c r="D231" s="24" t="str">
        <f aca="false">IF($A231="","",INDEX(Реестр!$D$2:$D$401,MATCH($A231,Реестр!$W$2:$W$401,0)))</f>
        <v>5087839017910</v>
      </c>
      <c r="E231" s="24" t="str">
        <f aca="false">IF($A231="","",INDEX(Реестр!$E$2:$E$401,MATCH($A231,Реестр!$W$2:$W$401,0)))</f>
        <v>782901008</v>
      </c>
      <c r="F231" s="24" t="str">
        <f aca="false">IF($A231="","",INDEX(Реестр!$J$2:$J$401,MATCH($A231,Реестр!$W$2:$W$401,0)))</f>
        <v>г. Санкт-Петербург</v>
      </c>
      <c r="G231" s="24" t="str">
        <f aca="false">IF($A231="","",INDEX(Реестр!$F$2:$F$401,MATCH($A231,Реестр!$W$2:$W$401,0)))</f>
        <v>г. Санкт-Петербург, ул. Победы, д. 66, оф. 277</v>
      </c>
      <c r="H231" s="24" t="str">
        <f aca="false">IF($A231="","",INDEX(Реестр!$G$2:$G$401,MATCH($A231,Реестр!$W$2:$W$401,0)))</f>
        <v>Михайлова Е. С.</v>
      </c>
      <c r="I231" s="24" t="str">
        <f aca="false">IF($A231="","",INDEX(Реестр!$H$2:$H$401,MATCH($A231,Реестр!$W$2:$W$401,0)))</f>
        <v>mail@feniks-soft.example</v>
      </c>
      <c r="J231" s="24" t="str">
        <f aca="false">IF($A231="","",INDEX(Реестр!$I$2:$I$401,MATCH($A231,Реестр!$W$2:$W$401,0)))</f>
        <v>+7 (812) 512-23-77</v>
      </c>
    </row>
    <row r="232" customFormat="false" ht="15" hidden="false" customHeight="false" outlineLevel="0" collapsed="false">
      <c r="A232" s="21" t="n">
        <f aca="false">IF(ROWS(A$5:A232)&lt;=MAX(Реестр!$W$2:$W$401),ROWS(A$5:A232),"")</f>
        <v>228</v>
      </c>
      <c r="B232" s="24" t="str">
        <f aca="false">IF($A232="","",INDEX(Реестр!$B$2:$B$401,MATCH($A232,Реестр!$W$2:$W$401,0)))</f>
        <v>ООО «Гранит Проект»</v>
      </c>
      <c r="C232" s="24" t="str">
        <f aca="false">IF($A232="","",INDEX(Реестр!$C$2:$C$401,MATCH($A232,Реестр!$W$2:$W$401,0)))</f>
        <v>7725197822</v>
      </c>
      <c r="D232" s="24" t="str">
        <f aca="false">IF($A232="","",INDEX(Реестр!$D$2:$D$401,MATCH($A232,Реестр!$W$2:$W$401,0)))</f>
        <v>5187744334839</v>
      </c>
      <c r="E232" s="24" t="str">
        <f aca="false">IF($A232="","",INDEX(Реестр!$E$2:$E$401,MATCH($A232,Реестр!$W$2:$W$401,0)))</f>
        <v>772545005</v>
      </c>
      <c r="F232" s="24" t="str">
        <f aca="false">IF($A232="","",INDEX(Реестр!$J$2:$J$401,MATCH($A232,Реестр!$W$2:$W$401,0)))</f>
        <v>г. Москва</v>
      </c>
      <c r="G232" s="24" t="str">
        <f aca="false">IF($A232="","",INDEX(Реестр!$F$2:$F$401,MATCH($A232,Реестр!$W$2:$W$401,0)))</f>
        <v>г. Москва, ул. Набережная, д. 57, оф. 182</v>
      </c>
      <c r="H232" s="24" t="str">
        <f aca="false">IF($A232="","",INDEX(Реестр!$G$2:$G$401,MATCH($A232,Реестр!$W$2:$W$401,0)))</f>
        <v>Егорова И. Е.</v>
      </c>
      <c r="I232" s="24" t="str">
        <f aca="false">IF($A232="","",INDEX(Реестр!$H$2:$H$401,MATCH($A232,Реестр!$W$2:$W$401,0)))</f>
        <v>info@granit-proekt.example</v>
      </c>
      <c r="J232" s="24" t="str">
        <f aca="false">IF($A232="","",INDEX(Реестр!$I$2:$I$401,MATCH($A232,Реестр!$W$2:$W$401,0)))</f>
        <v>+7 (495) 561-18-27</v>
      </c>
    </row>
    <row r="233" customFormat="false" ht="15" hidden="false" customHeight="false" outlineLevel="0" collapsed="false">
      <c r="A233" s="21" t="n">
        <f aca="false">IF(ROWS(A$5:A233)&lt;=MAX(Реестр!$W$2:$W$401),ROWS(A$5:A233),"")</f>
        <v>229</v>
      </c>
      <c r="B233" s="24" t="str">
        <f aca="false">IF($A233="","",INDEX(Реестр!$B$2:$B$401,MATCH($A233,Реестр!$W$2:$W$401,0)))</f>
        <v>АО «Тандем Технологии»</v>
      </c>
      <c r="C233" s="24" t="str">
        <f aca="false">IF($A233="","",INDEX(Реестр!$C$2:$C$401,MATCH($A233,Реестр!$W$2:$W$401,0)))</f>
        <v>7817830259</v>
      </c>
      <c r="D233" s="24" t="str">
        <f aca="false">IF($A233="","",INDEX(Реестр!$D$2:$D$401,MATCH($A233,Реестр!$W$2:$W$401,0)))</f>
        <v>5127848044891</v>
      </c>
      <c r="E233" s="24" t="str">
        <f aca="false">IF($A233="","",INDEX(Реестр!$E$2:$E$401,MATCH($A233,Реестр!$W$2:$W$401,0)))</f>
        <v>781701009</v>
      </c>
      <c r="F233" s="24" t="str">
        <f aca="false">IF($A233="","",INDEX(Реестр!$J$2:$J$401,MATCH($A233,Реестр!$W$2:$W$401,0)))</f>
        <v>г. Санкт-Петербург</v>
      </c>
      <c r="G233" s="24" t="str">
        <f aca="false">IF($A233="","",INDEX(Реестр!$F$2:$F$401,MATCH($A233,Реестр!$W$2:$W$401,0)))</f>
        <v>г. Санкт-Петербург, ул. Советская, д. 40, оф. 278</v>
      </c>
      <c r="H233" s="24" t="str">
        <f aca="false">IF($A233="","",INDEX(Реестр!$G$2:$G$401,MATCH($A233,Реестр!$W$2:$W$401,0)))</f>
        <v>Михайлов О. В.</v>
      </c>
      <c r="I233" s="24" t="str">
        <f aca="false">IF($A233="","",INDEX(Реестр!$H$2:$H$401,MATCH($A233,Реестр!$W$2:$W$401,0)))</f>
        <v>mail@tandem-tekhnologii.example</v>
      </c>
      <c r="J233" s="24" t="str">
        <f aca="false">IF($A233="","",INDEX(Реестр!$I$2:$I$401,MATCH($A233,Реестр!$W$2:$W$401,0)))</f>
        <v>8 812 5962350</v>
      </c>
    </row>
    <row r="234" customFormat="false" ht="15" hidden="false" customHeight="false" outlineLevel="0" collapsed="false">
      <c r="A234" s="21" t="n">
        <f aca="false">IF(ROWS(A$5:A234)&lt;=MAX(Реестр!$W$2:$W$401),ROWS(A$5:A234),"")</f>
        <v>230</v>
      </c>
      <c r="B234" s="24" t="str">
        <f aca="false">IF($A234="","",INDEX(Реестр!$B$2:$B$401,MATCH($A234,Реестр!$W$2:$W$401,0)))</f>
        <v>АО «Берег Трейд»</v>
      </c>
      <c r="C234" s="24" t="str">
        <f aca="false">IF($A234="","",INDEX(Реестр!$C$2:$C$401,MATCH($A234,Реестр!$W$2:$W$401,0)))</f>
        <v>9210808337</v>
      </c>
      <c r="D234" s="24" t="str">
        <f aca="false">IF($A234="","",INDEX(Реестр!$D$2:$D$401,MATCH($A234,Реестр!$W$2:$W$401,0)))</f>
        <v>1249243628402</v>
      </c>
      <c r="E234" s="24" t="str">
        <f aca="false">IF($A234="","",INDEX(Реестр!$E$2:$E$401,MATCH($A234,Реестр!$W$2:$W$401,0)))</f>
        <v>921001006</v>
      </c>
      <c r="F234" s="24" t="str">
        <f aca="false">IF($A234="","",INDEX(Реестр!$J$2:$J$401,MATCH($A234,Реестр!$W$2:$W$401,0)))</f>
        <v>г. Севастополь</v>
      </c>
      <c r="G234" s="24" t="str">
        <f aca="false">IF($A234="","",INDEX(Реестр!$F$2:$F$401,MATCH($A234,Реестр!$W$2:$W$401,0)))</f>
        <v>г. Севастополь, ул. Заводская, д. 63, оф. 172</v>
      </c>
      <c r="H234" s="24" t="str">
        <f aca="false">IF($A234="","",INDEX(Реестр!$G$2:$G$401,MATCH($A234,Реестр!$W$2:$W$401,0)))</f>
        <v>Семёнов Е. А.</v>
      </c>
      <c r="I234" s="24" t="str">
        <f aca="false">IF($A234="","",INDEX(Реестр!$H$2:$H$401,MATCH($A234,Реестр!$W$2:$W$401,0)))</f>
        <v>sales@bereg-treid.example</v>
      </c>
      <c r="J234" s="24" t="str">
        <f aca="false">IF($A234="","",INDEX(Реестр!$I$2:$I$401,MATCH($A234,Реестр!$W$2:$W$401,0)))</f>
        <v>+78695201684</v>
      </c>
    </row>
    <row r="235" customFormat="false" ht="15" hidden="false" customHeight="false" outlineLevel="0" collapsed="false">
      <c r="A235" s="21" t="n">
        <f aca="false">IF(ROWS(A$5:A235)&lt;=MAX(Реестр!$W$2:$W$401),ROWS(A$5:A235),"")</f>
        <v>231</v>
      </c>
      <c r="B235" s="24" t="str">
        <f aca="false">IF($A235="","",INDEX(Реестр!$B$2:$B$401,MATCH($A235,Реестр!$W$2:$W$401,0)))</f>
        <v>ООО «Радуга Технологии»</v>
      </c>
      <c r="C235" s="24" t="str">
        <f aca="false">IF($A235="","",INDEX(Реестр!$C$2:$C$401,MATCH($A235,Реестр!$W$2:$W$401,0)))</f>
        <v>7840767051</v>
      </c>
      <c r="D235" s="24" t="str">
        <f aca="false">IF($A235="","",INDEX(Реестр!$D$2:$D$401,MATCH($A235,Реестр!$W$2:$W$401,0)))</f>
        <v>1247825385158</v>
      </c>
      <c r="E235" s="24" t="str">
        <f aca="false">IF($A235="","",INDEX(Реестр!$E$2:$E$401,MATCH($A235,Реестр!$W$2:$W$401,0)))</f>
        <v>784043001</v>
      </c>
      <c r="F235" s="24" t="str">
        <f aca="false">IF($A235="","",INDEX(Реестр!$J$2:$J$401,MATCH($A235,Реестр!$W$2:$W$401,0)))</f>
        <v>г. Санкт-Петербург</v>
      </c>
      <c r="G235" s="24" t="str">
        <f aca="false">IF($A235="","",INDEX(Реестр!$F$2:$F$401,MATCH($A235,Реестр!$W$2:$W$401,0)))</f>
        <v>г. Санкт-Петербург, ул. Парковая, д. 26, оф. 191</v>
      </c>
      <c r="H235" s="24" t="str">
        <f aca="false">IF($A235="","",INDEX(Реестр!$G$2:$G$401,MATCH($A235,Реестр!$W$2:$W$401,0)))</f>
        <v>Фёдоров И. Д.</v>
      </c>
      <c r="I235" s="24" t="str">
        <f aca="false">IF($A235="","",INDEX(Реестр!$H$2:$H$401,MATCH($A235,Реестр!$W$2:$W$401,0)))</f>
        <v>info@raduga-tekhnologii.example</v>
      </c>
      <c r="J235" s="24" t="str">
        <f aca="false">IF($A235="","",INDEX(Реестр!$I$2:$I$401,MATCH($A235,Реестр!$W$2:$W$401,0)))</f>
        <v>8 812 5867124</v>
      </c>
    </row>
    <row r="236" customFormat="false" ht="15" hidden="false" customHeight="false" outlineLevel="0" collapsed="false">
      <c r="A236" s="21" t="n">
        <f aca="false">IF(ROWS(A$5:A236)&lt;=MAX(Реестр!$W$2:$W$401),ROWS(A$5:A236),"")</f>
        <v>232</v>
      </c>
      <c r="B236" s="24" t="str">
        <f aca="false">IF($A236="","",INDEX(Реестр!$B$2:$B$401,MATCH($A236,Реестр!$W$2:$W$401,0)))</f>
        <v>ООО «Квант Торг»</v>
      </c>
      <c r="C236" s="24" t="str">
        <f aca="false">IF($A236="","",INDEX(Реестр!$C$2:$C$401,MATCH($A236,Реестр!$W$2:$W$401,0)))</f>
        <v>7445558353</v>
      </c>
      <c r="D236" s="24" t="str">
        <f aca="false">IF($A236="","",INDEX(Реестр!$D$2:$D$401,MATCH($A236,Реестр!$W$2:$W$401,0)))</f>
        <v>5077422499138</v>
      </c>
      <c r="E236" s="24" t="str">
        <f aca="false">IF($A236="","",INDEX(Реестр!$E$2:$E$401,MATCH($A236,Реестр!$W$2:$W$401,0)))</f>
        <v>744545006</v>
      </c>
      <c r="F236" s="24" t="str">
        <f aca="false">IF($A236="","",INDEX(Реестр!$J$2:$J$401,MATCH($A236,Реестр!$W$2:$W$401,0)))</f>
        <v>Челябинская область</v>
      </c>
      <c r="G236" s="24" t="str">
        <f aca="false">IF($A236="","",INDEX(Реестр!$F$2:$F$401,MATCH($A236,Реестр!$W$2:$W$401,0)))</f>
        <v>г. Челябинск, ул. Советская, д. 115, оф. 231</v>
      </c>
      <c r="H236" s="24" t="str">
        <f aca="false">IF($A236="","",INDEX(Реестр!$G$2:$G$401,MATCH($A236,Реестр!$W$2:$W$401,0)))</f>
        <v>Степанова В. Е.</v>
      </c>
      <c r="I236" s="24" t="str">
        <f aca="false">IF($A236="","",INDEX(Реестр!$H$2:$H$401,MATCH($A236,Реестр!$W$2:$W$401,0)))</f>
        <v>sales@kvant-torg.example</v>
      </c>
      <c r="J236" s="24" t="str">
        <f aca="false">IF($A236="","",INDEX(Реестр!$I$2:$I$401,MATCH($A236,Реестр!$W$2:$W$401,0)))</f>
        <v>+73515991905</v>
      </c>
    </row>
    <row r="237" customFormat="false" ht="15" hidden="false" customHeight="false" outlineLevel="0" collapsed="false">
      <c r="A237" s="21" t="n">
        <f aca="false">IF(ROWS(A$5:A237)&lt;=MAX(Реестр!$W$2:$W$401),ROWS(A$5:A237),"")</f>
        <v>233</v>
      </c>
      <c r="B237" s="24" t="str">
        <f aca="false">IF($A237="","",INDEX(Реестр!$B$2:$B$401,MATCH($A237,Реестр!$W$2:$W$401,0)))</f>
        <v>ООО «Тандем Проект»</v>
      </c>
      <c r="C237" s="24" t="str">
        <f aca="false">IF($A237="","",INDEX(Реестр!$C$2:$C$401,MATCH($A237,Реестр!$W$2:$W$401,0)))</f>
        <v>7719455521</v>
      </c>
      <c r="D237" s="24" t="str">
        <f aca="false">IF($A237="","",INDEX(Реестр!$D$2:$D$401,MATCH($A237,Реестр!$W$2:$W$401,0)))</f>
        <v>1047728867812</v>
      </c>
      <c r="E237" s="24" t="str">
        <f aca="false">IF($A237="","",INDEX(Реестр!$E$2:$E$401,MATCH($A237,Реестр!$W$2:$W$401,0)))</f>
        <v>771945004</v>
      </c>
      <c r="F237" s="24" t="str">
        <f aca="false">IF($A237="","",INDEX(Реестр!$J$2:$J$401,MATCH($A237,Реестр!$W$2:$W$401,0)))</f>
        <v>г. Москва</v>
      </c>
      <c r="G237" s="24" t="str">
        <f aca="false">IF($A237="","",INDEX(Реестр!$F$2:$F$401,MATCH($A237,Реестр!$W$2:$W$401,0)))</f>
        <v>г. Москва, ул. Гагарина, д. 113, оф. 13</v>
      </c>
      <c r="H237" s="24" t="str">
        <f aca="false">IF($A237="","",INDEX(Реестр!$G$2:$G$401,MATCH($A237,Реестр!$W$2:$W$401,0)))</f>
        <v>Новикова Д. М.</v>
      </c>
      <c r="I237" s="24" t="str">
        <f aca="false">IF($A237="","",INDEX(Реестр!$H$2:$H$401,MATCH($A237,Реестр!$W$2:$W$401,0)))</f>
        <v>sales@tandem-proekt.example</v>
      </c>
      <c r="J237" s="24" t="str">
        <f aca="false">IF($A237="","",INDEX(Реестр!$I$2:$I$401,MATCH($A237,Реестр!$W$2:$W$401,0)))</f>
        <v>+7 (495) 536-78-63</v>
      </c>
    </row>
    <row r="238" customFormat="false" ht="15" hidden="false" customHeight="false" outlineLevel="0" collapsed="false">
      <c r="A238" s="21" t="n">
        <f aca="false">IF(ROWS(A$5:A238)&lt;=MAX(Реестр!$W$2:$W$401),ROWS(A$5:A238),"")</f>
        <v>234</v>
      </c>
      <c r="B238" s="24" t="str">
        <f aca="false">IF($A238="","",INDEX(Реестр!$B$2:$B$401,MATCH($A238,Реестр!$W$2:$W$401,0)))</f>
        <v>ООО «Берег Агро»</v>
      </c>
      <c r="C238" s="24" t="str">
        <f aca="false">IF($A238="","",INDEX(Реестр!$C$2:$C$401,MATCH($A238,Реестр!$W$2:$W$401,0)))</f>
        <v>6619409865</v>
      </c>
      <c r="D238" s="24" t="str">
        <f aca="false">IF($A238="","",INDEX(Реестр!$D$2:$D$401,MATCH($A238,Реестр!$W$2:$W$401,0)))</f>
        <v>5166612059202</v>
      </c>
      <c r="E238" s="24" t="str">
        <f aca="false">IF($A238="","",INDEX(Реестр!$E$2:$E$401,MATCH($A238,Реестр!$W$2:$W$401,0)))</f>
        <v>661945008</v>
      </c>
      <c r="F238" s="24" t="str">
        <f aca="false">IF($A238="","",INDEX(Реестр!$J$2:$J$401,MATCH($A238,Реестр!$W$2:$W$401,0)))</f>
        <v>Свердловская область</v>
      </c>
      <c r="G238" s="24" t="str">
        <f aca="false">IF($A238="","",INDEX(Реестр!$F$2:$F$401,MATCH($A238,Реестр!$W$2:$W$401,0)))</f>
        <v>г. Екатеринбург, ул. Садовая, д. 46, оф. 208</v>
      </c>
      <c r="H238" s="24" t="str">
        <f aca="false">IF($A238="","",INDEX(Реестр!$G$2:$G$401,MATCH($A238,Реестр!$W$2:$W$401,0)))</f>
        <v>Фёдоров И. Е.</v>
      </c>
      <c r="I238" s="24" t="str">
        <f aca="false">IF($A238="","",INDEX(Реестр!$H$2:$H$401,MATCH($A238,Реестр!$W$2:$W$401,0)))</f>
        <v>mail@bereg-agro.example</v>
      </c>
      <c r="J238" s="24" t="str">
        <f aca="false">IF($A238="","",INDEX(Реестр!$I$2:$I$401,MATCH($A238,Реестр!$W$2:$W$401,0)))</f>
        <v>+7 (343) 559-62-92</v>
      </c>
    </row>
    <row r="239" customFormat="false" ht="15" hidden="false" customHeight="false" outlineLevel="0" collapsed="false">
      <c r="A239" s="21" t="n">
        <f aca="false">IF(ROWS(A$5:A239)&lt;=MAX(Реестр!$W$2:$W$401),ROWS(A$5:A239),"")</f>
        <v>235</v>
      </c>
      <c r="B239" s="24" t="str">
        <f aca="false">IF($A239="","",INDEX(Реестр!$B$2:$B$401,MATCH($A239,Реестр!$W$2:$W$401,0)))</f>
        <v>ООО «Атлант Торг»</v>
      </c>
      <c r="C239" s="24" t="str">
        <f aca="false">IF($A239="","",INDEX(Реестр!$C$2:$C$401,MATCH($A239,Реестр!$W$2:$W$401,0)))</f>
        <v>9244232845</v>
      </c>
      <c r="D239" s="24" t="str">
        <f aca="false">IF($A239="","",INDEX(Реестр!$D$2:$D$401,MATCH($A239,Реестр!$W$2:$W$401,0)))</f>
        <v>1109218646096</v>
      </c>
      <c r="E239" s="24" t="str">
        <f aca="false">IF($A239="","",INDEX(Реестр!$E$2:$E$401,MATCH($A239,Реестр!$W$2:$W$401,0)))</f>
        <v>924401003</v>
      </c>
      <c r="F239" s="24" t="str">
        <f aca="false">IF($A239="","",INDEX(Реестр!$J$2:$J$401,MATCH($A239,Реестр!$W$2:$W$401,0)))</f>
        <v>г. Севастополь</v>
      </c>
      <c r="G239" s="24" t="str">
        <f aca="false">IF($A239="","",INDEX(Реестр!$F$2:$F$401,MATCH($A239,Реестр!$W$2:$W$401,0)))</f>
        <v>г. Севастополь, ул. Мира, д. 58, оф. 227</v>
      </c>
      <c r="H239" s="24" t="str">
        <f aca="false">IF($A239="","",INDEX(Реестр!$G$2:$G$401,MATCH($A239,Реестр!$W$2:$W$401,0)))</f>
        <v>Соколов И. С.</v>
      </c>
      <c r="I239" s="24" t="str">
        <f aca="false">IF($A239="","",INDEX(Реестр!$H$2:$H$401,MATCH($A239,Реестр!$W$2:$W$401,0)))</f>
        <v>office@atlant-torg.example</v>
      </c>
      <c r="J239" s="24" t="str">
        <f aca="false">IF($A239="","",INDEX(Реестр!$I$2:$I$401,MATCH($A239,Реестр!$W$2:$W$401,0)))</f>
        <v>+7 (869) 502-64-40</v>
      </c>
    </row>
    <row r="240" customFormat="false" ht="15" hidden="false" customHeight="false" outlineLevel="0" collapsed="false">
      <c r="A240" s="21" t="n">
        <f aca="false">IF(ROWS(A$5:A240)&lt;=MAX(Реестр!$W$2:$W$401),ROWS(A$5:A240),"")</f>
        <v>236</v>
      </c>
      <c r="B240" s="24" t="str">
        <f aca="false">IF($A240="","",INDEX(Реестр!$B$2:$B$401,MATCH($A240,Реестр!$W$2:$W$401,0)))</f>
        <v>АО «Радуга Стандарт»</v>
      </c>
      <c r="C240" s="24" t="str">
        <f aca="false">IF($A240="","",INDEX(Реестр!$C$2:$C$401,MATCH($A240,Реестр!$W$2:$W$401,0)))</f>
        <v>7825550738</v>
      </c>
      <c r="D240" s="24" t="str">
        <f aca="false">IF($A240="","",INDEX(Реестр!$D$2:$D$401,MATCH($A240,Реестр!$W$2:$W$401,0)))</f>
        <v>1177826731224</v>
      </c>
      <c r="E240" s="24" t="str">
        <f aca="false">IF($A240="","",INDEX(Реестр!$E$2:$E$401,MATCH($A240,Реестр!$W$2:$W$401,0)))</f>
        <v>782501004</v>
      </c>
      <c r="F240" s="24" t="str">
        <f aca="false">IF($A240="","",INDEX(Реестр!$J$2:$J$401,MATCH($A240,Реестр!$W$2:$W$401,0)))</f>
        <v>г. Санкт-Петербург</v>
      </c>
      <c r="G240" s="24" t="str">
        <f aca="false">IF($A240="","",INDEX(Реестр!$F$2:$F$401,MATCH($A240,Реестр!$W$2:$W$401,0)))</f>
        <v>г. Санкт-Петербург, ул. Мира, д. 90, оф. 77</v>
      </c>
      <c r="H240" s="24" t="str">
        <f aca="false">IF($A240="","",INDEX(Реестр!$G$2:$G$401,MATCH($A240,Реестр!$W$2:$W$401,0)))</f>
        <v>Фёдорова М. А.</v>
      </c>
      <c r="I240" s="24" t="str">
        <f aca="false">IF($A240="","",INDEX(Реестр!$H$2:$H$401,MATCH($A240,Реестр!$W$2:$W$401,0)))</f>
        <v>zakaz@raduga-standart.example</v>
      </c>
      <c r="J240" s="24" t="str">
        <f aca="false">IF($A240="","",INDEX(Реестр!$I$2:$I$401,MATCH($A240,Реестр!$W$2:$W$401,0)))</f>
        <v>8 812 5823577</v>
      </c>
    </row>
    <row r="241" customFormat="false" ht="15" hidden="false" customHeight="false" outlineLevel="0" collapsed="false">
      <c r="A241" s="21" t="n">
        <f aca="false">IF(ROWS(A$5:A241)&lt;=MAX(Реестр!$W$2:$W$401),ROWS(A$5:A241),"")</f>
        <v>237</v>
      </c>
      <c r="B241" s="24" t="str">
        <f aca="false">IF($A241="","",INDEX(Реестр!$B$2:$B$401,MATCH($A241,Реестр!$W$2:$W$401,0)))</f>
        <v>АО «Орбита Принт»</v>
      </c>
      <c r="C241" s="24" t="str">
        <f aca="false">IF($A241="","",INDEX(Реестр!$C$2:$C$401,MATCH($A241,Реестр!$W$2:$W$401,0)))</f>
        <v>5247724823</v>
      </c>
      <c r="D241" s="24" t="str">
        <f aca="false">IF($A241="","",INDEX(Реестр!$D$2:$D$401,MATCH($A241,Реестр!$W$2:$W$401,0)))</f>
        <v>5115230213060</v>
      </c>
      <c r="E241" s="24" t="str">
        <f aca="false">IF($A241="","",INDEX(Реестр!$E$2:$E$401,MATCH($A241,Реестр!$W$2:$W$401,0)))</f>
        <v>524701001</v>
      </c>
      <c r="F241" s="24" t="str">
        <f aca="false">IF($A241="","",INDEX(Реестр!$J$2:$J$401,MATCH($A241,Реестр!$W$2:$W$401,0)))</f>
        <v>Нижегородская область</v>
      </c>
      <c r="G241" s="24" t="str">
        <f aca="false">IF($A241="","",INDEX(Реестр!$F$2:$F$401,MATCH($A241,Реестр!$W$2:$W$401,0)))</f>
        <v>г. Нижний Новгород, ул. Мира, д. 27, оф. 223</v>
      </c>
      <c r="H241" s="24" t="str">
        <f aca="false">IF($A241="","",INDEX(Реестр!$G$2:$G$401,MATCH($A241,Реестр!$W$2:$W$401,0)))</f>
        <v>Лебедев О. В.</v>
      </c>
      <c r="I241" s="24" t="str">
        <f aca="false">IF($A241="","",INDEX(Реестр!$H$2:$H$401,MATCH($A241,Реестр!$W$2:$W$401,0)))</f>
        <v>sales@orbita-print.example</v>
      </c>
      <c r="J241" s="24" t="str">
        <f aca="false">IF($A241="","",INDEX(Реестр!$I$2:$I$401,MATCH($A241,Реестр!$W$2:$W$401,0)))</f>
        <v>8 831 5014866</v>
      </c>
    </row>
    <row r="242" customFormat="false" ht="15" hidden="false" customHeight="false" outlineLevel="0" collapsed="false">
      <c r="A242" s="21" t="n">
        <f aca="false">IF(ROWS(A$5:A242)&lt;=MAX(Реестр!$W$2:$W$401),ROWS(A$5:A242),"")</f>
        <v>238</v>
      </c>
      <c r="B242" s="24" t="str">
        <f aca="false">IF($A242="","",INDEX(Реестр!$B$2:$B$401,MATCH($A242,Реестр!$W$2:$W$401,0)))</f>
        <v>ООО «Феникс Сервис»</v>
      </c>
      <c r="C242" s="24" t="str">
        <f aca="false">IF($A242="","",INDEX(Реестр!$C$2:$C$401,MATCH($A242,Реестр!$W$2:$W$401,0)))</f>
        <v>7720548072</v>
      </c>
      <c r="D242" s="24" t="str">
        <f aca="false">IF($A242="","",INDEX(Реестр!$D$2:$D$401,MATCH($A242,Реестр!$W$2:$W$401,0)))</f>
        <v>1047737686655</v>
      </c>
      <c r="E242" s="24" t="str">
        <f aca="false">IF($A242="","",INDEX(Реестр!$E$2:$E$401,MATCH($A242,Реестр!$W$2:$W$401,0)))</f>
        <v>772001003</v>
      </c>
      <c r="F242" s="24" t="str">
        <f aca="false">IF($A242="","",INDEX(Реестр!$J$2:$J$401,MATCH($A242,Реестр!$W$2:$W$401,0)))</f>
        <v>г. Москва</v>
      </c>
      <c r="G242" s="24" t="str">
        <f aca="false">IF($A242="","",INDEX(Реестр!$F$2:$F$401,MATCH($A242,Реестр!$W$2:$W$401,0)))</f>
        <v>г. Москва, ул. Кирова, д. 22, оф. 230</v>
      </c>
      <c r="H242" s="24" t="str">
        <f aca="false">IF($A242="","",INDEX(Реестр!$G$2:$G$401,MATCH($A242,Реестр!$W$2:$W$401,0)))</f>
        <v>Алексеева И. М.</v>
      </c>
      <c r="I242" s="24" t="str">
        <f aca="false">IF($A242="","",INDEX(Реестр!$H$2:$H$401,MATCH($A242,Реестр!$W$2:$W$401,0)))</f>
        <v>zakaz@feniks-servis.example</v>
      </c>
      <c r="J242" s="24" t="str">
        <f aca="false">IF($A242="","",INDEX(Реестр!$I$2:$I$401,MATCH($A242,Реестр!$W$2:$W$401,0)))</f>
        <v>+74955109314</v>
      </c>
    </row>
    <row r="243" customFormat="false" ht="15" hidden="false" customHeight="false" outlineLevel="0" collapsed="false">
      <c r="A243" s="21" t="n">
        <f aca="false">IF(ROWS(A$5:A243)&lt;=MAX(Реестр!$W$2:$W$401),ROWS(A$5:A243),"")</f>
        <v>239</v>
      </c>
      <c r="B243" s="24" t="str">
        <f aca="false">IF($A243="","",INDEX(Реестр!$B$2:$B$401,MATCH($A243,Реестр!$W$2:$W$401,0)))</f>
        <v>ООО «Феникс Стандарт»</v>
      </c>
      <c r="C243" s="24" t="str">
        <f aca="false">IF($A243="","",INDEX(Реестр!$C$2:$C$401,MATCH($A243,Реестр!$W$2:$W$401,0)))</f>
        <v>2325770380</v>
      </c>
      <c r="D243" s="24" t="str">
        <f aca="false">IF($A243="","",INDEX(Реестр!$D$2:$D$401,MATCH($A243,Реестр!$W$2:$W$401,0)))</f>
        <v>1202323312795</v>
      </c>
      <c r="E243" s="24" t="str">
        <f aca="false">IF($A243="","",INDEX(Реестр!$E$2:$E$401,MATCH($A243,Реестр!$W$2:$W$401,0)))</f>
        <v>232543004</v>
      </c>
      <c r="F243" s="24" t="str">
        <f aca="false">IF($A243="","",INDEX(Реестр!$J$2:$J$401,MATCH($A243,Реестр!$W$2:$W$401,0)))</f>
        <v>Краснодарский край</v>
      </c>
      <c r="G243" s="24" t="str">
        <f aca="false">IF($A243="","",INDEX(Реестр!$F$2:$F$401,MATCH($A243,Реестр!$W$2:$W$401,0)))</f>
        <v>г. Краснодар, ул. Парковая, д. 58, оф. 212</v>
      </c>
      <c r="H243" s="24" t="str">
        <f aca="false">IF($A243="","",INDEX(Реестр!$G$2:$G$401,MATCH($A243,Реестр!$W$2:$W$401,0)))</f>
        <v>Морозов Н. Д.</v>
      </c>
      <c r="I243" s="24" t="str">
        <f aca="false">IF($A243="","",INDEX(Реестр!$H$2:$H$401,MATCH($A243,Реестр!$W$2:$W$401,0)))</f>
        <v>sales@feniks-standart.example</v>
      </c>
      <c r="J243" s="24" t="str">
        <f aca="false">IF($A243="","",INDEX(Реестр!$I$2:$I$401,MATCH($A243,Реестр!$W$2:$W$401,0)))</f>
        <v>8 861 5095422</v>
      </c>
    </row>
    <row r="244" customFormat="false" ht="15" hidden="false" customHeight="false" outlineLevel="0" collapsed="false">
      <c r="A244" s="21" t="n">
        <f aca="false">IF(ROWS(A$5:A244)&lt;=MAX(Реестр!$W$2:$W$401),ROWS(A$5:A244),"")</f>
        <v>240</v>
      </c>
      <c r="B244" s="24" t="str">
        <f aca="false">IF($A244="","",INDEX(Реестр!$B$2:$B$401,MATCH($A244,Реестр!$W$2:$W$401,0)))</f>
        <v>ООО «Орбита Групп»</v>
      </c>
      <c r="C244" s="24" t="str">
        <f aca="false">IF($A244="","",INDEX(Реестр!$C$2:$C$401,MATCH($A244,Реестр!$W$2:$W$401,0)))</f>
        <v>6135374629</v>
      </c>
      <c r="D244" s="24" t="str">
        <f aca="false">IF($A244="","",INDEX(Реестр!$D$2:$D$401,MATCH($A244,Реестр!$W$2:$W$401,0)))</f>
        <v>1186126784843</v>
      </c>
      <c r="E244" s="24" t="str">
        <f aca="false">IF($A244="","",INDEX(Реестр!$E$2:$E$401,MATCH($A244,Реестр!$W$2:$W$401,0)))</f>
        <v>613545004</v>
      </c>
      <c r="F244" s="24" t="str">
        <f aca="false">IF($A244="","",INDEX(Реестр!$J$2:$J$401,MATCH($A244,Реестр!$W$2:$W$401,0)))</f>
        <v>Ростовская область</v>
      </c>
      <c r="G244" s="24" t="str">
        <f aca="false">IF($A244="","",INDEX(Реестр!$F$2:$F$401,MATCH($A244,Реестр!$W$2:$W$401,0)))</f>
        <v>г. Ростов-на-Дону, ул. Садовая, д. 62, оф. 161</v>
      </c>
      <c r="H244" s="24" t="str">
        <f aca="false">IF($A244="","",INDEX(Реестр!$G$2:$G$401,MATCH($A244,Реестр!$W$2:$W$401,0)))</f>
        <v>Павлова Т. Н.</v>
      </c>
      <c r="I244" s="24" t="str">
        <f aca="false">IF($A244="","",INDEX(Реестр!$H$2:$H$401,MATCH($A244,Реестр!$W$2:$W$401,0)))</f>
        <v>office@orbita-grupp.example</v>
      </c>
      <c r="J244" s="24" t="str">
        <f aca="false">IF($A244="","",INDEX(Реестр!$I$2:$I$401,MATCH($A244,Реестр!$W$2:$W$401,0)))</f>
        <v>+78635155978</v>
      </c>
    </row>
    <row r="245" customFormat="false" ht="15" hidden="false" customHeight="false" outlineLevel="0" collapsed="false">
      <c r="A245" s="21" t="n">
        <f aca="false">IF(ROWS(A$5:A245)&lt;=MAX(Реестр!$W$2:$W$401),ROWS(A$5:A245),"")</f>
        <v>241</v>
      </c>
      <c r="B245" s="24" t="str">
        <f aca="false">IF($A245="","",INDEX(Реестр!$B$2:$B$401,MATCH($A245,Реестр!$W$2:$W$401,0)))</f>
        <v>ООО «Горизонт Снаб»</v>
      </c>
      <c r="C245" s="24" t="str">
        <f aca="false">IF($A245="","",INDEX(Реестр!$C$2:$C$401,MATCH($A245,Реестр!$W$2:$W$401,0)))</f>
        <v>7831410175</v>
      </c>
      <c r="D245" s="24" t="str">
        <f aca="false">IF($A245="","",INDEX(Реестр!$D$2:$D$401,MATCH($A245,Реестр!$W$2:$W$401,0)))</f>
        <v>1197843729214</v>
      </c>
      <c r="E245" s="24" t="str">
        <f aca="false">IF($A245="","",INDEX(Реестр!$E$2:$E$401,MATCH($A245,Реестр!$W$2:$W$401,0)))</f>
        <v>783101002</v>
      </c>
      <c r="F245" s="24" t="str">
        <f aca="false">IF($A245="","",INDEX(Реестр!$J$2:$J$401,MATCH($A245,Реестр!$W$2:$W$401,0)))</f>
        <v>г. Санкт-Петербург</v>
      </c>
      <c r="G245" s="24" t="str">
        <f aca="false">IF($A245="","",INDEX(Реестр!$F$2:$F$401,MATCH($A245,Реестр!$W$2:$W$401,0)))</f>
        <v>г. Санкт-Петербург, ул. Победы, д. 113, оф. 276</v>
      </c>
      <c r="H245" s="24" t="str">
        <f aca="false">IF($A245="","",INDEX(Реестр!$G$2:$G$401,MATCH($A245,Реестр!$W$2:$W$401,0)))</f>
        <v>Николаева С. Т.</v>
      </c>
      <c r="I245" s="24" t="str">
        <f aca="false">IF($A245="","",INDEX(Реестр!$H$2:$H$401,MATCH($A245,Реестр!$W$2:$W$401,0)))</f>
        <v>zakaz@gorizont-snab.example</v>
      </c>
      <c r="J245" s="24" t="str">
        <f aca="false">IF($A245="","",INDEX(Реестр!$I$2:$I$401,MATCH($A245,Реестр!$W$2:$W$401,0)))</f>
        <v>8 812 5856341</v>
      </c>
    </row>
    <row r="246" customFormat="false" ht="15" hidden="false" customHeight="false" outlineLevel="0" collapsed="false">
      <c r="A246" s="21" t="n">
        <f aca="false">IF(ROWS(A$5:A246)&lt;=MAX(Реестр!$W$2:$W$401),ROWS(A$5:A246),"")</f>
        <v>242</v>
      </c>
      <c r="B246" s="24" t="str">
        <f aca="false">IF($A246="","",INDEX(Реестр!$B$2:$B$401,MATCH($A246,Реестр!$W$2:$W$401,0)))</f>
        <v>ООО «Орбита Фуд»</v>
      </c>
      <c r="C246" s="24" t="str">
        <f aca="false">IF($A246="","",INDEX(Реестр!$C$2:$C$401,MATCH($A246,Реестр!$W$2:$W$401,0)))</f>
        <v>2303371953</v>
      </c>
      <c r="D246" s="24" t="str">
        <f aca="false">IF($A246="","",INDEX(Реестр!$D$2:$D$401,MATCH($A246,Реестр!$W$2:$W$401,0)))</f>
        <v>1022331363108</v>
      </c>
      <c r="E246" s="24" t="str">
        <f aca="false">IF($A246="","",INDEX(Реестр!$E$2:$E$401,MATCH($A246,Реестр!$W$2:$W$401,0)))</f>
        <v>230301007</v>
      </c>
      <c r="F246" s="24" t="str">
        <f aca="false">IF($A246="","",INDEX(Реестр!$J$2:$J$401,MATCH($A246,Реестр!$W$2:$W$401,0)))</f>
        <v>Краснодарский край</v>
      </c>
      <c r="G246" s="24" t="str">
        <f aca="false">IF($A246="","",INDEX(Реестр!$F$2:$F$401,MATCH($A246,Реестр!$W$2:$W$401,0)))</f>
        <v>г. Краснодар, ул. Победы, д. 61, оф. 11</v>
      </c>
      <c r="H246" s="24" t="str">
        <f aca="false">IF($A246="","",INDEX(Реестр!$G$2:$G$401,MATCH($A246,Реестр!$W$2:$W$401,0)))</f>
        <v>Смирнов Т. В.</v>
      </c>
      <c r="I246" s="24" t="str">
        <f aca="false">IF($A246="","",INDEX(Реестр!$H$2:$H$401,MATCH($A246,Реестр!$W$2:$W$401,0)))</f>
        <v>sales@orbita-fud.example</v>
      </c>
      <c r="J246" s="24" t="str">
        <f aca="false">IF($A246="","",INDEX(Реестр!$I$2:$I$401,MATCH($A246,Реестр!$W$2:$W$401,0)))</f>
        <v>8 861 5384905</v>
      </c>
    </row>
    <row r="247" customFormat="false" ht="15" hidden="false" customHeight="false" outlineLevel="0" collapsed="false">
      <c r="A247" s="21" t="n">
        <f aca="false">IF(ROWS(A$5:A247)&lt;=MAX(Реестр!$W$2:$W$401),ROWS(A$5:A247),"")</f>
        <v>243</v>
      </c>
      <c r="B247" s="24" t="str">
        <f aca="false">IF($A247="","",INDEX(Реестр!$B$2:$B$401,MATCH($A247,Реестр!$W$2:$W$401,0)))</f>
        <v>ООО «Прогресс Фуд»</v>
      </c>
      <c r="C247" s="24" t="str">
        <f aca="false">IF($A247="","",INDEX(Реестр!$C$2:$C$401,MATCH($A247,Реестр!$W$2:$W$401,0)))</f>
        <v>2301204354</v>
      </c>
      <c r="D247" s="24" t="str">
        <f aca="false">IF($A247="","",INDEX(Реестр!$D$2:$D$401,MATCH($A247,Реестр!$W$2:$W$401,0)))</f>
        <v>1072339008433</v>
      </c>
      <c r="E247" s="24" t="str">
        <f aca="false">IF($A247="","",INDEX(Реестр!$E$2:$E$401,MATCH($A247,Реестр!$W$2:$W$401,0)))</f>
        <v>230101008</v>
      </c>
      <c r="F247" s="24" t="str">
        <f aca="false">IF($A247="","",INDEX(Реестр!$J$2:$J$401,MATCH($A247,Реестр!$W$2:$W$401,0)))</f>
        <v>Краснодарский край</v>
      </c>
      <c r="G247" s="24" t="str">
        <f aca="false">IF($A247="","",INDEX(Реестр!$F$2:$F$401,MATCH($A247,Реестр!$W$2:$W$401,0)))</f>
        <v>г. Краснодар, ул. Советская, д. 3, оф. 177</v>
      </c>
      <c r="H247" s="24" t="str">
        <f aca="false">IF($A247="","",INDEX(Реестр!$G$2:$G$401,MATCH($A247,Реестр!$W$2:$W$401,0)))</f>
        <v>Иванов В. Е.</v>
      </c>
      <c r="I247" s="24" t="str">
        <f aca="false">IF($A247="","",INDEX(Реестр!$H$2:$H$401,MATCH($A247,Реестр!$W$2:$W$401,0)))</f>
        <v>zakaz@progress-fud.example</v>
      </c>
      <c r="J247" s="24" t="str">
        <f aca="false">IF($A247="","",INDEX(Реестр!$I$2:$I$401,MATCH($A247,Реестр!$W$2:$W$401,0)))</f>
        <v>+7 (861) 562-74-38</v>
      </c>
    </row>
    <row r="248" customFormat="false" ht="15" hidden="false" customHeight="false" outlineLevel="0" collapsed="false">
      <c r="A248" s="21" t="n">
        <f aca="false">IF(ROWS(A$5:A248)&lt;=MAX(Реестр!$W$2:$W$401),ROWS(A$5:A248),"")</f>
        <v>244</v>
      </c>
      <c r="B248" s="24" t="str">
        <f aca="false">IF($A248="","",INDEX(Реестр!$B$2:$B$401,MATCH($A248,Реестр!$W$2:$W$401,0)))</f>
        <v>ООО «Навигатор Снаб»</v>
      </c>
      <c r="C248" s="24" t="str">
        <f aca="false">IF($A248="","",INDEX(Реестр!$C$2:$C$401,MATCH($A248,Реестр!$W$2:$W$401,0)))</f>
        <v>7849577231</v>
      </c>
      <c r="D248" s="24" t="str">
        <f aca="false">IF($A248="","",INDEX(Реестр!$D$2:$D$401,MATCH($A248,Реестр!$W$2:$W$401,0)))</f>
        <v>5157803883496</v>
      </c>
      <c r="E248" s="24" t="str">
        <f aca="false">IF($A248="","",INDEX(Реестр!$E$2:$E$401,MATCH($A248,Реестр!$W$2:$W$401,0)))</f>
        <v>784901008</v>
      </c>
      <c r="F248" s="24" t="str">
        <f aca="false">IF($A248="","",INDEX(Реестр!$J$2:$J$401,MATCH($A248,Реестр!$W$2:$W$401,0)))</f>
        <v>г. Санкт-Петербург</v>
      </c>
      <c r="G248" s="24" t="str">
        <f aca="false">IF($A248="","",INDEX(Реестр!$F$2:$F$401,MATCH($A248,Реестр!$W$2:$W$401,0)))</f>
        <v>г. Санкт-Петербург, ул. Садовая, д. 54, оф. 129</v>
      </c>
      <c r="H248" s="24" t="str">
        <f aca="false">IF($A248="","",INDEX(Реестр!$G$2:$G$401,MATCH($A248,Реестр!$W$2:$W$401,0)))</f>
        <v>Егоров С. Е.</v>
      </c>
      <c r="I248" s="24" t="str">
        <f aca="false">IF($A248="","",INDEX(Реестр!$H$2:$H$401,MATCH($A248,Реестр!$W$2:$W$401,0)))</f>
        <v>zakaz@navigator-snab.example</v>
      </c>
      <c r="J248" s="24" t="str">
        <f aca="false">IF($A248="","",INDEX(Реестр!$I$2:$I$401,MATCH($A248,Реестр!$W$2:$W$401,0)))</f>
        <v>+7 (812) 584-97-97</v>
      </c>
    </row>
    <row r="249" customFormat="false" ht="15" hidden="false" customHeight="false" outlineLevel="0" collapsed="false">
      <c r="A249" s="21" t="n">
        <f aca="false">IF(ROWS(A$5:A249)&lt;=MAX(Реестр!$W$2:$W$401),ROWS(A$5:A249),"")</f>
        <v>245</v>
      </c>
      <c r="B249" s="24" t="str">
        <f aca="false">IF($A249="","",INDEX(Реестр!$B$2:$B$401,MATCH($A249,Реестр!$W$2:$W$401,0)))</f>
        <v>ООО «Навигатор Проект»</v>
      </c>
      <c r="C249" s="24" t="str">
        <f aca="false">IF($A249="","",INDEX(Реестр!$C$2:$C$401,MATCH($A249,Реестр!$W$2:$W$401,0)))</f>
        <v>7821768910</v>
      </c>
      <c r="D249" s="24" t="str">
        <f aca="false">IF($A249="","",INDEX(Реестр!$D$2:$D$401,MATCH($A249,Реестр!$W$2:$W$401,0)))</f>
        <v>1237844648690</v>
      </c>
      <c r="E249" s="24" t="str">
        <f aca="false">IF($A249="","",INDEX(Реестр!$E$2:$E$401,MATCH($A249,Реестр!$W$2:$W$401,0)))</f>
        <v>782143001</v>
      </c>
      <c r="F249" s="24" t="str">
        <f aca="false">IF($A249="","",INDEX(Реестр!$J$2:$J$401,MATCH($A249,Реестр!$W$2:$W$401,0)))</f>
        <v>г. Санкт-Петербург</v>
      </c>
      <c r="G249" s="24" t="str">
        <f aca="false">IF($A249="","",INDEX(Реестр!$F$2:$F$401,MATCH($A249,Реестр!$W$2:$W$401,0)))</f>
        <v>г. Санкт-Петербург, ул. Советская, д. 70, оф. 59</v>
      </c>
      <c r="H249" s="24" t="str">
        <f aca="false">IF($A249="","",INDEX(Реестр!$G$2:$G$401,MATCH($A249,Реестр!$W$2:$W$401,0)))</f>
        <v>Егоров И. И.</v>
      </c>
      <c r="I249" s="24" t="str">
        <f aca="false">IF($A249="","",INDEX(Реестр!$H$2:$H$401,MATCH($A249,Реестр!$W$2:$W$401,0)))</f>
        <v>mail@navigator-proekt.example</v>
      </c>
      <c r="J249" s="24" t="str">
        <f aca="false">IF($A249="","",INDEX(Реестр!$I$2:$I$401,MATCH($A249,Реестр!$W$2:$W$401,0)))</f>
        <v>8 812 5815647</v>
      </c>
    </row>
    <row r="250" customFormat="false" ht="15" hidden="false" customHeight="false" outlineLevel="0" collapsed="false">
      <c r="A250" s="21" t="n">
        <f aca="false">IF(ROWS(A$5:A250)&lt;=MAX(Реестр!$W$2:$W$401),ROWS(A$5:A250),"")</f>
        <v>246</v>
      </c>
      <c r="B250" s="24" t="str">
        <f aca="false">IF($A250="","",INDEX(Реестр!$B$2:$B$401,MATCH($A250,Реестр!$W$2:$W$401,0)))</f>
        <v>ООО «Альфа Торг»</v>
      </c>
      <c r="C250" s="24" t="str">
        <f aca="false">IF($A250="","",INDEX(Реестр!$C$2:$C$401,MATCH($A250,Реестр!$W$2:$W$401,0)))</f>
        <v>2302333472</v>
      </c>
      <c r="D250" s="24" t="str">
        <f aca="false">IF($A250="","",INDEX(Реестр!$D$2:$D$401,MATCH($A250,Реестр!$W$2:$W$401,0)))</f>
        <v>1032308777423</v>
      </c>
      <c r="E250" s="24" t="str">
        <f aca="false">IF($A250="","",INDEX(Реестр!$E$2:$E$401,MATCH($A250,Реестр!$W$2:$W$401,0)))</f>
        <v>230201004</v>
      </c>
      <c r="F250" s="24" t="str">
        <f aca="false">IF($A250="","",INDEX(Реестр!$J$2:$J$401,MATCH($A250,Реестр!$W$2:$W$401,0)))</f>
        <v>Краснодарский край</v>
      </c>
      <c r="G250" s="24" t="str">
        <f aca="false">IF($A250="","",INDEX(Реестр!$F$2:$F$401,MATCH($A250,Реестр!$W$2:$W$401,0)))</f>
        <v>г. Краснодар, ул. Садовая, д. 112, оф. 191</v>
      </c>
      <c r="H250" s="24" t="str">
        <f aca="false">IF($A250="","",INDEX(Реестр!$G$2:$G$401,MATCH($A250,Реестр!$W$2:$W$401,0)))</f>
        <v>Соколов Н. Е.</v>
      </c>
      <c r="I250" s="24" t="str">
        <f aca="false">IF($A250="","",INDEX(Реестр!$H$2:$H$401,MATCH($A250,Реестр!$W$2:$W$401,0)))</f>
        <v>mail@alfa-torg.example</v>
      </c>
      <c r="J250" s="24" t="str">
        <f aca="false">IF($A250="","",INDEX(Реестр!$I$2:$I$401,MATCH($A250,Реестр!$W$2:$W$401,0)))</f>
        <v>+7 (861) 597-94-37</v>
      </c>
    </row>
    <row r="251" customFormat="false" ht="15" hidden="false" customHeight="false" outlineLevel="0" collapsed="false">
      <c r="A251" s="21" t="n">
        <f aca="false">IF(ROWS(A$5:A251)&lt;=MAX(Реестр!$W$2:$W$401),ROWS(A$5:A251),"")</f>
        <v>247</v>
      </c>
      <c r="B251" s="24" t="str">
        <f aca="false">IF($A251="","",INDEX(Реестр!$B$2:$B$401,MATCH($A251,Реестр!$W$2:$W$401,0)))</f>
        <v>ООО «Линия Пласт»</v>
      </c>
      <c r="C251" s="24" t="str">
        <f aca="false">IF($A251="","",INDEX(Реестр!$C$2:$C$401,MATCH($A251,Реестр!$W$2:$W$401,0)))</f>
        <v>2341695772</v>
      </c>
      <c r="D251" s="24" t="str">
        <f aca="false">IF($A251="","",INDEX(Реестр!$D$2:$D$401,MATCH($A251,Реестр!$W$2:$W$401,0)))</f>
        <v>5052307683610</v>
      </c>
      <c r="E251" s="24" t="str">
        <f aca="false">IF($A251="","",INDEX(Реестр!$E$2:$E$401,MATCH($A251,Реестр!$W$2:$W$401,0)))</f>
        <v>234101006</v>
      </c>
      <c r="F251" s="24" t="str">
        <f aca="false">IF($A251="","",INDEX(Реестр!$J$2:$J$401,MATCH($A251,Реестр!$W$2:$W$401,0)))</f>
        <v>Краснодарский край</v>
      </c>
      <c r="G251" s="24" t="str">
        <f aca="false">IF($A251="","",INDEX(Реестр!$F$2:$F$401,MATCH($A251,Реестр!$W$2:$W$401,0)))</f>
        <v>г. Краснодар, ул. Победы, д. 103, оф. 36</v>
      </c>
      <c r="H251" s="24" t="str">
        <f aca="false">IF($A251="","",INDEX(Реестр!$G$2:$G$401,MATCH($A251,Реестр!$W$2:$W$401,0)))</f>
        <v>Степанов О. С.</v>
      </c>
      <c r="I251" s="24" t="str">
        <f aca="false">IF($A251="","",INDEX(Реестр!$H$2:$H$401,MATCH($A251,Реестр!$W$2:$W$401,0)))</f>
        <v>zakaz@liniya-plast.example</v>
      </c>
      <c r="J251" s="24" t="str">
        <f aca="false">IF($A251="","",INDEX(Реестр!$I$2:$I$401,MATCH($A251,Реестр!$W$2:$W$401,0)))</f>
        <v>+78615970132</v>
      </c>
    </row>
    <row r="252" customFormat="false" ht="15" hidden="false" customHeight="false" outlineLevel="0" collapsed="false">
      <c r="A252" s="21" t="n">
        <f aca="false">IF(ROWS(A$5:A252)&lt;=MAX(Реестр!$W$2:$W$401),ROWS(A$5:A252),"")</f>
        <v>248</v>
      </c>
      <c r="B252" s="24" t="str">
        <f aca="false">IF($A252="","",INDEX(Реестр!$B$2:$B$401,MATCH($A252,Реестр!$W$2:$W$401,0)))</f>
        <v>ООО «Феникс Мед»</v>
      </c>
      <c r="C252" s="24" t="str">
        <f aca="false">IF($A252="","",INDEX(Реестр!$C$2:$C$401,MATCH($A252,Реестр!$W$2:$W$401,0)))</f>
        <v>9232801832</v>
      </c>
      <c r="D252" s="24" t="str">
        <f aca="false">IF($A252="","",INDEX(Реестр!$D$2:$D$401,MATCH($A252,Реестр!$W$2:$W$401,0)))</f>
        <v>5099215483770</v>
      </c>
      <c r="E252" s="24" t="str">
        <f aca="false">IF($A252="","",INDEX(Реестр!$E$2:$E$401,MATCH($A252,Реестр!$W$2:$W$401,0)))</f>
        <v>923245002</v>
      </c>
      <c r="F252" s="24" t="str">
        <f aca="false">IF($A252="","",INDEX(Реестр!$J$2:$J$401,MATCH($A252,Реестр!$W$2:$W$401,0)))</f>
        <v>г. Севастополь</v>
      </c>
      <c r="G252" s="24" t="str">
        <f aca="false">IF($A252="","",INDEX(Реестр!$F$2:$F$401,MATCH($A252,Реестр!$W$2:$W$401,0)))</f>
        <v>г. Севастополь, ул. Центральная, д. 83, оф. 74</v>
      </c>
      <c r="H252" s="24" t="str">
        <f aca="false">IF($A252="","",INDEX(Реестр!$G$2:$G$401,MATCH($A252,Реестр!$W$2:$W$401,0)))</f>
        <v>Алексеев А. С.</v>
      </c>
      <c r="I252" s="24" t="str">
        <f aca="false">IF($A252="","",INDEX(Реестр!$H$2:$H$401,MATCH($A252,Реестр!$W$2:$W$401,0)))</f>
        <v>zakaz@feniks-med.example</v>
      </c>
      <c r="J252" s="24" t="str">
        <f aca="false">IF($A252="","",INDEX(Реестр!$I$2:$I$401,MATCH($A252,Реестр!$W$2:$W$401,0)))</f>
        <v>8 869 5375955</v>
      </c>
    </row>
    <row r="253" customFormat="false" ht="15" hidden="false" customHeight="false" outlineLevel="0" collapsed="false">
      <c r="A253" s="21" t="n">
        <f aca="false">IF(ROWS(A$5:A253)&lt;=MAX(Реестр!$W$2:$W$401),ROWS(A$5:A253),"")</f>
        <v>249</v>
      </c>
      <c r="B253" s="24" t="str">
        <f aca="false">IF($A253="","",INDEX(Реестр!$B$2:$B$401,MATCH($A253,Реестр!$W$2:$W$401,0)))</f>
        <v>АО «Юпитер Энерго»</v>
      </c>
      <c r="C253" s="24" t="str">
        <f aca="false">IF($A253="","",INDEX(Реестр!$C$2:$C$401,MATCH($A253,Реестр!$W$2:$W$401,0)))</f>
        <v>7839061920</v>
      </c>
      <c r="D253" s="24" t="str">
        <f aca="false">IF($A253="","",INDEX(Реестр!$D$2:$D$401,MATCH($A253,Реестр!$W$2:$W$401,0)))</f>
        <v>1027840480293</v>
      </c>
      <c r="E253" s="24" t="str">
        <f aca="false">IF($A253="","",INDEX(Реестр!$E$2:$E$401,MATCH($A253,Реестр!$W$2:$W$401,0)))</f>
        <v>783901002</v>
      </c>
      <c r="F253" s="24" t="str">
        <f aca="false">IF($A253="","",INDEX(Реестр!$J$2:$J$401,MATCH($A253,Реестр!$W$2:$W$401,0)))</f>
        <v>г. Санкт-Петербург</v>
      </c>
      <c r="G253" s="24" t="str">
        <f aca="false">IF($A253="","",INDEX(Реестр!$F$2:$F$401,MATCH($A253,Реестр!$W$2:$W$401,0)))</f>
        <v>г. Санкт-Петербург, ул. Заводская, д. 23, оф. 229</v>
      </c>
      <c r="H253" s="24" t="str">
        <f aca="false">IF($A253="","",INDEX(Реестр!$G$2:$G$401,MATCH($A253,Реестр!$W$2:$W$401,0)))</f>
        <v>Смирнова И. Н.</v>
      </c>
      <c r="I253" s="24" t="str">
        <f aca="false">IF($A253="","",INDEX(Реестр!$H$2:$H$401,MATCH($A253,Реестр!$W$2:$W$401,0)))</f>
        <v>info@yupiter-energo.example</v>
      </c>
      <c r="J253" s="24" t="str">
        <f aca="false">IF($A253="","",INDEX(Реестр!$I$2:$I$401,MATCH($A253,Реестр!$W$2:$W$401,0)))</f>
        <v>8 812 5884232</v>
      </c>
    </row>
    <row r="254" customFormat="false" ht="15" hidden="false" customHeight="false" outlineLevel="0" collapsed="false">
      <c r="A254" s="21" t="n">
        <f aca="false">IF(ROWS(A$5:A254)&lt;=MAX(Реестр!$W$2:$W$401),ROWS(A$5:A254),"")</f>
        <v>250</v>
      </c>
      <c r="B254" s="24" t="str">
        <f aca="false">IF($A254="","",INDEX(Реестр!$B$2:$B$401,MATCH($A254,Реестр!$W$2:$W$401,0)))</f>
        <v>АО «Дельта Торг»</v>
      </c>
      <c r="C254" s="24" t="str">
        <f aca="false">IF($A254="","",INDEX(Реестр!$C$2:$C$401,MATCH($A254,Реестр!$W$2:$W$401,0)))</f>
        <v>2443731349</v>
      </c>
      <c r="D254" s="24" t="str">
        <f aca="false">IF($A254="","",INDEX(Реестр!$D$2:$D$401,MATCH($A254,Реестр!$W$2:$W$401,0)))</f>
        <v>5052414971440</v>
      </c>
      <c r="E254" s="24" t="str">
        <f aca="false">IF($A254="","",INDEX(Реестр!$E$2:$E$401,MATCH($A254,Реестр!$W$2:$W$401,0)))</f>
        <v>244301008</v>
      </c>
      <c r="F254" s="24" t="str">
        <f aca="false">IF($A254="","",INDEX(Реестр!$J$2:$J$401,MATCH($A254,Реестр!$W$2:$W$401,0)))</f>
        <v>Красноярский край</v>
      </c>
      <c r="G254" s="24" t="str">
        <f aca="false">IF($A254="","",INDEX(Реестр!$F$2:$F$401,MATCH($A254,Реестр!$W$2:$W$401,0)))</f>
        <v>г. Красноярск, ул. Ленина, д. 109, оф. 293</v>
      </c>
      <c r="H254" s="24" t="str">
        <f aca="false">IF($A254="","",INDEX(Реестр!$G$2:$G$401,MATCH($A254,Реестр!$W$2:$W$401,0)))</f>
        <v>Соколова А. И.</v>
      </c>
      <c r="I254" s="24" t="str">
        <f aca="false">IF($A254="","",INDEX(Реестр!$H$2:$H$401,MATCH($A254,Реестр!$W$2:$W$401,0)))</f>
        <v>sales@delta-torg.example</v>
      </c>
      <c r="J254" s="24" t="str">
        <f aca="false">IF($A254="","",INDEX(Реестр!$I$2:$I$401,MATCH($A254,Реестр!$W$2:$W$401,0)))</f>
        <v>8 391 5912932</v>
      </c>
    </row>
    <row r="255" customFormat="false" ht="15" hidden="false" customHeight="false" outlineLevel="0" collapsed="false">
      <c r="A255" s="21" t="n">
        <f aca="false">IF(ROWS(A$5:A255)&lt;=MAX(Реестр!$W$2:$W$401),ROWS(A$5:A255),"")</f>
        <v>251</v>
      </c>
      <c r="B255" s="24" t="str">
        <f aca="false">IF($A255="","",INDEX(Реестр!$B$2:$B$401,MATCH($A255,Реестр!$W$2:$W$401,0)))</f>
        <v>ООО «Прогресс Софт»</v>
      </c>
      <c r="C255" s="24" t="str">
        <f aca="false">IF($A255="","",INDEX(Реестр!$C$2:$C$401,MATCH($A255,Реестр!$W$2:$W$401,0)))</f>
        <v>6122430611</v>
      </c>
      <c r="D255" s="24" t="str">
        <f aca="false">IF($A255="","",INDEX(Реестр!$D$2:$D$401,MATCH($A255,Реестр!$W$2:$W$401,0)))</f>
        <v>5046117102290</v>
      </c>
      <c r="E255" s="24" t="str">
        <f aca="false">IF($A255="","",INDEX(Реестр!$E$2:$E$401,MATCH($A255,Реестр!$W$2:$W$401,0)))</f>
        <v>612245003</v>
      </c>
      <c r="F255" s="24" t="str">
        <f aca="false">IF($A255="","",INDEX(Реестр!$J$2:$J$401,MATCH($A255,Реестр!$W$2:$W$401,0)))</f>
        <v>Ростовская область</v>
      </c>
      <c r="G255" s="24" t="str">
        <f aca="false">IF($A255="","",INDEX(Реестр!$F$2:$F$401,MATCH($A255,Реестр!$W$2:$W$401,0)))</f>
        <v>г. Ростов-на-Дону, ул. Школьная, д. 37, оф. 220</v>
      </c>
      <c r="H255" s="24" t="str">
        <f aca="false">IF($A255="","",INDEX(Реестр!$G$2:$G$401,MATCH($A255,Реестр!$W$2:$W$401,0)))</f>
        <v>Павлова О. И.</v>
      </c>
      <c r="I255" s="24" t="str">
        <f aca="false">IF($A255="","",INDEX(Реестр!$H$2:$H$401,MATCH($A255,Реестр!$W$2:$W$401,0)))</f>
        <v>mail@progress-soft.example</v>
      </c>
      <c r="J255" s="24" t="str">
        <f aca="false">IF($A255="","",INDEX(Реестр!$I$2:$I$401,MATCH($A255,Реестр!$W$2:$W$401,0)))</f>
        <v>8 863 5011835</v>
      </c>
    </row>
    <row r="256" customFormat="false" ht="15" hidden="false" customHeight="false" outlineLevel="0" collapsed="false">
      <c r="A256" s="21" t="n">
        <f aca="false">IF(ROWS(A$5:A256)&lt;=MAX(Реестр!$W$2:$W$401),ROWS(A$5:A256),"")</f>
        <v>252</v>
      </c>
      <c r="B256" s="24" t="str">
        <f aca="false">IF($A256="","",INDEX(Реестр!$B$2:$B$401,MATCH($A256,Реестр!$W$2:$W$401,0)))</f>
        <v>ООО «Берег Фуд»</v>
      </c>
      <c r="C256" s="24" t="str">
        <f aca="false">IF($A256="","",INDEX(Реестр!$C$2:$C$401,MATCH($A256,Реестр!$W$2:$W$401,0)))</f>
        <v>6142318015</v>
      </c>
      <c r="D256" s="24" t="str">
        <f aca="false">IF($A256="","",INDEX(Реестр!$D$2:$D$401,MATCH($A256,Реестр!$W$2:$W$401,0)))</f>
        <v>1186147363335</v>
      </c>
      <c r="E256" s="24" t="str">
        <f aca="false">IF($A256="","",INDEX(Реестр!$E$2:$E$401,MATCH($A256,Реестр!$W$2:$W$401,0)))</f>
        <v>614201002</v>
      </c>
      <c r="F256" s="24" t="str">
        <f aca="false">IF($A256="","",INDEX(Реестр!$J$2:$J$401,MATCH($A256,Реестр!$W$2:$W$401,0)))</f>
        <v>Ростовская область</v>
      </c>
      <c r="G256" s="24" t="str">
        <f aca="false">IF($A256="","",INDEX(Реестр!$F$2:$F$401,MATCH($A256,Реестр!$W$2:$W$401,0)))</f>
        <v>г. Ростов-на-Дону, ул. Гагарина, д. 38, оф. 280</v>
      </c>
      <c r="H256" s="24" t="str">
        <f aca="false">IF($A256="","",INDEX(Реестр!$G$2:$G$401,MATCH($A256,Реестр!$W$2:$W$401,0)))</f>
        <v>Семёнова Д. И.</v>
      </c>
      <c r="I256" s="24" t="str">
        <f aca="false">IF($A256="","",INDEX(Реестр!$H$2:$H$401,MATCH($A256,Реестр!$W$2:$W$401,0)))</f>
        <v>mail@bereg-fud.example</v>
      </c>
      <c r="J256" s="24" t="str">
        <f aca="false">IF($A256="","",INDEX(Реестр!$I$2:$I$401,MATCH($A256,Реестр!$W$2:$W$401,0)))</f>
        <v>+78635882076</v>
      </c>
    </row>
    <row r="257" customFormat="false" ht="15" hidden="false" customHeight="false" outlineLevel="0" collapsed="false">
      <c r="A257" s="21" t="n">
        <f aca="false">IF(ROWS(A$5:A257)&lt;=MAX(Реестр!$W$2:$W$401),ROWS(A$5:A257),"")</f>
        <v>253</v>
      </c>
      <c r="B257" s="24" t="str">
        <f aca="false">IF($A257="","",INDEX(Реестр!$B$2:$B$401,MATCH($A257,Реестр!$W$2:$W$401,0)))</f>
        <v>ООО «Тандем Мед»</v>
      </c>
      <c r="C257" s="24" t="str">
        <f aca="false">IF($A257="","",INDEX(Реестр!$C$2:$C$401,MATCH($A257,Реестр!$W$2:$W$401,0)))</f>
        <v>9143466879</v>
      </c>
      <c r="D257" s="24" t="str">
        <f aca="false">IF($A257="","",INDEX(Реестр!$D$2:$D$401,MATCH($A257,Реестр!$W$2:$W$401,0)))</f>
        <v>1239148526341</v>
      </c>
      <c r="E257" s="24" t="str">
        <f aca="false">IF($A257="","",INDEX(Реестр!$E$2:$E$401,MATCH($A257,Реестр!$W$2:$W$401,0)))</f>
        <v>914301007</v>
      </c>
      <c r="F257" s="24" t="str">
        <f aca="false">IF($A257="","",INDEX(Реестр!$J$2:$J$401,MATCH($A257,Реестр!$W$2:$W$401,0)))</f>
        <v>Республика Крым</v>
      </c>
      <c r="G257" s="24" t="str">
        <f aca="false">IF($A257="","",INDEX(Реестр!$F$2:$F$401,MATCH($A257,Реестр!$W$2:$W$401,0)))</f>
        <v>г. Симферополь, ул. Гагарина, д. 67, оф. 144</v>
      </c>
      <c r="H257" s="24" t="str">
        <f aca="false">IF($A257="","",INDEX(Реестр!$G$2:$G$401,MATCH($A257,Реестр!$W$2:$W$401,0)))</f>
        <v>Волкова И. В.</v>
      </c>
      <c r="I257" s="24" t="str">
        <f aca="false">IF($A257="","",INDEX(Реестр!$H$2:$H$401,MATCH($A257,Реестр!$W$2:$W$401,0)))</f>
        <v>zakaz@tandem-med.example</v>
      </c>
      <c r="J257" s="24" t="str">
        <f aca="false">IF($A257="","",INDEX(Реестр!$I$2:$I$401,MATCH($A257,Реестр!$W$2:$W$401,0)))</f>
        <v>8 365 5112638</v>
      </c>
    </row>
    <row r="258" customFormat="false" ht="15" hidden="false" customHeight="false" outlineLevel="0" collapsed="false">
      <c r="A258" s="21" t="n">
        <f aca="false">IF(ROWS(A$5:A258)&lt;=MAX(Реестр!$W$2:$W$401),ROWS(A$5:A258),"")</f>
        <v>254</v>
      </c>
      <c r="B258" s="24" t="str">
        <f aca="false">IF($A258="","",INDEX(Реестр!$B$2:$B$401,MATCH($A258,Реестр!$W$2:$W$401,0)))</f>
        <v>ООО «Феникс Технологии»</v>
      </c>
      <c r="C258" s="24" t="str">
        <f aca="false">IF($A258="","",INDEX(Реестр!$C$2:$C$401,MATCH($A258,Реестр!$W$2:$W$401,0)))</f>
        <v>5043110222</v>
      </c>
      <c r="D258" s="24" t="str">
        <f aca="false">IF($A258="","",INDEX(Реестр!$D$2:$D$401,MATCH($A258,Реестр!$W$2:$W$401,0)))</f>
        <v>1175024913403</v>
      </c>
      <c r="E258" s="24" t="str">
        <f aca="false">IF($A258="","",INDEX(Реестр!$E$2:$E$401,MATCH($A258,Реестр!$W$2:$W$401,0)))</f>
        <v>504301008</v>
      </c>
      <c r="F258" s="24" t="str">
        <f aca="false">IF($A258="","",INDEX(Реестр!$J$2:$J$401,MATCH($A258,Реестр!$W$2:$W$401,0)))</f>
        <v>Московская область</v>
      </c>
      <c r="G258" s="24" t="str">
        <f aca="false">IF($A258="","",INDEX(Реестр!$F$2:$F$401,MATCH($A258,Реестр!$W$2:$W$401,0)))</f>
        <v>г. Красногорск, ул. Гагарина, д. 89, оф. 17</v>
      </c>
      <c r="H258" s="24" t="str">
        <f aca="false">IF($A258="","",INDEX(Реестр!$G$2:$G$401,MATCH($A258,Реестр!$W$2:$W$401,0)))</f>
        <v>Фёдоров Д. Н.</v>
      </c>
      <c r="I258" s="24" t="str">
        <f aca="false">IF($A258="","",INDEX(Реестр!$H$2:$H$401,MATCH($A258,Реестр!$W$2:$W$401,0)))</f>
        <v>mail@feniks-tekhnologii.example</v>
      </c>
      <c r="J258" s="24" t="str">
        <f aca="false">IF($A258="","",INDEX(Реестр!$I$2:$I$401,MATCH($A258,Реестр!$W$2:$W$401,0)))</f>
        <v>8 498 5669555</v>
      </c>
    </row>
    <row r="259" customFormat="false" ht="15" hidden="false" customHeight="false" outlineLevel="0" collapsed="false">
      <c r="A259" s="21" t="n">
        <f aca="false">IF(ROWS(A$5:A259)&lt;=MAX(Реестр!$W$2:$W$401),ROWS(A$5:A259),"")</f>
        <v>255</v>
      </c>
      <c r="B259" s="24" t="str">
        <f aca="false">IF($A259="","",INDEX(Реестр!$B$2:$B$401,MATCH($A259,Реестр!$W$2:$W$401,0)))</f>
        <v>ООО «Горизонт Технологии»</v>
      </c>
      <c r="C259" s="24" t="str">
        <f aca="false">IF($A259="","",INDEX(Реестр!$C$2:$C$401,MATCH($A259,Реестр!$W$2:$W$401,0)))</f>
        <v>6307112160</v>
      </c>
      <c r="D259" s="24" t="str">
        <f aca="false">IF($A259="","",INDEX(Реестр!$D$2:$D$401,MATCH($A259,Реестр!$W$2:$W$401,0)))</f>
        <v>5076306809882</v>
      </c>
      <c r="E259" s="24" t="str">
        <f aca="false">IF($A259="","",INDEX(Реестр!$E$2:$E$401,MATCH($A259,Реестр!$W$2:$W$401,0)))</f>
        <v>630701004</v>
      </c>
      <c r="F259" s="24" t="str">
        <f aca="false">IF($A259="","",INDEX(Реестр!$J$2:$J$401,MATCH($A259,Реестр!$W$2:$W$401,0)))</f>
        <v>Самарская область</v>
      </c>
      <c r="G259" s="24" t="str">
        <f aca="false">IF($A259="","",INDEX(Реестр!$F$2:$F$401,MATCH($A259,Реестр!$W$2:$W$401,0)))</f>
        <v>г. Самара, ул. Набережная, д. 79, оф. 21</v>
      </c>
      <c r="H259" s="24" t="str">
        <f aca="false">IF($A259="","",INDEX(Реестр!$G$2:$G$401,MATCH($A259,Реестр!$W$2:$W$401,0)))</f>
        <v>Лебедев А. Д.</v>
      </c>
      <c r="I259" s="24" t="str">
        <f aca="false">IF($A259="","",INDEX(Реестр!$H$2:$H$401,MATCH($A259,Реестр!$W$2:$W$401,0)))</f>
        <v>sales@gorizont-tekhnologii.example</v>
      </c>
      <c r="J259" s="24" t="str">
        <f aca="false">IF($A259="","",INDEX(Реестр!$I$2:$I$401,MATCH($A259,Реестр!$W$2:$W$401,0)))</f>
        <v>+7 (846) 543-74-91</v>
      </c>
    </row>
    <row r="260" customFormat="false" ht="15" hidden="false" customHeight="false" outlineLevel="0" collapsed="false">
      <c r="A260" s="21" t="n">
        <f aca="false">IF(ROWS(A$5:A260)&lt;=MAX(Реестр!$W$2:$W$401),ROWS(A$5:A260),"")</f>
        <v>256</v>
      </c>
      <c r="B260" s="24" t="str">
        <f aca="false">IF($A260="","",INDEX(Реестр!$B$2:$B$401,MATCH($A260,Реестр!$W$2:$W$401,0)))</f>
        <v>ООО «Меридиан Софт»</v>
      </c>
      <c r="C260" s="24" t="str">
        <f aca="false">IF($A260="","",INDEX(Реестр!$C$2:$C$401,MATCH($A260,Реестр!$W$2:$W$401,0)))</f>
        <v>9145793864</v>
      </c>
      <c r="D260" s="24" t="str">
        <f aca="false">IF($A260="","",INDEX(Реестр!$D$2:$D$401,MATCH($A260,Реестр!$W$2:$W$401,0)))</f>
        <v>5159109577853</v>
      </c>
      <c r="E260" s="24" t="str">
        <f aca="false">IF($A260="","",INDEX(Реестр!$E$2:$E$401,MATCH($A260,Реестр!$W$2:$W$401,0)))</f>
        <v>914501009</v>
      </c>
      <c r="F260" s="24" t="str">
        <f aca="false">IF($A260="","",INDEX(Реестр!$J$2:$J$401,MATCH($A260,Реестр!$W$2:$W$401,0)))</f>
        <v>Республика Крым</v>
      </c>
      <c r="G260" s="24" t="str">
        <f aca="false">IF($A260="","",INDEX(Реестр!$F$2:$F$401,MATCH($A260,Реестр!$W$2:$W$401,0)))</f>
        <v>г. Симферополь, ул. Победы, д. 48, оф. 69</v>
      </c>
      <c r="H260" s="24" t="str">
        <f aca="false">IF($A260="","",INDEX(Реестр!$G$2:$G$401,MATCH($A260,Реестр!$W$2:$W$401,0)))</f>
        <v>Алексеева Н. С.</v>
      </c>
      <c r="I260" s="24" t="str">
        <f aca="false">IF($A260="","",INDEX(Реестр!$H$2:$H$401,MATCH($A260,Реестр!$W$2:$W$401,0)))</f>
        <v>zakaz@meridian-soft.example</v>
      </c>
      <c r="J260" s="24" t="str">
        <f aca="false">IF($A260="","",INDEX(Реестр!$I$2:$I$401,MATCH($A260,Реестр!$W$2:$W$401,0)))</f>
        <v>8 365 5997567</v>
      </c>
    </row>
    <row r="261" customFormat="false" ht="15" hidden="false" customHeight="false" outlineLevel="0" collapsed="false">
      <c r="A261" s="21" t="n">
        <f aca="false">IF(ROWS(A$5:A261)&lt;=MAX(Реестр!$W$2:$W$401),ROWS(A$5:A261),"")</f>
        <v>257</v>
      </c>
      <c r="B261" s="24" t="str">
        <f aca="false">IF($A261="","",INDEX(Реестр!$B$2:$B$401,MATCH($A261,Реестр!$W$2:$W$401,0)))</f>
        <v>ООО «Вектор Стандарт»</v>
      </c>
      <c r="C261" s="24" t="str">
        <f aca="false">IF($A261="","",INDEX(Реестр!$C$2:$C$401,MATCH($A261,Реестр!$W$2:$W$401,0)))</f>
        <v>7442504906</v>
      </c>
      <c r="D261" s="24" t="str">
        <f aca="false">IF($A261="","",INDEX(Реестр!$D$2:$D$401,MATCH($A261,Реестр!$W$2:$W$401,0)))</f>
        <v>1057408073975</v>
      </c>
      <c r="E261" s="24" t="str">
        <f aca="false">IF($A261="","",INDEX(Реестр!$E$2:$E$401,MATCH($A261,Реестр!$W$2:$W$401,0)))</f>
        <v>744245003</v>
      </c>
      <c r="F261" s="24" t="str">
        <f aca="false">IF($A261="","",INDEX(Реестр!$J$2:$J$401,MATCH($A261,Реестр!$W$2:$W$401,0)))</f>
        <v>Челябинская область</v>
      </c>
      <c r="G261" s="24" t="str">
        <f aca="false">IF($A261="","",INDEX(Реестр!$F$2:$F$401,MATCH($A261,Реестр!$W$2:$W$401,0)))</f>
        <v>г. Челябинск, ул. Школьная, д. 25, оф. 144</v>
      </c>
      <c r="H261" s="24" t="str">
        <f aca="false">IF($A261="","",INDEX(Реестр!$G$2:$G$401,MATCH($A261,Реестр!$W$2:$W$401,0)))</f>
        <v>Семёнов М. С.</v>
      </c>
      <c r="I261" s="24" t="str">
        <f aca="false">IF($A261="","",INDEX(Реестр!$H$2:$H$401,MATCH($A261,Реестр!$W$2:$W$401,0)))</f>
        <v>office@vektor-standart.example</v>
      </c>
      <c r="J261" s="24" t="str">
        <f aca="false">IF($A261="","",INDEX(Реестр!$I$2:$I$401,MATCH($A261,Реестр!$W$2:$W$401,0)))</f>
        <v>8 351 5281218</v>
      </c>
    </row>
    <row r="262" customFormat="false" ht="15" hidden="false" customHeight="false" outlineLevel="0" collapsed="false">
      <c r="A262" s="21" t="n">
        <f aca="false">IF(ROWS(A$5:A262)&lt;=MAX(Реестр!$W$2:$W$401),ROWS(A$5:A262),"")</f>
        <v>258</v>
      </c>
      <c r="B262" s="24" t="str">
        <f aca="false">IF($A262="","",INDEX(Реестр!$B$2:$B$401,MATCH($A262,Реестр!$W$2:$W$401,0)))</f>
        <v>ООО «Юпитер Снаб»</v>
      </c>
      <c r="C262" s="24" t="str">
        <f aca="false">IF($A262="","",INDEX(Реестр!$C$2:$C$401,MATCH($A262,Реестр!$W$2:$W$401,0)))</f>
        <v>5431268594</v>
      </c>
      <c r="D262" s="24" t="str">
        <f aca="false">IF($A262="","",INDEX(Реестр!$D$2:$D$401,MATCH($A262,Реестр!$W$2:$W$401,0)))</f>
        <v>5245417993145</v>
      </c>
      <c r="E262" s="24" t="str">
        <f aca="false">IF($A262="","",INDEX(Реестр!$E$2:$E$401,MATCH($A262,Реестр!$W$2:$W$401,0)))</f>
        <v>543101006</v>
      </c>
      <c r="F262" s="24" t="str">
        <f aca="false">IF($A262="","",INDEX(Реестр!$J$2:$J$401,MATCH($A262,Реестр!$W$2:$W$401,0)))</f>
        <v>Новосибирская область</v>
      </c>
      <c r="G262" s="24" t="str">
        <f aca="false">IF($A262="","",INDEX(Реестр!$F$2:$F$401,MATCH($A262,Реестр!$W$2:$W$401,0)))</f>
        <v>г. Новосибирск, ул. Мира, д. 86, оф. 271</v>
      </c>
      <c r="H262" s="24" t="str">
        <f aca="false">IF($A262="","",INDEX(Реестр!$G$2:$G$401,MATCH($A262,Реестр!$W$2:$W$401,0)))</f>
        <v>Степанова А. Н.</v>
      </c>
      <c r="I262" s="24" t="str">
        <f aca="false">IF($A262="","",INDEX(Реестр!$H$2:$H$401,MATCH($A262,Реестр!$W$2:$W$401,0)))</f>
        <v>zakaz@yupiter-snab.example</v>
      </c>
      <c r="J262" s="24" t="str">
        <f aca="false">IF($A262="","",INDEX(Реестр!$I$2:$I$401,MATCH($A262,Реестр!$W$2:$W$401,0)))</f>
        <v>+73835743419</v>
      </c>
    </row>
    <row r="263" customFormat="false" ht="15" hidden="false" customHeight="false" outlineLevel="0" collapsed="false">
      <c r="A263" s="21" t="n">
        <f aca="false">IF(ROWS(A$5:A263)&lt;=MAX(Реестр!$W$2:$W$401),ROWS(A$5:A263),"")</f>
        <v>259</v>
      </c>
      <c r="B263" s="24" t="str">
        <f aca="false">IF($A263="","",INDEX(Реестр!$B$2:$B$401,MATCH($A263,Реестр!$W$2:$W$401,0)))</f>
        <v>ООО «Навигатор Торг»</v>
      </c>
      <c r="C263" s="24" t="str">
        <f aca="false">IF($A263="","",INDEX(Реестр!$C$2:$C$401,MATCH($A263,Реестр!$W$2:$W$401,0)))</f>
        <v>7745738237</v>
      </c>
      <c r="D263" s="24" t="str">
        <f aca="false">IF($A263="","",INDEX(Реестр!$D$2:$D$401,MATCH($A263,Реестр!$W$2:$W$401,0)))</f>
        <v>1107703364449</v>
      </c>
      <c r="E263" s="24" t="str">
        <f aca="false">IF($A263="","",INDEX(Реестр!$E$2:$E$401,MATCH($A263,Реестр!$W$2:$W$401,0)))</f>
        <v>774501001</v>
      </c>
      <c r="F263" s="24" t="str">
        <f aca="false">IF($A263="","",INDEX(Реестр!$J$2:$J$401,MATCH($A263,Реестр!$W$2:$W$401,0)))</f>
        <v>г. Москва</v>
      </c>
      <c r="G263" s="24" t="str">
        <f aca="false">IF($A263="","",INDEX(Реестр!$F$2:$F$401,MATCH($A263,Реестр!$W$2:$W$401,0)))</f>
        <v>г. Москва, ул. Гагарина, д. 56, оф. 58</v>
      </c>
      <c r="H263" s="24" t="str">
        <f aca="false">IF($A263="","",INDEX(Реестр!$G$2:$G$401,MATCH($A263,Реестр!$W$2:$W$401,0)))</f>
        <v>Попов Д. Т.</v>
      </c>
      <c r="I263" s="24" t="str">
        <f aca="false">IF($A263="","",INDEX(Реестр!$H$2:$H$401,MATCH($A263,Реестр!$W$2:$W$401,0)))</f>
        <v>sales@navigator-torg.example</v>
      </c>
      <c r="J263" s="24" t="str">
        <f aca="false">IF($A263="","",INDEX(Реестр!$I$2:$I$401,MATCH($A263,Реестр!$W$2:$W$401,0)))</f>
        <v>+74955987824</v>
      </c>
    </row>
    <row r="264" customFormat="false" ht="15" hidden="false" customHeight="false" outlineLevel="0" collapsed="false">
      <c r="A264" s="21" t="n">
        <f aca="false">IF(ROWS(A$5:A264)&lt;=MAX(Реестр!$W$2:$W$401),ROWS(A$5:A264),"")</f>
        <v>260</v>
      </c>
      <c r="B264" s="24" t="str">
        <f aca="false">IF($A264="","",INDEX(Реестр!$B$2:$B$401,MATCH($A264,Реестр!$W$2:$W$401,0)))</f>
        <v>АО «Меридиан Пласт»</v>
      </c>
      <c r="C264" s="24" t="str">
        <f aca="false">IF($A264="","",INDEX(Реестр!$C$2:$C$401,MATCH($A264,Реестр!$W$2:$W$401,0)))</f>
        <v>7703617826</v>
      </c>
      <c r="D264" s="24" t="str">
        <f aca="false">IF($A264="","",INDEX(Реестр!$D$2:$D$401,MATCH($A264,Реестр!$W$2:$W$401,0)))</f>
        <v>5137713266928</v>
      </c>
      <c r="E264" s="24" t="str">
        <f aca="false">IF($A264="","",INDEX(Реестр!$E$2:$E$401,MATCH($A264,Реестр!$W$2:$W$401,0)))</f>
        <v>770343003</v>
      </c>
      <c r="F264" s="24" t="str">
        <f aca="false">IF($A264="","",INDEX(Реестр!$J$2:$J$401,MATCH($A264,Реестр!$W$2:$W$401,0)))</f>
        <v>г. Москва</v>
      </c>
      <c r="G264" s="24" t="str">
        <f aca="false">IF($A264="","",INDEX(Реестр!$F$2:$F$401,MATCH($A264,Реестр!$W$2:$W$401,0)))</f>
        <v>г. Москва, ул. Ленина, д. 61, оф. 213</v>
      </c>
      <c r="H264" s="24" t="str">
        <f aca="false">IF($A264="","",INDEX(Реестр!$G$2:$G$401,MATCH($A264,Реестр!$W$2:$W$401,0)))</f>
        <v>Новикова А. М.</v>
      </c>
      <c r="I264" s="24" t="str">
        <f aca="false">IF($A264="","",INDEX(Реестр!$H$2:$H$401,MATCH($A264,Реестр!$W$2:$W$401,0)))</f>
        <v>mail@meridian-plast.example</v>
      </c>
      <c r="J264" s="24" t="str">
        <f aca="false">IF($A264="","",INDEX(Реестр!$I$2:$I$401,MATCH($A264,Реестр!$W$2:$W$401,0)))</f>
        <v>+7 (495) 500-28-55</v>
      </c>
    </row>
    <row r="265" customFormat="false" ht="15" hidden="false" customHeight="false" outlineLevel="0" collapsed="false">
      <c r="A265" s="21" t="n">
        <f aca="false">IF(ROWS(A$5:A265)&lt;=MAX(Реестр!$W$2:$W$401),ROWS(A$5:A265),"")</f>
        <v>261</v>
      </c>
      <c r="B265" s="24" t="str">
        <f aca="false">IF($A265="","",INDEX(Реестр!$B$2:$B$401,MATCH($A265,Реестр!$W$2:$W$401,0)))</f>
        <v>ООО «Квант Проект»</v>
      </c>
      <c r="C265" s="24" t="str">
        <f aca="false">IF($A265="","",INDEX(Реестр!$C$2:$C$401,MATCH($A265,Реестр!$W$2:$W$401,0)))</f>
        <v>6638577537</v>
      </c>
      <c r="D265" s="24" t="str">
        <f aca="false">IF($A265="","",INDEX(Реестр!$D$2:$D$401,MATCH($A265,Реестр!$W$2:$W$401,0)))</f>
        <v>5166617260816</v>
      </c>
      <c r="E265" s="24" t="str">
        <f aca="false">IF($A265="","",INDEX(Реестр!$E$2:$E$401,MATCH($A265,Реестр!$W$2:$W$401,0)))</f>
        <v>663845002</v>
      </c>
      <c r="F265" s="24" t="str">
        <f aca="false">IF($A265="","",INDEX(Реестр!$J$2:$J$401,MATCH($A265,Реестр!$W$2:$W$401,0)))</f>
        <v>Свердловская область</v>
      </c>
      <c r="G265" s="24" t="str">
        <f aca="false">IF($A265="","",INDEX(Реестр!$F$2:$F$401,MATCH($A265,Реестр!$W$2:$W$401,0)))</f>
        <v>г. Екатеринбург, ул. Садовая, д. 95, оф. 186</v>
      </c>
      <c r="H265" s="24" t="str">
        <f aca="false">IF($A265="","",INDEX(Реестр!$G$2:$G$401,MATCH($A265,Реестр!$W$2:$W$401,0)))</f>
        <v>Соколова Е. О.</v>
      </c>
      <c r="I265" s="24" t="str">
        <f aca="false">IF($A265="","",INDEX(Реестр!$H$2:$H$401,MATCH($A265,Реестр!$W$2:$W$401,0)))</f>
        <v>sales@kvant-proekt.example</v>
      </c>
      <c r="J265" s="24" t="str">
        <f aca="false">IF($A265="","",INDEX(Реестр!$I$2:$I$401,MATCH($A265,Реестр!$W$2:$W$401,0)))</f>
        <v>+7 (343) 570-89-33</v>
      </c>
    </row>
    <row r="266" customFormat="false" ht="15" hidden="false" customHeight="false" outlineLevel="0" collapsed="false">
      <c r="A266" s="21" t="n">
        <f aca="false">IF(ROWS(A$5:A266)&lt;=MAX(Реестр!$W$2:$W$401),ROWS(A$5:A266),"")</f>
        <v>262</v>
      </c>
      <c r="B266" s="24" t="str">
        <f aca="false">IF($A266="","",INDEX(Реестр!$B$2:$B$401,MATCH($A266,Реестр!$W$2:$W$401,0)))</f>
        <v>АО «Орбита Сервис»</v>
      </c>
      <c r="C266" s="24" t="str">
        <f aca="false">IF($A266="","",INDEX(Реестр!$C$2:$C$401,MATCH($A266,Реестр!$W$2:$W$401,0)))</f>
        <v>5426807057</v>
      </c>
      <c r="D266" s="24" t="str">
        <f aca="false">IF($A266="","",INDEX(Реестр!$D$2:$D$401,MATCH($A266,Реестр!$W$2:$W$401,0)))</f>
        <v>5145408577386</v>
      </c>
      <c r="E266" s="24" t="str">
        <f aca="false">IF($A266="","",INDEX(Реестр!$E$2:$E$401,MATCH($A266,Реестр!$W$2:$W$401,0)))</f>
        <v>542643009</v>
      </c>
      <c r="F266" s="24" t="str">
        <f aca="false">IF($A266="","",INDEX(Реестр!$J$2:$J$401,MATCH($A266,Реестр!$W$2:$W$401,0)))</f>
        <v>Новосибирская область</v>
      </c>
      <c r="G266" s="24" t="str">
        <f aca="false">IF($A266="","",INDEX(Реестр!$F$2:$F$401,MATCH($A266,Реестр!$W$2:$W$401,0)))</f>
        <v>г. Новосибирск, ул. Садовая, д. 91, оф. 131</v>
      </c>
      <c r="H266" s="24" t="str">
        <f aca="false">IF($A266="","",INDEX(Реестр!$G$2:$G$401,MATCH($A266,Реестр!$W$2:$W$401,0)))</f>
        <v>Попов Н. В.</v>
      </c>
      <c r="I266" s="24" t="str">
        <f aca="false">IF($A266="","",INDEX(Реестр!$H$2:$H$401,MATCH($A266,Реестр!$W$2:$W$401,0)))</f>
        <v>mail@orbita-servis.example</v>
      </c>
      <c r="J266" s="24" t="str">
        <f aca="false">IF($A266="","",INDEX(Реестр!$I$2:$I$401,MATCH($A266,Реестр!$W$2:$W$401,0)))</f>
        <v>+7 (383) 544-61-93</v>
      </c>
    </row>
    <row r="267" customFormat="false" ht="15" hidden="false" customHeight="false" outlineLevel="0" collapsed="false">
      <c r="A267" s="21" t="n">
        <f aca="false">IF(ROWS(A$5:A267)&lt;=MAX(Реестр!$W$2:$W$401),ROWS(A$5:A267),"")</f>
        <v>263</v>
      </c>
      <c r="B267" s="24" t="str">
        <f aca="false">IF($A267="","",INDEX(Реестр!$B$2:$B$401,MATCH($A267,Реестр!$W$2:$W$401,0)))</f>
        <v>АО «Импульс Транс»</v>
      </c>
      <c r="C267" s="24" t="str">
        <f aca="false">IF($A267="","",INDEX(Реестр!$C$2:$C$401,MATCH($A267,Реестр!$W$2:$W$401,0)))</f>
        <v>7712957427</v>
      </c>
      <c r="D267" s="24" t="str">
        <f aca="false">IF($A267="","",INDEX(Реестр!$D$2:$D$401,MATCH($A267,Реестр!$W$2:$W$401,0)))</f>
        <v>5177712066660</v>
      </c>
      <c r="E267" s="24" t="str">
        <f aca="false">IF($A267="","",INDEX(Реестр!$E$2:$E$401,MATCH($A267,Реестр!$W$2:$W$401,0)))</f>
        <v>771201001</v>
      </c>
      <c r="F267" s="24" t="str">
        <f aca="false">IF($A267="","",INDEX(Реестр!$J$2:$J$401,MATCH($A267,Реестр!$W$2:$W$401,0)))</f>
        <v>г. Москва</v>
      </c>
      <c r="G267" s="24" t="str">
        <f aca="false">IF($A267="","",INDEX(Реестр!$F$2:$F$401,MATCH($A267,Реестр!$W$2:$W$401,0)))</f>
        <v>г. Москва, ул. Центральная, д. 63, оф. 56</v>
      </c>
      <c r="H267" s="24" t="str">
        <f aca="false">IF($A267="","",INDEX(Реестр!$G$2:$G$401,MATCH($A267,Реестр!$W$2:$W$401,0)))</f>
        <v>Смирнова И. В.</v>
      </c>
      <c r="I267" s="24" t="str">
        <f aca="false">IF($A267="","",INDEX(Реестр!$H$2:$H$401,MATCH($A267,Реестр!$W$2:$W$401,0)))</f>
        <v>office@impuls-trans.example</v>
      </c>
      <c r="J267" s="24" t="str">
        <f aca="false">IF($A267="","",INDEX(Реестр!$I$2:$I$401,MATCH($A267,Реестр!$W$2:$W$401,0)))</f>
        <v>8 495 5015046</v>
      </c>
    </row>
    <row r="268" customFormat="false" ht="15" hidden="false" customHeight="false" outlineLevel="0" collapsed="false">
      <c r="A268" s="21" t="n">
        <f aca="false">IF(ROWS(A$5:A268)&lt;=MAX(Реестр!$W$2:$W$401),ROWS(A$5:A268),"")</f>
        <v>264</v>
      </c>
      <c r="B268" s="24" t="str">
        <f aca="false">IF($A268="","",INDEX(Реестр!$B$2:$B$401,MATCH($A268,Реестр!$W$2:$W$401,0)))</f>
        <v>АО «Гранит Транс»</v>
      </c>
      <c r="C268" s="24" t="str">
        <f aca="false">IF($A268="","",INDEX(Реестр!$C$2:$C$401,MATCH($A268,Реестр!$W$2:$W$401,0)))</f>
        <v>5024884559</v>
      </c>
      <c r="D268" s="24" t="str">
        <f aca="false">IF($A268="","",INDEX(Реестр!$D$2:$D$401,MATCH($A268,Реестр!$W$2:$W$401,0)))</f>
        <v>5175003538925</v>
      </c>
      <c r="E268" s="24" t="str">
        <f aca="false">IF($A268="","",INDEX(Реестр!$E$2:$E$401,MATCH($A268,Реестр!$W$2:$W$401,0)))</f>
        <v>502401008</v>
      </c>
      <c r="F268" s="24" t="str">
        <f aca="false">IF($A268="","",INDEX(Реестр!$J$2:$J$401,MATCH($A268,Реестр!$W$2:$W$401,0)))</f>
        <v>Московская область</v>
      </c>
      <c r="G268" s="24" t="str">
        <f aca="false">IF($A268="","",INDEX(Реестр!$F$2:$F$401,MATCH($A268,Реестр!$W$2:$W$401,0)))</f>
        <v>г. Красногорск, ул. Заводская, д. 63, оф. 234</v>
      </c>
      <c r="H268" s="24" t="str">
        <f aca="false">IF($A268="","",INDEX(Реестр!$G$2:$G$401,MATCH($A268,Реестр!$W$2:$W$401,0)))</f>
        <v>Семёнова Н. О.</v>
      </c>
      <c r="I268" s="24" t="str">
        <f aca="false">IF($A268="","",INDEX(Реестр!$H$2:$H$401,MATCH($A268,Реестр!$W$2:$W$401,0)))</f>
        <v>mail@granit-trans.example</v>
      </c>
      <c r="J268" s="24" t="str">
        <f aca="false">IF($A268="","",INDEX(Реестр!$I$2:$I$401,MATCH($A268,Реестр!$W$2:$W$401,0)))</f>
        <v>8 498 5543500</v>
      </c>
    </row>
    <row r="269" customFormat="false" ht="15" hidden="false" customHeight="false" outlineLevel="0" collapsed="false">
      <c r="A269" s="21" t="n">
        <f aca="false">IF(ROWS(A$5:A269)&lt;=MAX(Реестр!$W$2:$W$401),ROWS(A$5:A269),"")</f>
        <v>265</v>
      </c>
      <c r="B269" s="24" t="str">
        <f aca="false">IF($A269="","",INDEX(Реестр!$B$2:$B$401,MATCH($A269,Реестр!$W$2:$W$401,0)))</f>
        <v>ООО «Атлант Технологии»</v>
      </c>
      <c r="C269" s="24" t="str">
        <f aca="false">IF($A269="","",INDEX(Реестр!$C$2:$C$401,MATCH($A269,Реестр!$W$2:$W$401,0)))</f>
        <v>5434738840</v>
      </c>
      <c r="D269" s="24" t="str">
        <f aca="false">IF($A269="","",INDEX(Реестр!$D$2:$D$401,MATCH($A269,Реестр!$W$2:$W$401,0)))</f>
        <v>5225427889210</v>
      </c>
      <c r="E269" s="24" t="str">
        <f aca="false">IF($A269="","",INDEX(Реестр!$E$2:$E$401,MATCH($A269,Реестр!$W$2:$W$401,0)))</f>
        <v>543401003</v>
      </c>
      <c r="F269" s="24" t="str">
        <f aca="false">IF($A269="","",INDEX(Реестр!$J$2:$J$401,MATCH($A269,Реестр!$W$2:$W$401,0)))</f>
        <v>Новосибирская область</v>
      </c>
      <c r="G269" s="24" t="str">
        <f aca="false">IF($A269="","",INDEX(Реестр!$F$2:$F$401,MATCH($A269,Реестр!$W$2:$W$401,0)))</f>
        <v>г. Новосибирск, ул. Советская, д. 33, оф. 299</v>
      </c>
      <c r="H269" s="24" t="str">
        <f aca="false">IF($A269="","",INDEX(Реестр!$G$2:$G$401,MATCH($A269,Реестр!$W$2:$W$401,0)))</f>
        <v>Иванова Т. С.</v>
      </c>
      <c r="I269" s="24" t="str">
        <f aca="false">IF($A269="","",INDEX(Реестр!$H$2:$H$401,MATCH($A269,Реестр!$W$2:$W$401,0)))</f>
        <v>mail@atlant-tekhnologii.example</v>
      </c>
      <c r="J269" s="24" t="str">
        <f aca="false">IF($A269="","",INDEX(Реестр!$I$2:$I$401,MATCH($A269,Реестр!$W$2:$W$401,0)))</f>
        <v>+7 (383) 556-62-67</v>
      </c>
    </row>
    <row r="270" customFormat="false" ht="15" hidden="false" customHeight="false" outlineLevel="0" collapsed="false">
      <c r="A270" s="21" t="n">
        <f aca="false">IF(ROWS(A$5:A270)&lt;=MAX(Реестр!$W$2:$W$401),ROWS(A$5:A270),"")</f>
        <v>266</v>
      </c>
      <c r="B270" s="24" t="str">
        <f aca="false">IF($A270="","",INDEX(Реестр!$B$2:$B$401,MATCH($A270,Реестр!$W$2:$W$401,0)))</f>
        <v>ООО «Гранит Энерго»</v>
      </c>
      <c r="C270" s="24" t="str">
        <f aca="false">IF($A270="","",INDEX(Реестр!$C$2:$C$401,MATCH($A270,Реестр!$W$2:$W$401,0)))</f>
        <v>5220373712</v>
      </c>
      <c r="D270" s="24" t="str">
        <f aca="false">IF($A270="","",INDEX(Реестр!$D$2:$D$401,MATCH($A270,Реестр!$W$2:$W$401,0)))</f>
        <v>5035235841482</v>
      </c>
      <c r="E270" s="24" t="str">
        <f aca="false">IF($A270="","",INDEX(Реестр!$E$2:$E$401,MATCH($A270,Реестр!$W$2:$W$401,0)))</f>
        <v>522001007</v>
      </c>
      <c r="F270" s="24" t="str">
        <f aca="false">IF($A270="","",INDEX(Реестр!$J$2:$J$401,MATCH($A270,Реестр!$W$2:$W$401,0)))</f>
        <v>Нижегородская область</v>
      </c>
      <c r="G270" s="24" t="str">
        <f aca="false">IF($A270="","",INDEX(Реестр!$F$2:$F$401,MATCH($A270,Реестр!$W$2:$W$401,0)))</f>
        <v>г. Нижний Новгород, ул. Ленина, д. 33, оф. 26</v>
      </c>
      <c r="H270" s="24" t="str">
        <f aca="false">IF($A270="","",INDEX(Реестр!$G$2:$G$401,MATCH($A270,Реестр!$W$2:$W$401,0)))</f>
        <v>Соколова И. Д.</v>
      </c>
      <c r="I270" s="24" t="str">
        <f aca="false">IF($A270="","",INDEX(Реестр!$H$2:$H$401,MATCH($A270,Реестр!$W$2:$W$401,0)))</f>
        <v>sales@granit-energo.example</v>
      </c>
      <c r="J270" s="24" t="str">
        <f aca="false">IF($A270="","",INDEX(Реестр!$I$2:$I$401,MATCH($A270,Реестр!$W$2:$W$401,0)))</f>
        <v>+7 (831) 566-32-25</v>
      </c>
    </row>
    <row r="271" customFormat="false" ht="15" hidden="false" customHeight="false" outlineLevel="0" collapsed="false">
      <c r="A271" s="21" t="n">
        <f aca="false">IF(ROWS(A$5:A271)&lt;=MAX(Реестр!$W$2:$W$401),ROWS(A$5:A271),"")</f>
        <v>267</v>
      </c>
      <c r="B271" s="24" t="str">
        <f aca="false">IF($A271="","",INDEX(Реестр!$B$2:$B$401,MATCH($A271,Реестр!$W$2:$W$401,0)))</f>
        <v>ООО «Альфа Технологии»</v>
      </c>
      <c r="C271" s="24" t="str">
        <f aca="false">IF($A271="","",INDEX(Реестр!$C$2:$C$401,MATCH($A271,Реестр!$W$2:$W$401,0)))</f>
        <v>6648930409</v>
      </c>
      <c r="D271" s="24" t="str">
        <f aca="false">IF($A271="","",INDEX(Реестр!$D$2:$D$401,MATCH($A271,Реестр!$W$2:$W$401,0)))</f>
        <v>5096624259650</v>
      </c>
      <c r="E271" s="24" t="str">
        <f aca="false">IF($A271="","",INDEX(Реестр!$E$2:$E$401,MATCH($A271,Реестр!$W$2:$W$401,0)))</f>
        <v>664843007</v>
      </c>
      <c r="F271" s="24" t="str">
        <f aca="false">IF($A271="","",INDEX(Реестр!$J$2:$J$401,MATCH($A271,Реестр!$W$2:$W$401,0)))</f>
        <v>Свердловская область</v>
      </c>
      <c r="G271" s="24" t="str">
        <f aca="false">IF($A271="","",INDEX(Реестр!$F$2:$F$401,MATCH($A271,Реестр!$W$2:$W$401,0)))</f>
        <v>г. Екатеринбург, ул. Советская, д. 32, оф. 65</v>
      </c>
      <c r="H271" s="24" t="str">
        <f aca="false">IF($A271="","",INDEX(Реестр!$G$2:$G$401,MATCH($A271,Реестр!$W$2:$W$401,0)))</f>
        <v>Смирнова Н. О.</v>
      </c>
      <c r="I271" s="24" t="str">
        <f aca="false">IF($A271="","",INDEX(Реестр!$H$2:$H$401,MATCH($A271,Реестр!$W$2:$W$401,0)))</f>
        <v>office@alfa-tekhnologii.example</v>
      </c>
      <c r="J271" s="24" t="str">
        <f aca="false">IF($A271="","",INDEX(Реестр!$I$2:$I$401,MATCH($A271,Реестр!$W$2:$W$401,0)))</f>
        <v>+73435054074</v>
      </c>
    </row>
    <row r="272" customFormat="false" ht="15" hidden="false" customHeight="false" outlineLevel="0" collapsed="false">
      <c r="A272" s="21" t="n">
        <f aca="false">IF(ROWS(A$5:A272)&lt;=MAX(Реестр!$W$2:$W$401),ROWS(A$5:A272),"")</f>
        <v>268</v>
      </c>
      <c r="B272" s="24" t="str">
        <f aca="false">IF($A272="","",INDEX(Реестр!$B$2:$B$401,MATCH($A272,Реестр!$W$2:$W$401,0)))</f>
        <v>АО «Прогресс Энерго»</v>
      </c>
      <c r="C272" s="24" t="str">
        <f aca="false">IF($A272="","",INDEX(Реестр!$C$2:$C$401,MATCH($A272,Реестр!$W$2:$W$401,0)))</f>
        <v>2443809700</v>
      </c>
      <c r="D272" s="24" t="str">
        <f aca="false">IF($A272="","",INDEX(Реестр!$D$2:$D$401,MATCH($A272,Реестр!$W$2:$W$401,0)))</f>
        <v>5242426937430</v>
      </c>
      <c r="E272" s="24" t="str">
        <f aca="false">IF($A272="","",INDEX(Реестр!$E$2:$E$401,MATCH($A272,Реестр!$W$2:$W$401,0)))</f>
        <v>244301006</v>
      </c>
      <c r="F272" s="24" t="str">
        <f aca="false">IF($A272="","",INDEX(Реестр!$J$2:$J$401,MATCH($A272,Реестр!$W$2:$W$401,0)))</f>
        <v>Красноярский край</v>
      </c>
      <c r="G272" s="24" t="str">
        <f aca="false">IF($A272="","",INDEX(Реестр!$F$2:$F$401,MATCH($A272,Реестр!$W$2:$W$401,0)))</f>
        <v>г. Красноярск, ул. Победы, д. 10, оф. 23</v>
      </c>
      <c r="H272" s="24" t="str">
        <f aca="false">IF($A272="","",INDEX(Реестр!$G$2:$G$401,MATCH($A272,Реестр!$W$2:$W$401,0)))</f>
        <v>Михайлов Е. В.</v>
      </c>
      <c r="I272" s="24" t="str">
        <f aca="false">IF($A272="","",INDEX(Реестр!$H$2:$H$401,MATCH($A272,Реестр!$W$2:$W$401,0)))</f>
        <v>zakaz@progress-energo.example</v>
      </c>
      <c r="J272" s="24" t="str">
        <f aca="false">IF($A272="","",INDEX(Реестр!$I$2:$I$401,MATCH($A272,Реестр!$W$2:$W$401,0)))</f>
        <v>8 391 5768115</v>
      </c>
    </row>
    <row r="273" customFormat="false" ht="15" hidden="false" customHeight="false" outlineLevel="0" collapsed="false">
      <c r="A273" s="21" t="n">
        <f aca="false">IF(ROWS(A$5:A273)&lt;=MAX(Реестр!$W$2:$W$401),ROWS(A$5:A273),"")</f>
        <v>269</v>
      </c>
      <c r="B273" s="24" t="str">
        <f aca="false">IF($A273="","",INDEX(Реестр!$B$2:$B$401,MATCH($A273,Реестр!$W$2:$W$401,0)))</f>
        <v>ООО «Горизонт Фуд»</v>
      </c>
      <c r="C273" s="24" t="str">
        <f aca="false">IF($A273="","",INDEX(Реестр!$C$2:$C$401,MATCH($A273,Реестр!$W$2:$W$401,0)))</f>
        <v>5006673192</v>
      </c>
      <c r="D273" s="24" t="str">
        <f aca="false">IF($A273="","",INDEX(Реестр!$D$2:$D$401,MATCH($A273,Реестр!$W$2:$W$401,0)))</f>
        <v>5055013777242</v>
      </c>
      <c r="E273" s="24" t="str">
        <f aca="false">IF($A273="","",INDEX(Реестр!$E$2:$E$401,MATCH($A273,Реестр!$W$2:$W$401,0)))</f>
        <v>500645001</v>
      </c>
      <c r="F273" s="24" t="str">
        <f aca="false">IF($A273="","",INDEX(Реестр!$J$2:$J$401,MATCH($A273,Реестр!$W$2:$W$401,0)))</f>
        <v>Московская область</v>
      </c>
      <c r="G273" s="24" t="str">
        <f aca="false">IF($A273="","",INDEX(Реестр!$F$2:$F$401,MATCH($A273,Реестр!$W$2:$W$401,0)))</f>
        <v>г. Красногорск, ул. Советская, д. 56, оф. 212</v>
      </c>
      <c r="H273" s="24" t="str">
        <f aca="false">IF($A273="","",INDEX(Реестр!$G$2:$G$401,MATCH($A273,Реестр!$W$2:$W$401,0)))</f>
        <v>Лебедев С. О.</v>
      </c>
      <c r="I273" s="24" t="str">
        <f aca="false">IF($A273="","",INDEX(Реестр!$H$2:$H$401,MATCH($A273,Реестр!$W$2:$W$401,0)))</f>
        <v>zakaz@gorizont-fud.example</v>
      </c>
      <c r="J273" s="24" t="str">
        <f aca="false">IF($A273="","",INDEX(Реестр!$I$2:$I$401,MATCH($A273,Реестр!$W$2:$W$401,0)))</f>
        <v>+7 (498) 535-79-43</v>
      </c>
    </row>
    <row r="274" customFormat="false" ht="15" hidden="false" customHeight="false" outlineLevel="0" collapsed="false">
      <c r="A274" s="21" t="n">
        <f aca="false">IF(ROWS(A$5:A274)&lt;=MAX(Реестр!$W$2:$W$401),ROWS(A$5:A274),"")</f>
        <v>270</v>
      </c>
      <c r="B274" s="24" t="str">
        <f aca="false">IF($A274="","",INDEX(Реестр!$B$2:$B$401,MATCH($A274,Реестр!$W$2:$W$401,0)))</f>
        <v>ООО «Эталон Софт»</v>
      </c>
      <c r="C274" s="24" t="str">
        <f aca="false">IF($A274="","",INDEX(Реестр!$C$2:$C$401,MATCH($A274,Реестр!$W$2:$W$401,0)))</f>
        <v>7825392785</v>
      </c>
      <c r="D274" s="24" t="str">
        <f aca="false">IF($A274="","",INDEX(Реестр!$D$2:$D$401,MATCH($A274,Реестр!$W$2:$W$401,0)))</f>
        <v>5127817410804</v>
      </c>
      <c r="E274" s="24" t="str">
        <f aca="false">IF($A274="","",INDEX(Реестр!$E$2:$E$401,MATCH($A274,Реестр!$W$2:$W$401,0)))</f>
        <v>782501009</v>
      </c>
      <c r="F274" s="24" t="str">
        <f aca="false">IF($A274="","",INDEX(Реестр!$J$2:$J$401,MATCH($A274,Реестр!$W$2:$W$401,0)))</f>
        <v>г. Санкт-Петербург</v>
      </c>
      <c r="G274" s="24" t="str">
        <f aca="false">IF($A274="","",INDEX(Реестр!$F$2:$F$401,MATCH($A274,Реестр!$W$2:$W$401,0)))</f>
        <v>г. Санкт-Петербург, ул. Ленина, д. 91, оф. 99</v>
      </c>
      <c r="H274" s="24" t="str">
        <f aca="false">IF($A274="","",INDEX(Реестр!$G$2:$G$401,MATCH($A274,Реестр!$W$2:$W$401,0)))</f>
        <v>Иванов Т. Н.</v>
      </c>
      <c r="I274" s="24" t="str">
        <f aca="false">IF($A274="","",INDEX(Реестр!$H$2:$H$401,MATCH($A274,Реестр!$W$2:$W$401,0)))</f>
        <v>info@etalon-soft.example</v>
      </c>
      <c r="J274" s="24" t="str">
        <f aca="false">IF($A274="","",INDEX(Реестр!$I$2:$I$401,MATCH($A274,Реестр!$W$2:$W$401,0)))</f>
        <v>8 812 5907558</v>
      </c>
    </row>
    <row r="275" customFormat="false" ht="15" hidden="false" customHeight="false" outlineLevel="0" collapsed="false">
      <c r="A275" s="21" t="n">
        <f aca="false">IF(ROWS(A$5:A275)&lt;=MAX(Реестр!$W$2:$W$401),ROWS(A$5:A275),"")</f>
        <v>271</v>
      </c>
      <c r="B275" s="24" t="str">
        <f aca="false">IF($A275="","",INDEX(Реестр!$B$2:$B$401,MATCH($A275,Реестр!$W$2:$W$401,0)))</f>
        <v>ООО «Альфа Логистик»</v>
      </c>
      <c r="C275" s="24" t="str">
        <f aca="false">IF($A275="","",INDEX(Реестр!$C$2:$C$401,MATCH($A275,Реестр!$W$2:$W$401,0)))</f>
        <v>2349877189</v>
      </c>
      <c r="D275" s="24" t="str">
        <f aca="false">IF($A275="","",INDEX(Реестр!$D$2:$D$401,MATCH($A275,Реестр!$W$2:$W$401,0)))</f>
        <v>1182343643943</v>
      </c>
      <c r="E275" s="24" t="str">
        <f aca="false">IF($A275="","",INDEX(Реестр!$E$2:$E$401,MATCH($A275,Реестр!$W$2:$W$401,0)))</f>
        <v>234943004</v>
      </c>
      <c r="F275" s="24" t="str">
        <f aca="false">IF($A275="","",INDEX(Реестр!$J$2:$J$401,MATCH($A275,Реестр!$W$2:$W$401,0)))</f>
        <v>Краснодарский край</v>
      </c>
      <c r="G275" s="24" t="str">
        <f aca="false">IF($A275="","",INDEX(Реестр!$F$2:$F$401,MATCH($A275,Реестр!$W$2:$W$401,0)))</f>
        <v>г. Краснодар, ул. Набережная, д. 35, оф. 163</v>
      </c>
      <c r="H275" s="24" t="str">
        <f aca="false">IF($A275="","",INDEX(Реестр!$G$2:$G$401,MATCH($A275,Реестр!$W$2:$W$401,0)))</f>
        <v>Волков В. С.</v>
      </c>
      <c r="I275" s="24" t="str">
        <f aca="false">IF($A275="","",INDEX(Реестр!$H$2:$H$401,MATCH($A275,Реестр!$W$2:$W$401,0)))</f>
        <v>zakaz@alfa-logistik.example</v>
      </c>
      <c r="J275" s="24" t="str">
        <f aca="false">IF($A275="","",INDEX(Реестр!$I$2:$I$401,MATCH($A275,Реестр!$W$2:$W$401,0)))</f>
        <v>8 861 5310647</v>
      </c>
    </row>
    <row r="276" customFormat="false" ht="15" hidden="false" customHeight="false" outlineLevel="0" collapsed="false">
      <c r="A276" s="21" t="n">
        <f aca="false">IF(ROWS(A$5:A276)&lt;=MAX(Реестр!$W$2:$W$401),ROWS(A$5:A276),"")</f>
        <v>272</v>
      </c>
      <c r="B276" s="24" t="str">
        <f aca="false">IF($A276="","",INDEX(Реестр!$B$2:$B$401,MATCH($A276,Реестр!$W$2:$W$401,0)))</f>
        <v>ООО «Квант Трейд»</v>
      </c>
      <c r="C276" s="24" t="str">
        <f aca="false">IF($A276="","",INDEX(Реестр!$C$2:$C$401,MATCH($A276,Реестр!$W$2:$W$401,0)))</f>
        <v>7816891121</v>
      </c>
      <c r="D276" s="24" t="str">
        <f aca="false">IF($A276="","",INDEX(Реестр!$D$2:$D$401,MATCH($A276,Реестр!$W$2:$W$401,0)))</f>
        <v>1167844138351</v>
      </c>
      <c r="E276" s="24" t="str">
        <f aca="false">IF($A276="","",INDEX(Реестр!$E$2:$E$401,MATCH($A276,Реестр!$W$2:$W$401,0)))</f>
        <v>781643003</v>
      </c>
      <c r="F276" s="24" t="str">
        <f aca="false">IF($A276="","",INDEX(Реестр!$J$2:$J$401,MATCH($A276,Реестр!$W$2:$W$401,0)))</f>
        <v>г. Санкт-Петербург</v>
      </c>
      <c r="G276" s="24" t="str">
        <f aca="false">IF($A276="","",INDEX(Реестр!$F$2:$F$401,MATCH($A276,Реестр!$W$2:$W$401,0)))</f>
        <v>г. Санкт-Петербург, ул. Мира, д. 69, оф. 257</v>
      </c>
      <c r="H276" s="24" t="str">
        <f aca="false">IF($A276="","",INDEX(Реестр!$G$2:$G$401,MATCH($A276,Реестр!$W$2:$W$401,0)))</f>
        <v>Новиков С. Н.</v>
      </c>
      <c r="I276" s="24" t="str">
        <f aca="false">IF($A276="","",INDEX(Реестр!$H$2:$H$401,MATCH($A276,Реестр!$W$2:$W$401,0)))</f>
        <v>zakaz@kvant-treid.example</v>
      </c>
      <c r="J276" s="24" t="str">
        <f aca="false">IF($A276="","",INDEX(Реестр!$I$2:$I$401,MATCH($A276,Реестр!$W$2:$W$401,0)))</f>
        <v>+78125337364</v>
      </c>
    </row>
    <row r="277" customFormat="false" ht="15" hidden="false" customHeight="false" outlineLevel="0" collapsed="false">
      <c r="A277" s="21" t="n">
        <f aca="false">IF(ROWS(A$5:A277)&lt;=MAX(Реестр!$W$2:$W$401),ROWS(A$5:A277),"")</f>
        <v>273</v>
      </c>
      <c r="B277" s="24" t="str">
        <f aca="false">IF($A277="","",INDEX(Реестр!$B$2:$B$401,MATCH($A277,Реестр!$W$2:$W$401,0)))</f>
        <v>ООО «Прогресс Технологии»</v>
      </c>
      <c r="C277" s="24" t="str">
        <f aca="false">IF($A277="","",INDEX(Реестр!$C$2:$C$401,MATCH($A277,Реестр!$W$2:$W$401,0)))</f>
        <v>2320308302</v>
      </c>
      <c r="D277" s="24" t="str">
        <f aca="false">IF($A277="","",INDEX(Реестр!$D$2:$D$401,MATCH($A277,Реестр!$W$2:$W$401,0)))</f>
        <v>5082329901396</v>
      </c>
      <c r="E277" s="24" t="str">
        <f aca="false">IF($A277="","",INDEX(Реестр!$E$2:$E$401,MATCH($A277,Реестр!$W$2:$W$401,0)))</f>
        <v>232001006</v>
      </c>
      <c r="F277" s="24" t="str">
        <f aca="false">IF($A277="","",INDEX(Реестр!$J$2:$J$401,MATCH($A277,Реестр!$W$2:$W$401,0)))</f>
        <v>Краснодарский край</v>
      </c>
      <c r="G277" s="24" t="str">
        <f aca="false">IF($A277="","",INDEX(Реестр!$F$2:$F$401,MATCH($A277,Реестр!$W$2:$W$401,0)))</f>
        <v>г. Краснодар, ул. Победы, д. 108, оф. 46</v>
      </c>
      <c r="H277" s="24" t="str">
        <f aca="false">IF($A277="","",INDEX(Реестр!$G$2:$G$401,MATCH($A277,Реестр!$W$2:$W$401,0)))</f>
        <v>Николаев Д. Н.</v>
      </c>
      <c r="I277" s="24" t="str">
        <f aca="false">IF($A277="","",INDEX(Реестр!$H$2:$H$401,MATCH($A277,Реестр!$W$2:$W$401,0)))</f>
        <v>mail@progress-tekhnologii.example</v>
      </c>
      <c r="J277" s="24" t="str">
        <f aca="false">IF($A277="","",INDEX(Реестр!$I$2:$I$401,MATCH($A277,Реестр!$W$2:$W$401,0)))</f>
        <v>+78615138455</v>
      </c>
    </row>
    <row r="278" customFormat="false" ht="15" hidden="false" customHeight="false" outlineLevel="0" collapsed="false">
      <c r="A278" s="21" t="n">
        <f aca="false">IF(ROWS(A$5:A278)&lt;=MAX(Реестр!$W$2:$W$401),ROWS(A$5:A278),"")</f>
        <v>274</v>
      </c>
      <c r="B278" s="24" t="str">
        <f aca="false">IF($A278="","",INDEX(Реестр!$B$2:$B$401,MATCH($A278,Реестр!$W$2:$W$401,0)))</f>
        <v>АО «Атлант Групп»</v>
      </c>
      <c r="C278" s="24" t="str">
        <f aca="false">IF($A278="","",INDEX(Реестр!$C$2:$C$401,MATCH($A278,Реестр!$W$2:$W$401,0)))</f>
        <v>9225649506</v>
      </c>
      <c r="D278" s="24" t="str">
        <f aca="false">IF($A278="","",INDEX(Реестр!$D$2:$D$401,MATCH($A278,Реестр!$W$2:$W$401,0)))</f>
        <v>5159248572820</v>
      </c>
      <c r="E278" s="24" t="str">
        <f aca="false">IF($A278="","",INDEX(Реестр!$E$2:$E$401,MATCH($A278,Реестр!$W$2:$W$401,0)))</f>
        <v>922501006</v>
      </c>
      <c r="F278" s="24" t="str">
        <f aca="false">IF($A278="","",INDEX(Реестр!$J$2:$J$401,MATCH($A278,Реестр!$W$2:$W$401,0)))</f>
        <v>г. Севастополь</v>
      </c>
      <c r="G278" s="24" t="str">
        <f aca="false">IF($A278="","",INDEX(Реестр!$F$2:$F$401,MATCH($A278,Реестр!$W$2:$W$401,0)))</f>
        <v>г. Севастополь, ул. Школьная, д. 114, оф. 227</v>
      </c>
      <c r="H278" s="24" t="str">
        <f aca="false">IF($A278="","",INDEX(Реестр!$G$2:$G$401,MATCH($A278,Реестр!$W$2:$W$401,0)))</f>
        <v>Михайлов И. А.</v>
      </c>
      <c r="I278" s="24" t="str">
        <f aca="false">IF($A278="","",INDEX(Реестр!$H$2:$H$401,MATCH($A278,Реестр!$W$2:$W$401,0)))</f>
        <v>mail@atlant-grupp.example</v>
      </c>
      <c r="J278" s="24" t="str">
        <f aca="false">IF($A278="","",INDEX(Реестр!$I$2:$I$401,MATCH($A278,Реестр!$W$2:$W$401,0)))</f>
        <v>+78695388284</v>
      </c>
    </row>
    <row r="279" customFormat="false" ht="15" hidden="false" customHeight="false" outlineLevel="0" collapsed="false">
      <c r="A279" s="21" t="n">
        <f aca="false">IF(ROWS(A$5:A279)&lt;=MAX(Реестр!$W$2:$W$401),ROWS(A$5:A279),"")</f>
        <v>275</v>
      </c>
      <c r="B279" s="24" t="str">
        <f aca="false">IF($A279="","",INDEX(Реестр!$B$2:$B$401,MATCH($A279,Реестр!$W$2:$W$401,0)))</f>
        <v>ООО «Радуга Агро»</v>
      </c>
      <c r="C279" s="24" t="str">
        <f aca="false">IF($A279="","",INDEX(Реестр!$C$2:$C$401,MATCH($A279,Реестр!$W$2:$W$401,0)))</f>
        <v>5003357093</v>
      </c>
      <c r="D279" s="24" t="str">
        <f aca="false">IF($A279="","",INDEX(Реестр!$D$2:$D$401,MATCH($A279,Реестр!$W$2:$W$401,0)))</f>
        <v>1155042983468</v>
      </c>
      <c r="E279" s="24" t="str">
        <f aca="false">IF($A279="","",INDEX(Реестр!$E$2:$E$401,MATCH($A279,Реестр!$W$2:$W$401,0)))</f>
        <v>500301007</v>
      </c>
      <c r="F279" s="24" t="str">
        <f aca="false">IF($A279="","",INDEX(Реестр!$J$2:$J$401,MATCH($A279,Реестр!$W$2:$W$401,0)))</f>
        <v>Московская область</v>
      </c>
      <c r="G279" s="24" t="str">
        <f aca="false">IF($A279="","",INDEX(Реестр!$F$2:$F$401,MATCH($A279,Реестр!$W$2:$W$401,0)))</f>
        <v>г. Красногорск, ул. Мира, д. 77, оф. 14</v>
      </c>
      <c r="H279" s="24" t="str">
        <f aca="false">IF($A279="","",INDEX(Реестр!$G$2:$G$401,MATCH($A279,Реестр!$W$2:$W$401,0)))</f>
        <v>Михайлова О. М.</v>
      </c>
      <c r="I279" s="24" t="str">
        <f aca="false">IF($A279="","",INDEX(Реестр!$H$2:$H$401,MATCH($A279,Реестр!$W$2:$W$401,0)))</f>
        <v>zakaz@raduga-agro.example</v>
      </c>
      <c r="J279" s="24" t="str">
        <f aca="false">IF($A279="","",INDEX(Реестр!$I$2:$I$401,MATCH($A279,Реестр!$W$2:$W$401,0)))</f>
        <v>+74985652920</v>
      </c>
    </row>
    <row r="280" customFormat="false" ht="15" hidden="false" customHeight="false" outlineLevel="0" collapsed="false">
      <c r="A280" s="21" t="n">
        <f aca="false">IF(ROWS(A$5:A280)&lt;=MAX(Реестр!$W$2:$W$401),ROWS(A$5:A280),"")</f>
        <v>276</v>
      </c>
      <c r="B280" s="24" t="str">
        <f aca="false">IF($A280="","",INDEX(Реестр!$B$2:$B$401,MATCH($A280,Реестр!$W$2:$W$401,0)))</f>
        <v>ООО «Феникс Строй»</v>
      </c>
      <c r="C280" s="24" t="str">
        <f aca="false">IF($A280="","",INDEX(Реестр!$C$2:$C$401,MATCH($A280,Реестр!$W$2:$W$401,0)))</f>
        <v>0234619759</v>
      </c>
      <c r="D280" s="24" t="str">
        <f aca="false">IF($A280="","",INDEX(Реестр!$D$2:$D$401,MATCH($A280,Реестр!$W$2:$W$401,0)))</f>
        <v>1030243880677</v>
      </c>
      <c r="E280" s="24" t="str">
        <f aca="false">IF($A280="","",INDEX(Реестр!$E$2:$E$401,MATCH($A280,Реестр!$W$2:$W$401,0)))</f>
        <v>023401004</v>
      </c>
      <c r="F280" s="24" t="str">
        <f aca="false">IF($A280="","",INDEX(Реестр!$J$2:$J$401,MATCH($A280,Реестр!$W$2:$W$401,0)))</f>
        <v>Республика Башкортостан</v>
      </c>
      <c r="G280" s="24" t="str">
        <f aca="false">IF($A280="","",INDEX(Реестр!$F$2:$F$401,MATCH($A280,Реестр!$W$2:$W$401,0)))</f>
        <v>г. Уфа, ул. Заводская, д. 42, оф. 52</v>
      </c>
      <c r="H280" s="24" t="str">
        <f aca="false">IF($A280="","",INDEX(Реестр!$G$2:$G$401,MATCH($A280,Реестр!$W$2:$W$401,0)))</f>
        <v>Степанова М. Е.</v>
      </c>
      <c r="I280" s="24" t="str">
        <f aca="false">IF($A280="","",INDEX(Реестр!$H$2:$H$401,MATCH($A280,Реестр!$W$2:$W$401,0)))</f>
        <v>mail@feniks-stroy.example</v>
      </c>
      <c r="J280" s="24" t="str">
        <f aca="false">IF($A280="","",INDEX(Реестр!$I$2:$I$401,MATCH($A280,Реестр!$W$2:$W$401,0)))</f>
        <v>+7 (347) 599-67-69</v>
      </c>
    </row>
    <row r="281" customFormat="false" ht="15" hidden="false" customHeight="false" outlineLevel="0" collapsed="false">
      <c r="A281" s="21" t="n">
        <f aca="false">IF(ROWS(A$5:A281)&lt;=MAX(Реестр!$W$2:$W$401),ROWS(A$5:A281),"")</f>
        <v>277</v>
      </c>
      <c r="B281" s="24" t="str">
        <f aca="false">IF($A281="","",INDEX(Реестр!$B$2:$B$401,MATCH($A281,Реестр!$W$2:$W$401,0)))</f>
        <v>ООО «Орбита Мед»</v>
      </c>
      <c r="C281" s="24" t="str">
        <f aca="false">IF($A281="","",INDEX(Реестр!$C$2:$C$401,MATCH($A281,Реестр!$W$2:$W$401,0)))</f>
        <v>9212209441</v>
      </c>
      <c r="D281" s="24" t="str">
        <f aca="false">IF($A281="","",INDEX(Реестр!$D$2:$D$401,MATCH($A281,Реестр!$W$2:$W$401,0)))</f>
        <v>5039227084463</v>
      </c>
      <c r="E281" s="24" t="str">
        <f aca="false">IF($A281="","",INDEX(Реестр!$E$2:$E$401,MATCH($A281,Реестр!$W$2:$W$401,0)))</f>
        <v>921201006</v>
      </c>
      <c r="F281" s="24" t="str">
        <f aca="false">IF($A281="","",INDEX(Реестр!$J$2:$J$401,MATCH($A281,Реестр!$W$2:$W$401,0)))</f>
        <v>г. Севастополь</v>
      </c>
      <c r="G281" s="24" t="str">
        <f aca="false">IF($A281="","",INDEX(Реестр!$F$2:$F$401,MATCH($A281,Реестр!$W$2:$W$401,0)))</f>
        <v>г. Севастополь, ул. Садовая, д. 93, оф. 190</v>
      </c>
      <c r="H281" s="24" t="str">
        <f aca="false">IF($A281="","",INDEX(Реестр!$G$2:$G$401,MATCH($A281,Реестр!$W$2:$W$401,0)))</f>
        <v>Фёдоров Н. Д.</v>
      </c>
      <c r="I281" s="24" t="str">
        <f aca="false">IF($A281="","",INDEX(Реестр!$H$2:$H$401,MATCH($A281,Реестр!$W$2:$W$401,0)))</f>
        <v>office@orbita-med.example</v>
      </c>
      <c r="J281" s="24" t="str">
        <f aca="false">IF($A281="","",INDEX(Реестр!$I$2:$I$401,MATCH($A281,Реестр!$W$2:$W$401,0)))</f>
        <v>+7 (869) 513-96-75</v>
      </c>
    </row>
    <row r="282" customFormat="false" ht="15" hidden="false" customHeight="false" outlineLevel="0" collapsed="false">
      <c r="A282" s="21" t="n">
        <f aca="false">IF(ROWS(A$5:A282)&lt;=MAX(Реестр!$W$2:$W$401),ROWS(A$5:A282),"")</f>
        <v>278</v>
      </c>
      <c r="B282" s="24" t="str">
        <f aca="false">IF($A282="","",INDEX(Реестр!$B$2:$B$401,MATCH($A282,Реестр!$W$2:$W$401,0)))</f>
        <v>ООО «Феникс Групп»</v>
      </c>
      <c r="C282" s="24" t="str">
        <f aca="false">IF($A282="","",INDEX(Реестр!$C$2:$C$401,MATCH($A282,Реестр!$W$2:$W$401,0)))</f>
        <v>9107133296</v>
      </c>
      <c r="D282" s="24" t="str">
        <f aca="false">IF($A282="","",INDEX(Реестр!$D$2:$D$401,MATCH($A282,Реестр!$W$2:$W$401,0)))</f>
        <v>5039149746433</v>
      </c>
      <c r="E282" s="24" t="str">
        <f aca="false">IF($A282="","",INDEX(Реестр!$E$2:$E$401,MATCH($A282,Реестр!$W$2:$W$401,0)))</f>
        <v>910745003</v>
      </c>
      <c r="F282" s="24" t="str">
        <f aca="false">IF($A282="","",INDEX(Реестр!$J$2:$J$401,MATCH($A282,Реестр!$W$2:$W$401,0)))</f>
        <v>Республика Крым</v>
      </c>
      <c r="G282" s="24" t="str">
        <f aca="false">IF($A282="","",INDEX(Реестр!$F$2:$F$401,MATCH($A282,Реестр!$W$2:$W$401,0)))</f>
        <v>г. Симферополь, ул. Заводская, д. 9, оф. 31</v>
      </c>
      <c r="H282" s="24" t="str">
        <f aca="false">IF($A282="","",INDEX(Реестр!$G$2:$G$401,MATCH($A282,Реестр!$W$2:$W$401,0)))</f>
        <v>Лебедев Н. В.</v>
      </c>
      <c r="I282" s="24" t="str">
        <f aca="false">IF($A282="","",INDEX(Реестр!$H$2:$H$401,MATCH($A282,Реестр!$W$2:$W$401,0)))</f>
        <v>sales@feniks-grupp.example</v>
      </c>
      <c r="J282" s="24" t="str">
        <f aca="false">IF($A282="","",INDEX(Реестр!$I$2:$I$401,MATCH($A282,Реестр!$W$2:$W$401,0)))</f>
        <v>+73655120663</v>
      </c>
    </row>
    <row r="283" customFormat="false" ht="15" hidden="false" customHeight="false" outlineLevel="0" collapsed="false">
      <c r="A283" s="21" t="n">
        <f aca="false">IF(ROWS(A$5:A283)&lt;=MAX(Реестр!$W$2:$W$401),ROWS(A$5:A283),"")</f>
        <v>279</v>
      </c>
      <c r="B283" s="24" t="str">
        <f aca="false">IF($A283="","",INDEX(Реестр!$B$2:$B$401,MATCH($A283,Реестр!$W$2:$W$401,0)))</f>
        <v>ООО «Горизонт Торг»</v>
      </c>
      <c r="C283" s="24" t="str">
        <f aca="false">IF($A283="","",INDEX(Реестр!$C$2:$C$401,MATCH($A283,Реестр!$W$2:$W$401,0)))</f>
        <v>5244369673</v>
      </c>
      <c r="D283" s="24" t="str">
        <f aca="false">IF($A283="","",INDEX(Реестр!$D$2:$D$401,MATCH($A283,Реестр!$W$2:$W$401,0)))</f>
        <v>1245247560018</v>
      </c>
      <c r="E283" s="24" t="str">
        <f aca="false">IF($A283="","",INDEX(Реестр!$E$2:$E$401,MATCH($A283,Реестр!$W$2:$W$401,0)))</f>
        <v>524445002</v>
      </c>
      <c r="F283" s="24" t="str">
        <f aca="false">IF($A283="","",INDEX(Реестр!$J$2:$J$401,MATCH($A283,Реестр!$W$2:$W$401,0)))</f>
        <v>Нижегородская область</v>
      </c>
      <c r="G283" s="24" t="str">
        <f aca="false">IF($A283="","",INDEX(Реестр!$F$2:$F$401,MATCH($A283,Реестр!$W$2:$W$401,0)))</f>
        <v>г. Нижний Новгород, ул. Советская, д. 70, оф. 118</v>
      </c>
      <c r="H283" s="24" t="str">
        <f aca="false">IF($A283="","",INDEX(Реестр!$G$2:$G$401,MATCH($A283,Реестр!$W$2:$W$401,0)))</f>
        <v>Козлов М. Т.</v>
      </c>
      <c r="I283" s="24" t="str">
        <f aca="false">IF($A283="","",INDEX(Реестр!$H$2:$H$401,MATCH($A283,Реестр!$W$2:$W$401,0)))</f>
        <v>zakaz@gorizont-torg.example</v>
      </c>
      <c r="J283" s="24" t="str">
        <f aca="false">IF($A283="","",INDEX(Реестр!$I$2:$I$401,MATCH($A283,Реестр!$W$2:$W$401,0)))</f>
        <v>8 831 5961637</v>
      </c>
    </row>
    <row r="284" customFormat="false" ht="15" hidden="false" customHeight="false" outlineLevel="0" collapsed="false">
      <c r="A284" s="21" t="n">
        <f aca="false">IF(ROWS(A$5:A284)&lt;=MAX(Реестр!$W$2:$W$401),ROWS(A$5:A284),"")</f>
        <v>280</v>
      </c>
      <c r="B284" s="24" t="str">
        <f aca="false">IF($A284="","",INDEX(Реестр!$B$2:$B$401,MATCH($A284,Реестр!$W$2:$W$401,0)))</f>
        <v>ООО «Тандем Трейд»</v>
      </c>
      <c r="C284" s="24" t="str">
        <f aca="false">IF($A284="","",INDEX(Реестр!$C$2:$C$401,MATCH($A284,Реестр!$W$2:$W$401,0)))</f>
        <v>7801370990</v>
      </c>
      <c r="D284" s="24" t="str">
        <f aca="false">IF($A284="","",INDEX(Реестр!$D$2:$D$401,MATCH($A284,Реестр!$W$2:$W$401,0)))</f>
        <v>1077835502690</v>
      </c>
      <c r="E284" s="24" t="str">
        <f aca="false">IF($A284="","",INDEX(Реестр!$E$2:$E$401,MATCH($A284,Реестр!$W$2:$W$401,0)))</f>
        <v>780143002</v>
      </c>
      <c r="F284" s="24" t="str">
        <f aca="false">IF($A284="","",INDEX(Реестр!$J$2:$J$401,MATCH($A284,Реестр!$W$2:$W$401,0)))</f>
        <v>г. Санкт-Петербург</v>
      </c>
      <c r="G284" s="24" t="str">
        <f aca="false">IF($A284="","",INDEX(Реестр!$F$2:$F$401,MATCH($A284,Реестр!$W$2:$W$401,0)))</f>
        <v>г. Санкт-Петербург, ул. Набережная, д. 110, оф. 160</v>
      </c>
      <c r="H284" s="24" t="str">
        <f aca="false">IF($A284="","",INDEX(Реестр!$G$2:$G$401,MATCH($A284,Реестр!$W$2:$W$401,0)))</f>
        <v>Попова М. С.</v>
      </c>
      <c r="I284" s="24" t="str">
        <f aca="false">IF($A284="","",INDEX(Реестр!$H$2:$H$401,MATCH($A284,Реестр!$W$2:$W$401,0)))</f>
        <v>sales@tandem-treid.example</v>
      </c>
      <c r="J284" s="24" t="str">
        <f aca="false">IF($A284="","",INDEX(Реестр!$I$2:$I$401,MATCH($A284,Реестр!$W$2:$W$401,0)))</f>
        <v>+7 (812) 592-75-78</v>
      </c>
    </row>
    <row r="285" customFormat="false" ht="15" hidden="false" customHeight="false" outlineLevel="0" collapsed="false">
      <c r="A285" s="21" t="n">
        <f aca="false">IF(ROWS(A$5:A285)&lt;=MAX(Реестр!$W$2:$W$401),ROWS(A$5:A285),"")</f>
        <v>281</v>
      </c>
      <c r="B285" s="24" t="str">
        <f aca="false">IF($A285="","",INDEX(Реестр!$B$2:$B$401,MATCH($A285,Реестр!$W$2:$W$401,0)))</f>
        <v>ООО «Радуга Принт»</v>
      </c>
      <c r="C285" s="24" t="str">
        <f aca="false">IF($A285="","",INDEX(Реестр!$C$2:$C$401,MATCH($A285,Реестр!$W$2:$W$401,0)))</f>
        <v>7845212261</v>
      </c>
      <c r="D285" s="24" t="str">
        <f aca="false">IF($A285="","",INDEX(Реестр!$D$2:$D$401,MATCH($A285,Реестр!$W$2:$W$401,0)))</f>
        <v>1137840743633</v>
      </c>
      <c r="E285" s="24" t="str">
        <f aca="false">IF($A285="","",INDEX(Реестр!$E$2:$E$401,MATCH($A285,Реестр!$W$2:$W$401,0)))</f>
        <v>784501009</v>
      </c>
      <c r="F285" s="24" t="str">
        <f aca="false">IF($A285="","",INDEX(Реестр!$J$2:$J$401,MATCH($A285,Реестр!$W$2:$W$401,0)))</f>
        <v>г. Санкт-Петербург</v>
      </c>
      <c r="G285" s="24" t="str">
        <f aca="false">IF($A285="","",INDEX(Реестр!$F$2:$F$401,MATCH($A285,Реестр!$W$2:$W$401,0)))</f>
        <v>г. Санкт-Петербург, ул. Гагарина, д. 22, оф. 64</v>
      </c>
      <c r="H285" s="24" t="str">
        <f aca="false">IF($A285="","",INDEX(Реестр!$G$2:$G$401,MATCH($A285,Реестр!$W$2:$W$401,0)))</f>
        <v>Смирнова О. Т.</v>
      </c>
      <c r="I285" s="24" t="str">
        <f aca="false">IF($A285="","",INDEX(Реестр!$H$2:$H$401,MATCH($A285,Реестр!$W$2:$W$401,0)))</f>
        <v>info@raduga-print.example</v>
      </c>
      <c r="J285" s="24" t="str">
        <f aca="false">IF($A285="","",INDEX(Реестр!$I$2:$I$401,MATCH($A285,Реестр!$W$2:$W$401,0)))</f>
        <v>8 812 5479114</v>
      </c>
    </row>
    <row r="286" customFormat="false" ht="15" hidden="false" customHeight="false" outlineLevel="0" collapsed="false">
      <c r="A286" s="21" t="n">
        <f aca="false">IF(ROWS(A$5:A286)&lt;=MAX(Реестр!$W$2:$W$401),ROWS(A$5:A286),"")</f>
        <v>282</v>
      </c>
      <c r="B286" s="24" t="str">
        <f aca="false">IF($A286="","",INDEX(Реестр!$B$2:$B$401,MATCH($A286,Реестр!$W$2:$W$401,0)))</f>
        <v>ООО «Дельта Строй»</v>
      </c>
      <c r="C286" s="24" t="str">
        <f aca="false">IF($A286="","",INDEX(Реестр!$C$2:$C$401,MATCH($A286,Реестр!$W$2:$W$401,0)))</f>
        <v>9115671379</v>
      </c>
      <c r="D286" s="24" t="str">
        <f aca="false">IF($A286="","",INDEX(Реестр!$D$2:$D$401,MATCH($A286,Реестр!$W$2:$W$401,0)))</f>
        <v>5079104879410</v>
      </c>
      <c r="E286" s="24" t="str">
        <f aca="false">IF($A286="","",INDEX(Реестр!$E$2:$E$401,MATCH($A286,Реестр!$W$2:$W$401,0)))</f>
        <v>911543007</v>
      </c>
      <c r="F286" s="24" t="str">
        <f aca="false">IF($A286="","",INDEX(Реестр!$J$2:$J$401,MATCH($A286,Реестр!$W$2:$W$401,0)))</f>
        <v>Республика Крым</v>
      </c>
      <c r="G286" s="24" t="str">
        <f aca="false">IF($A286="","",INDEX(Реестр!$F$2:$F$401,MATCH($A286,Реестр!$W$2:$W$401,0)))</f>
        <v>г. Симферополь, ул. Мира, д. 77, оф. 131</v>
      </c>
      <c r="H286" s="24" t="str">
        <f aca="false">IF($A286="","",INDEX(Реестр!$G$2:$G$401,MATCH($A286,Реестр!$W$2:$W$401,0)))</f>
        <v>Волков Н. Н.</v>
      </c>
      <c r="I286" s="24" t="str">
        <f aca="false">IF($A286="","",INDEX(Реестр!$H$2:$H$401,MATCH($A286,Реестр!$W$2:$W$401,0)))</f>
        <v>zakaz@delta-stroy.example</v>
      </c>
      <c r="J286" s="24" t="str">
        <f aca="false">IF($A286="","",INDEX(Реестр!$I$2:$I$401,MATCH($A286,Реестр!$W$2:$W$401,0)))</f>
        <v>+73655920053</v>
      </c>
    </row>
    <row r="287" customFormat="false" ht="15" hidden="false" customHeight="false" outlineLevel="0" collapsed="false">
      <c r="A287" s="21" t="str">
        <f aca="false">IF(ROWS(A$5:A287)&lt;=MAX(Реестр!$W$2:$W$401),ROWS(A$5:A287),"")</f>
        <v/>
      </c>
      <c r="B287" s="24" t="str">
        <f aca="false">IF($A287="","",INDEX(Реестр!$B$2:$B$401,MATCH($A287,Реестр!$W$2:$W$401,0)))</f>
        <v/>
      </c>
      <c r="C287" s="24" t="str">
        <f aca="false">IF($A287="","",INDEX(Реестр!$C$2:$C$401,MATCH($A287,Реестр!$W$2:$W$401,0)))</f>
        <v/>
      </c>
      <c r="D287" s="24" t="str">
        <f aca="false">IF($A287="","",INDEX(Реестр!$D$2:$D$401,MATCH($A287,Реестр!$W$2:$W$401,0)))</f>
        <v/>
      </c>
      <c r="E287" s="24" t="str">
        <f aca="false">IF($A287="","",INDEX(Реестр!$E$2:$E$401,MATCH($A287,Реестр!$W$2:$W$401,0)))</f>
        <v/>
      </c>
      <c r="F287" s="24" t="str">
        <f aca="false">IF($A287="","",INDEX(Реестр!$J$2:$J$401,MATCH($A287,Реестр!$W$2:$W$401,0)))</f>
        <v/>
      </c>
      <c r="G287" s="24" t="str">
        <f aca="false">IF($A287="","",INDEX(Реестр!$F$2:$F$401,MATCH($A287,Реестр!$W$2:$W$401,0)))</f>
        <v/>
      </c>
      <c r="H287" s="24" t="str">
        <f aca="false">IF($A287="","",INDEX(Реестр!$G$2:$G$401,MATCH($A287,Реестр!$W$2:$W$401,0)))</f>
        <v/>
      </c>
      <c r="I287" s="24" t="str">
        <f aca="false">IF($A287="","",INDEX(Реестр!$H$2:$H$401,MATCH($A287,Реестр!$W$2:$W$401,0)))</f>
        <v/>
      </c>
      <c r="J287" s="24" t="str">
        <f aca="false">IF($A287="","",INDEX(Реестр!$I$2:$I$401,MATCH($A287,Реестр!$W$2:$W$401,0)))</f>
        <v/>
      </c>
    </row>
    <row r="288" customFormat="false" ht="15" hidden="false" customHeight="false" outlineLevel="0" collapsed="false">
      <c r="A288" s="21" t="str">
        <f aca="false">IF(ROWS(A$5:A288)&lt;=MAX(Реестр!$W$2:$W$401),ROWS(A$5:A288),"")</f>
        <v/>
      </c>
      <c r="B288" s="24" t="str">
        <f aca="false">IF($A288="","",INDEX(Реестр!$B$2:$B$401,MATCH($A288,Реестр!$W$2:$W$401,0)))</f>
        <v/>
      </c>
      <c r="C288" s="24" t="str">
        <f aca="false">IF($A288="","",INDEX(Реестр!$C$2:$C$401,MATCH($A288,Реестр!$W$2:$W$401,0)))</f>
        <v/>
      </c>
      <c r="D288" s="24" t="str">
        <f aca="false">IF($A288="","",INDEX(Реестр!$D$2:$D$401,MATCH($A288,Реестр!$W$2:$W$401,0)))</f>
        <v/>
      </c>
      <c r="E288" s="24" t="str">
        <f aca="false">IF($A288="","",INDEX(Реестр!$E$2:$E$401,MATCH($A288,Реестр!$W$2:$W$401,0)))</f>
        <v/>
      </c>
      <c r="F288" s="24" t="str">
        <f aca="false">IF($A288="","",INDEX(Реестр!$J$2:$J$401,MATCH($A288,Реестр!$W$2:$W$401,0)))</f>
        <v/>
      </c>
      <c r="G288" s="24" t="str">
        <f aca="false">IF($A288="","",INDEX(Реестр!$F$2:$F$401,MATCH($A288,Реестр!$W$2:$W$401,0)))</f>
        <v/>
      </c>
      <c r="H288" s="24" t="str">
        <f aca="false">IF($A288="","",INDEX(Реестр!$G$2:$G$401,MATCH($A288,Реестр!$W$2:$W$401,0)))</f>
        <v/>
      </c>
      <c r="I288" s="24" t="str">
        <f aca="false">IF($A288="","",INDEX(Реестр!$H$2:$H$401,MATCH($A288,Реестр!$W$2:$W$401,0)))</f>
        <v/>
      </c>
      <c r="J288" s="24" t="str">
        <f aca="false">IF($A288="","",INDEX(Реестр!$I$2:$I$401,MATCH($A288,Реестр!$W$2:$W$401,0)))</f>
        <v/>
      </c>
    </row>
    <row r="289" customFormat="false" ht="15" hidden="false" customHeight="false" outlineLevel="0" collapsed="false">
      <c r="A289" s="21" t="str">
        <f aca="false">IF(ROWS(A$5:A289)&lt;=MAX(Реестр!$W$2:$W$401),ROWS(A$5:A289),"")</f>
        <v/>
      </c>
      <c r="B289" s="24" t="str">
        <f aca="false">IF($A289="","",INDEX(Реестр!$B$2:$B$401,MATCH($A289,Реестр!$W$2:$W$401,0)))</f>
        <v/>
      </c>
      <c r="C289" s="24" t="str">
        <f aca="false">IF($A289="","",INDEX(Реестр!$C$2:$C$401,MATCH($A289,Реестр!$W$2:$W$401,0)))</f>
        <v/>
      </c>
      <c r="D289" s="24" t="str">
        <f aca="false">IF($A289="","",INDEX(Реестр!$D$2:$D$401,MATCH($A289,Реестр!$W$2:$W$401,0)))</f>
        <v/>
      </c>
      <c r="E289" s="24" t="str">
        <f aca="false">IF($A289="","",INDEX(Реестр!$E$2:$E$401,MATCH($A289,Реестр!$W$2:$W$401,0)))</f>
        <v/>
      </c>
      <c r="F289" s="24" t="str">
        <f aca="false">IF($A289="","",INDEX(Реестр!$J$2:$J$401,MATCH($A289,Реестр!$W$2:$W$401,0)))</f>
        <v/>
      </c>
      <c r="G289" s="24" t="str">
        <f aca="false">IF($A289="","",INDEX(Реестр!$F$2:$F$401,MATCH($A289,Реестр!$W$2:$W$401,0)))</f>
        <v/>
      </c>
      <c r="H289" s="24" t="str">
        <f aca="false">IF($A289="","",INDEX(Реестр!$G$2:$G$401,MATCH($A289,Реестр!$W$2:$W$401,0)))</f>
        <v/>
      </c>
      <c r="I289" s="24" t="str">
        <f aca="false">IF($A289="","",INDEX(Реестр!$H$2:$H$401,MATCH($A289,Реестр!$W$2:$W$401,0)))</f>
        <v/>
      </c>
      <c r="J289" s="24" t="str">
        <f aca="false">IF($A289="","",INDEX(Реестр!$I$2:$I$401,MATCH($A289,Реестр!$W$2:$W$401,0)))</f>
        <v/>
      </c>
    </row>
    <row r="290" customFormat="false" ht="15" hidden="false" customHeight="false" outlineLevel="0" collapsed="false">
      <c r="A290" s="21" t="str">
        <f aca="false">IF(ROWS(A$5:A290)&lt;=MAX(Реестр!$W$2:$W$401),ROWS(A$5:A290),"")</f>
        <v/>
      </c>
      <c r="B290" s="24" t="str">
        <f aca="false">IF($A290="","",INDEX(Реестр!$B$2:$B$401,MATCH($A290,Реестр!$W$2:$W$401,0)))</f>
        <v/>
      </c>
      <c r="C290" s="24" t="str">
        <f aca="false">IF($A290="","",INDEX(Реестр!$C$2:$C$401,MATCH($A290,Реестр!$W$2:$W$401,0)))</f>
        <v/>
      </c>
      <c r="D290" s="24" t="str">
        <f aca="false">IF($A290="","",INDEX(Реестр!$D$2:$D$401,MATCH($A290,Реестр!$W$2:$W$401,0)))</f>
        <v/>
      </c>
      <c r="E290" s="24" t="str">
        <f aca="false">IF($A290="","",INDEX(Реестр!$E$2:$E$401,MATCH($A290,Реестр!$W$2:$W$401,0)))</f>
        <v/>
      </c>
      <c r="F290" s="24" t="str">
        <f aca="false">IF($A290="","",INDEX(Реестр!$J$2:$J$401,MATCH($A290,Реестр!$W$2:$W$401,0)))</f>
        <v/>
      </c>
      <c r="G290" s="24" t="str">
        <f aca="false">IF($A290="","",INDEX(Реестр!$F$2:$F$401,MATCH($A290,Реестр!$W$2:$W$401,0)))</f>
        <v/>
      </c>
      <c r="H290" s="24" t="str">
        <f aca="false">IF($A290="","",INDEX(Реестр!$G$2:$G$401,MATCH($A290,Реестр!$W$2:$W$401,0)))</f>
        <v/>
      </c>
      <c r="I290" s="24" t="str">
        <f aca="false">IF($A290="","",INDEX(Реестр!$H$2:$H$401,MATCH($A290,Реестр!$W$2:$W$401,0)))</f>
        <v/>
      </c>
      <c r="J290" s="24" t="str">
        <f aca="false">IF($A290="","",INDEX(Реестр!$I$2:$I$401,MATCH($A290,Реестр!$W$2:$W$401,0)))</f>
        <v/>
      </c>
    </row>
    <row r="291" customFormat="false" ht="15" hidden="false" customHeight="false" outlineLevel="0" collapsed="false">
      <c r="A291" s="21" t="str">
        <f aca="false">IF(ROWS(A$5:A291)&lt;=MAX(Реестр!$W$2:$W$401),ROWS(A$5:A291),"")</f>
        <v/>
      </c>
      <c r="B291" s="24" t="str">
        <f aca="false">IF($A291="","",INDEX(Реестр!$B$2:$B$401,MATCH($A291,Реестр!$W$2:$W$401,0)))</f>
        <v/>
      </c>
      <c r="C291" s="24" t="str">
        <f aca="false">IF($A291="","",INDEX(Реестр!$C$2:$C$401,MATCH($A291,Реестр!$W$2:$W$401,0)))</f>
        <v/>
      </c>
      <c r="D291" s="24" t="str">
        <f aca="false">IF($A291="","",INDEX(Реестр!$D$2:$D$401,MATCH($A291,Реестр!$W$2:$W$401,0)))</f>
        <v/>
      </c>
      <c r="E291" s="24" t="str">
        <f aca="false">IF($A291="","",INDEX(Реестр!$E$2:$E$401,MATCH($A291,Реестр!$W$2:$W$401,0)))</f>
        <v/>
      </c>
      <c r="F291" s="24" t="str">
        <f aca="false">IF($A291="","",INDEX(Реестр!$J$2:$J$401,MATCH($A291,Реестр!$W$2:$W$401,0)))</f>
        <v/>
      </c>
      <c r="G291" s="24" t="str">
        <f aca="false">IF($A291="","",INDEX(Реестр!$F$2:$F$401,MATCH($A291,Реестр!$W$2:$W$401,0)))</f>
        <v/>
      </c>
      <c r="H291" s="24" t="str">
        <f aca="false">IF($A291="","",INDEX(Реестр!$G$2:$G$401,MATCH($A291,Реестр!$W$2:$W$401,0)))</f>
        <v/>
      </c>
      <c r="I291" s="24" t="str">
        <f aca="false">IF($A291="","",INDEX(Реестр!$H$2:$H$401,MATCH($A291,Реестр!$W$2:$W$401,0)))</f>
        <v/>
      </c>
      <c r="J291" s="24" t="str">
        <f aca="false">IF($A291="","",INDEX(Реестр!$I$2:$I$401,MATCH($A291,Реестр!$W$2:$W$401,0)))</f>
        <v/>
      </c>
    </row>
    <row r="292" customFormat="false" ht="15" hidden="false" customHeight="false" outlineLevel="0" collapsed="false">
      <c r="A292" s="21" t="str">
        <f aca="false">IF(ROWS(A$5:A292)&lt;=MAX(Реестр!$W$2:$W$401),ROWS(A$5:A292),"")</f>
        <v/>
      </c>
      <c r="B292" s="24" t="str">
        <f aca="false">IF($A292="","",INDEX(Реестр!$B$2:$B$401,MATCH($A292,Реестр!$W$2:$W$401,0)))</f>
        <v/>
      </c>
      <c r="C292" s="24" t="str">
        <f aca="false">IF($A292="","",INDEX(Реестр!$C$2:$C$401,MATCH($A292,Реестр!$W$2:$W$401,0)))</f>
        <v/>
      </c>
      <c r="D292" s="24" t="str">
        <f aca="false">IF($A292="","",INDEX(Реестр!$D$2:$D$401,MATCH($A292,Реестр!$W$2:$W$401,0)))</f>
        <v/>
      </c>
      <c r="E292" s="24" t="str">
        <f aca="false">IF($A292="","",INDEX(Реестр!$E$2:$E$401,MATCH($A292,Реестр!$W$2:$W$401,0)))</f>
        <v/>
      </c>
      <c r="F292" s="24" t="str">
        <f aca="false">IF($A292="","",INDEX(Реестр!$J$2:$J$401,MATCH($A292,Реестр!$W$2:$W$401,0)))</f>
        <v/>
      </c>
      <c r="G292" s="24" t="str">
        <f aca="false">IF($A292="","",INDEX(Реестр!$F$2:$F$401,MATCH($A292,Реестр!$W$2:$W$401,0)))</f>
        <v/>
      </c>
      <c r="H292" s="24" t="str">
        <f aca="false">IF($A292="","",INDEX(Реестр!$G$2:$G$401,MATCH($A292,Реестр!$W$2:$W$401,0)))</f>
        <v/>
      </c>
      <c r="I292" s="24" t="str">
        <f aca="false">IF($A292="","",INDEX(Реестр!$H$2:$H$401,MATCH($A292,Реестр!$W$2:$W$401,0)))</f>
        <v/>
      </c>
      <c r="J292" s="24" t="str">
        <f aca="false">IF($A292="","",INDEX(Реестр!$I$2:$I$401,MATCH($A292,Реестр!$W$2:$W$401,0)))</f>
        <v/>
      </c>
    </row>
    <row r="293" customFormat="false" ht="15" hidden="false" customHeight="false" outlineLevel="0" collapsed="false">
      <c r="A293" s="21" t="str">
        <f aca="false">IF(ROWS(A$5:A293)&lt;=MAX(Реестр!$W$2:$W$401),ROWS(A$5:A293),"")</f>
        <v/>
      </c>
      <c r="B293" s="24" t="str">
        <f aca="false">IF($A293="","",INDEX(Реестр!$B$2:$B$401,MATCH($A293,Реестр!$W$2:$W$401,0)))</f>
        <v/>
      </c>
      <c r="C293" s="24" t="str">
        <f aca="false">IF($A293="","",INDEX(Реестр!$C$2:$C$401,MATCH($A293,Реестр!$W$2:$W$401,0)))</f>
        <v/>
      </c>
      <c r="D293" s="24" t="str">
        <f aca="false">IF($A293="","",INDEX(Реестр!$D$2:$D$401,MATCH($A293,Реестр!$W$2:$W$401,0)))</f>
        <v/>
      </c>
      <c r="E293" s="24" t="str">
        <f aca="false">IF($A293="","",INDEX(Реестр!$E$2:$E$401,MATCH($A293,Реестр!$W$2:$W$401,0)))</f>
        <v/>
      </c>
      <c r="F293" s="24" t="str">
        <f aca="false">IF($A293="","",INDEX(Реестр!$J$2:$J$401,MATCH($A293,Реестр!$W$2:$W$401,0)))</f>
        <v/>
      </c>
      <c r="G293" s="24" t="str">
        <f aca="false">IF($A293="","",INDEX(Реестр!$F$2:$F$401,MATCH($A293,Реестр!$W$2:$W$401,0)))</f>
        <v/>
      </c>
      <c r="H293" s="24" t="str">
        <f aca="false">IF($A293="","",INDEX(Реестр!$G$2:$G$401,MATCH($A293,Реестр!$W$2:$W$401,0)))</f>
        <v/>
      </c>
      <c r="I293" s="24" t="str">
        <f aca="false">IF($A293="","",INDEX(Реестр!$H$2:$H$401,MATCH($A293,Реестр!$W$2:$W$401,0)))</f>
        <v/>
      </c>
      <c r="J293" s="24" t="str">
        <f aca="false">IF($A293="","",INDEX(Реестр!$I$2:$I$401,MATCH($A293,Реестр!$W$2:$W$401,0)))</f>
        <v/>
      </c>
    </row>
    <row r="294" customFormat="false" ht="15" hidden="false" customHeight="false" outlineLevel="0" collapsed="false">
      <c r="A294" s="21" t="str">
        <f aca="false">IF(ROWS(A$5:A294)&lt;=MAX(Реестр!$W$2:$W$401),ROWS(A$5:A294),"")</f>
        <v/>
      </c>
      <c r="B294" s="24" t="str">
        <f aca="false">IF($A294="","",INDEX(Реестр!$B$2:$B$401,MATCH($A294,Реестр!$W$2:$W$401,0)))</f>
        <v/>
      </c>
      <c r="C294" s="24" t="str">
        <f aca="false">IF($A294="","",INDEX(Реестр!$C$2:$C$401,MATCH($A294,Реестр!$W$2:$W$401,0)))</f>
        <v/>
      </c>
      <c r="D294" s="24" t="str">
        <f aca="false">IF($A294="","",INDEX(Реестр!$D$2:$D$401,MATCH($A294,Реестр!$W$2:$W$401,0)))</f>
        <v/>
      </c>
      <c r="E294" s="24" t="str">
        <f aca="false">IF($A294="","",INDEX(Реестр!$E$2:$E$401,MATCH($A294,Реестр!$W$2:$W$401,0)))</f>
        <v/>
      </c>
      <c r="F294" s="24" t="str">
        <f aca="false">IF($A294="","",INDEX(Реестр!$J$2:$J$401,MATCH($A294,Реестр!$W$2:$W$401,0)))</f>
        <v/>
      </c>
      <c r="G294" s="24" t="str">
        <f aca="false">IF($A294="","",INDEX(Реестр!$F$2:$F$401,MATCH($A294,Реестр!$W$2:$W$401,0)))</f>
        <v/>
      </c>
      <c r="H294" s="24" t="str">
        <f aca="false">IF($A294="","",INDEX(Реестр!$G$2:$G$401,MATCH($A294,Реестр!$W$2:$W$401,0)))</f>
        <v/>
      </c>
      <c r="I294" s="24" t="str">
        <f aca="false">IF($A294="","",INDEX(Реестр!$H$2:$H$401,MATCH($A294,Реестр!$W$2:$W$401,0)))</f>
        <v/>
      </c>
      <c r="J294" s="24" t="str">
        <f aca="false">IF($A294="","",INDEX(Реестр!$I$2:$I$401,MATCH($A294,Реестр!$W$2:$W$401,0)))</f>
        <v/>
      </c>
    </row>
    <row r="295" customFormat="false" ht="15" hidden="false" customHeight="false" outlineLevel="0" collapsed="false">
      <c r="A295" s="21" t="str">
        <f aca="false">IF(ROWS(A$5:A295)&lt;=MAX(Реестр!$W$2:$W$401),ROWS(A$5:A295),"")</f>
        <v/>
      </c>
      <c r="B295" s="24" t="str">
        <f aca="false">IF($A295="","",INDEX(Реестр!$B$2:$B$401,MATCH($A295,Реестр!$W$2:$W$401,0)))</f>
        <v/>
      </c>
      <c r="C295" s="24" t="str">
        <f aca="false">IF($A295="","",INDEX(Реестр!$C$2:$C$401,MATCH($A295,Реестр!$W$2:$W$401,0)))</f>
        <v/>
      </c>
      <c r="D295" s="24" t="str">
        <f aca="false">IF($A295="","",INDEX(Реестр!$D$2:$D$401,MATCH($A295,Реестр!$W$2:$W$401,0)))</f>
        <v/>
      </c>
      <c r="E295" s="24" t="str">
        <f aca="false">IF($A295="","",INDEX(Реестр!$E$2:$E$401,MATCH($A295,Реестр!$W$2:$W$401,0)))</f>
        <v/>
      </c>
      <c r="F295" s="24" t="str">
        <f aca="false">IF($A295="","",INDEX(Реестр!$J$2:$J$401,MATCH($A295,Реестр!$W$2:$W$401,0)))</f>
        <v/>
      </c>
      <c r="G295" s="24" t="str">
        <f aca="false">IF($A295="","",INDEX(Реестр!$F$2:$F$401,MATCH($A295,Реестр!$W$2:$W$401,0)))</f>
        <v/>
      </c>
      <c r="H295" s="24" t="str">
        <f aca="false">IF($A295="","",INDEX(Реестр!$G$2:$G$401,MATCH($A295,Реестр!$W$2:$W$401,0)))</f>
        <v/>
      </c>
      <c r="I295" s="24" t="str">
        <f aca="false">IF($A295="","",INDEX(Реестр!$H$2:$H$401,MATCH($A295,Реестр!$W$2:$W$401,0)))</f>
        <v/>
      </c>
      <c r="J295" s="24" t="str">
        <f aca="false">IF($A295="","",INDEX(Реестр!$I$2:$I$401,MATCH($A295,Реестр!$W$2:$W$401,0)))</f>
        <v/>
      </c>
    </row>
    <row r="296" customFormat="false" ht="15" hidden="false" customHeight="false" outlineLevel="0" collapsed="false">
      <c r="A296" s="21" t="str">
        <f aca="false">IF(ROWS(A$5:A296)&lt;=MAX(Реестр!$W$2:$W$401),ROWS(A$5:A296),"")</f>
        <v/>
      </c>
      <c r="B296" s="24" t="str">
        <f aca="false">IF($A296="","",INDEX(Реестр!$B$2:$B$401,MATCH($A296,Реестр!$W$2:$W$401,0)))</f>
        <v/>
      </c>
      <c r="C296" s="24" t="str">
        <f aca="false">IF($A296="","",INDEX(Реестр!$C$2:$C$401,MATCH($A296,Реестр!$W$2:$W$401,0)))</f>
        <v/>
      </c>
      <c r="D296" s="24" t="str">
        <f aca="false">IF($A296="","",INDEX(Реестр!$D$2:$D$401,MATCH($A296,Реестр!$W$2:$W$401,0)))</f>
        <v/>
      </c>
      <c r="E296" s="24" t="str">
        <f aca="false">IF($A296="","",INDEX(Реестр!$E$2:$E$401,MATCH($A296,Реестр!$W$2:$W$401,0)))</f>
        <v/>
      </c>
      <c r="F296" s="24" t="str">
        <f aca="false">IF($A296="","",INDEX(Реестр!$J$2:$J$401,MATCH($A296,Реестр!$W$2:$W$401,0)))</f>
        <v/>
      </c>
      <c r="G296" s="24" t="str">
        <f aca="false">IF($A296="","",INDEX(Реестр!$F$2:$F$401,MATCH($A296,Реестр!$W$2:$W$401,0)))</f>
        <v/>
      </c>
      <c r="H296" s="24" t="str">
        <f aca="false">IF($A296="","",INDEX(Реестр!$G$2:$G$401,MATCH($A296,Реестр!$W$2:$W$401,0)))</f>
        <v/>
      </c>
      <c r="I296" s="24" t="str">
        <f aca="false">IF($A296="","",INDEX(Реестр!$H$2:$H$401,MATCH($A296,Реестр!$W$2:$W$401,0)))</f>
        <v/>
      </c>
      <c r="J296" s="24" t="str">
        <f aca="false">IF($A296="","",INDEX(Реестр!$I$2:$I$401,MATCH($A296,Реестр!$W$2:$W$401,0)))</f>
        <v/>
      </c>
    </row>
    <row r="297" customFormat="false" ht="15" hidden="false" customHeight="false" outlineLevel="0" collapsed="false">
      <c r="A297" s="21" t="str">
        <f aca="false">IF(ROWS(A$5:A297)&lt;=MAX(Реестр!$W$2:$W$401),ROWS(A$5:A297),"")</f>
        <v/>
      </c>
      <c r="B297" s="24" t="str">
        <f aca="false">IF($A297="","",INDEX(Реестр!$B$2:$B$401,MATCH($A297,Реестр!$W$2:$W$401,0)))</f>
        <v/>
      </c>
      <c r="C297" s="24" t="str">
        <f aca="false">IF($A297="","",INDEX(Реестр!$C$2:$C$401,MATCH($A297,Реестр!$W$2:$W$401,0)))</f>
        <v/>
      </c>
      <c r="D297" s="24" t="str">
        <f aca="false">IF($A297="","",INDEX(Реестр!$D$2:$D$401,MATCH($A297,Реестр!$W$2:$W$401,0)))</f>
        <v/>
      </c>
      <c r="E297" s="24" t="str">
        <f aca="false">IF($A297="","",INDEX(Реестр!$E$2:$E$401,MATCH($A297,Реестр!$W$2:$W$401,0)))</f>
        <v/>
      </c>
      <c r="F297" s="24" t="str">
        <f aca="false">IF($A297="","",INDEX(Реестр!$J$2:$J$401,MATCH($A297,Реестр!$W$2:$W$401,0)))</f>
        <v/>
      </c>
      <c r="G297" s="24" t="str">
        <f aca="false">IF($A297="","",INDEX(Реестр!$F$2:$F$401,MATCH($A297,Реестр!$W$2:$W$401,0)))</f>
        <v/>
      </c>
      <c r="H297" s="24" t="str">
        <f aca="false">IF($A297="","",INDEX(Реестр!$G$2:$G$401,MATCH($A297,Реестр!$W$2:$W$401,0)))</f>
        <v/>
      </c>
      <c r="I297" s="24" t="str">
        <f aca="false">IF($A297="","",INDEX(Реестр!$H$2:$H$401,MATCH($A297,Реестр!$W$2:$W$401,0)))</f>
        <v/>
      </c>
      <c r="J297" s="24" t="str">
        <f aca="false">IF($A297="","",INDEX(Реестр!$I$2:$I$401,MATCH($A297,Реестр!$W$2:$W$401,0)))</f>
        <v/>
      </c>
    </row>
    <row r="298" customFormat="false" ht="15" hidden="false" customHeight="false" outlineLevel="0" collapsed="false">
      <c r="A298" s="21" t="str">
        <f aca="false">IF(ROWS(A$5:A298)&lt;=MAX(Реестр!$W$2:$W$401),ROWS(A$5:A298),"")</f>
        <v/>
      </c>
      <c r="B298" s="24" t="str">
        <f aca="false">IF($A298="","",INDEX(Реестр!$B$2:$B$401,MATCH($A298,Реестр!$W$2:$W$401,0)))</f>
        <v/>
      </c>
      <c r="C298" s="24" t="str">
        <f aca="false">IF($A298="","",INDEX(Реестр!$C$2:$C$401,MATCH($A298,Реестр!$W$2:$W$401,0)))</f>
        <v/>
      </c>
      <c r="D298" s="24" t="str">
        <f aca="false">IF($A298="","",INDEX(Реестр!$D$2:$D$401,MATCH($A298,Реестр!$W$2:$W$401,0)))</f>
        <v/>
      </c>
      <c r="E298" s="24" t="str">
        <f aca="false">IF($A298="","",INDEX(Реестр!$E$2:$E$401,MATCH($A298,Реестр!$W$2:$W$401,0)))</f>
        <v/>
      </c>
      <c r="F298" s="24" t="str">
        <f aca="false">IF($A298="","",INDEX(Реестр!$J$2:$J$401,MATCH($A298,Реестр!$W$2:$W$401,0)))</f>
        <v/>
      </c>
      <c r="G298" s="24" t="str">
        <f aca="false">IF($A298="","",INDEX(Реестр!$F$2:$F$401,MATCH($A298,Реестр!$W$2:$W$401,0)))</f>
        <v/>
      </c>
      <c r="H298" s="24" t="str">
        <f aca="false">IF($A298="","",INDEX(Реестр!$G$2:$G$401,MATCH($A298,Реестр!$W$2:$W$401,0)))</f>
        <v/>
      </c>
      <c r="I298" s="24" t="str">
        <f aca="false">IF($A298="","",INDEX(Реестр!$H$2:$H$401,MATCH($A298,Реестр!$W$2:$W$401,0)))</f>
        <v/>
      </c>
      <c r="J298" s="24" t="str">
        <f aca="false">IF($A298="","",INDEX(Реестр!$I$2:$I$401,MATCH($A298,Реестр!$W$2:$W$401,0)))</f>
        <v/>
      </c>
    </row>
    <row r="299" customFormat="false" ht="15" hidden="false" customHeight="false" outlineLevel="0" collapsed="false">
      <c r="A299" s="21" t="str">
        <f aca="false">IF(ROWS(A$5:A299)&lt;=MAX(Реестр!$W$2:$W$401),ROWS(A$5:A299),"")</f>
        <v/>
      </c>
      <c r="B299" s="24" t="str">
        <f aca="false">IF($A299="","",INDEX(Реестр!$B$2:$B$401,MATCH($A299,Реестр!$W$2:$W$401,0)))</f>
        <v/>
      </c>
      <c r="C299" s="24" t="str">
        <f aca="false">IF($A299="","",INDEX(Реестр!$C$2:$C$401,MATCH($A299,Реестр!$W$2:$W$401,0)))</f>
        <v/>
      </c>
      <c r="D299" s="24" t="str">
        <f aca="false">IF($A299="","",INDEX(Реестр!$D$2:$D$401,MATCH($A299,Реестр!$W$2:$W$401,0)))</f>
        <v/>
      </c>
      <c r="E299" s="24" t="str">
        <f aca="false">IF($A299="","",INDEX(Реестр!$E$2:$E$401,MATCH($A299,Реестр!$W$2:$W$401,0)))</f>
        <v/>
      </c>
      <c r="F299" s="24" t="str">
        <f aca="false">IF($A299="","",INDEX(Реестр!$J$2:$J$401,MATCH($A299,Реестр!$W$2:$W$401,0)))</f>
        <v/>
      </c>
      <c r="G299" s="24" t="str">
        <f aca="false">IF($A299="","",INDEX(Реестр!$F$2:$F$401,MATCH($A299,Реестр!$W$2:$W$401,0)))</f>
        <v/>
      </c>
      <c r="H299" s="24" t="str">
        <f aca="false">IF($A299="","",INDEX(Реестр!$G$2:$G$401,MATCH($A299,Реестр!$W$2:$W$401,0)))</f>
        <v/>
      </c>
      <c r="I299" s="24" t="str">
        <f aca="false">IF($A299="","",INDEX(Реестр!$H$2:$H$401,MATCH($A299,Реестр!$W$2:$W$401,0)))</f>
        <v/>
      </c>
      <c r="J299" s="24" t="str">
        <f aca="false">IF($A299="","",INDEX(Реестр!$I$2:$I$401,MATCH($A299,Реестр!$W$2:$W$401,0)))</f>
        <v/>
      </c>
    </row>
    <row r="300" customFormat="false" ht="15" hidden="false" customHeight="false" outlineLevel="0" collapsed="false">
      <c r="A300" s="21" t="str">
        <f aca="false">IF(ROWS(A$5:A300)&lt;=MAX(Реестр!$W$2:$W$401),ROWS(A$5:A300),"")</f>
        <v/>
      </c>
      <c r="B300" s="24" t="str">
        <f aca="false">IF($A300="","",INDEX(Реестр!$B$2:$B$401,MATCH($A300,Реестр!$W$2:$W$401,0)))</f>
        <v/>
      </c>
      <c r="C300" s="24" t="str">
        <f aca="false">IF($A300="","",INDEX(Реестр!$C$2:$C$401,MATCH($A300,Реестр!$W$2:$W$401,0)))</f>
        <v/>
      </c>
      <c r="D300" s="24" t="str">
        <f aca="false">IF($A300="","",INDEX(Реестр!$D$2:$D$401,MATCH($A300,Реестр!$W$2:$W$401,0)))</f>
        <v/>
      </c>
      <c r="E300" s="24" t="str">
        <f aca="false">IF($A300="","",INDEX(Реестр!$E$2:$E$401,MATCH($A300,Реестр!$W$2:$W$401,0)))</f>
        <v/>
      </c>
      <c r="F300" s="24" t="str">
        <f aca="false">IF($A300="","",INDEX(Реестр!$J$2:$J$401,MATCH($A300,Реестр!$W$2:$W$401,0)))</f>
        <v/>
      </c>
      <c r="G300" s="24" t="str">
        <f aca="false">IF($A300="","",INDEX(Реестр!$F$2:$F$401,MATCH($A300,Реестр!$W$2:$W$401,0)))</f>
        <v/>
      </c>
      <c r="H300" s="24" t="str">
        <f aca="false">IF($A300="","",INDEX(Реестр!$G$2:$G$401,MATCH($A300,Реестр!$W$2:$W$401,0)))</f>
        <v/>
      </c>
      <c r="I300" s="24" t="str">
        <f aca="false">IF($A300="","",INDEX(Реестр!$H$2:$H$401,MATCH($A300,Реестр!$W$2:$W$401,0)))</f>
        <v/>
      </c>
      <c r="J300" s="24" t="str">
        <f aca="false">IF($A300="","",INDEX(Реестр!$I$2:$I$401,MATCH($A300,Реестр!$W$2:$W$401,0)))</f>
        <v/>
      </c>
    </row>
    <row r="301" customFormat="false" ht="15" hidden="false" customHeight="false" outlineLevel="0" collapsed="false">
      <c r="A301" s="21" t="str">
        <f aca="false">IF(ROWS(A$5:A301)&lt;=MAX(Реестр!$W$2:$W$401),ROWS(A$5:A301),"")</f>
        <v/>
      </c>
      <c r="B301" s="24" t="str">
        <f aca="false">IF($A301="","",INDEX(Реестр!$B$2:$B$401,MATCH($A301,Реестр!$W$2:$W$401,0)))</f>
        <v/>
      </c>
      <c r="C301" s="24" t="str">
        <f aca="false">IF($A301="","",INDEX(Реестр!$C$2:$C$401,MATCH($A301,Реестр!$W$2:$W$401,0)))</f>
        <v/>
      </c>
      <c r="D301" s="24" t="str">
        <f aca="false">IF($A301="","",INDEX(Реестр!$D$2:$D$401,MATCH($A301,Реестр!$W$2:$W$401,0)))</f>
        <v/>
      </c>
      <c r="E301" s="24" t="str">
        <f aca="false">IF($A301="","",INDEX(Реестр!$E$2:$E$401,MATCH($A301,Реестр!$W$2:$W$401,0)))</f>
        <v/>
      </c>
      <c r="F301" s="24" t="str">
        <f aca="false">IF($A301="","",INDEX(Реестр!$J$2:$J$401,MATCH($A301,Реестр!$W$2:$W$401,0)))</f>
        <v/>
      </c>
      <c r="G301" s="24" t="str">
        <f aca="false">IF($A301="","",INDEX(Реестр!$F$2:$F$401,MATCH($A301,Реестр!$W$2:$W$401,0)))</f>
        <v/>
      </c>
      <c r="H301" s="24" t="str">
        <f aca="false">IF($A301="","",INDEX(Реестр!$G$2:$G$401,MATCH($A301,Реестр!$W$2:$W$401,0)))</f>
        <v/>
      </c>
      <c r="I301" s="24" t="str">
        <f aca="false">IF($A301="","",INDEX(Реестр!$H$2:$H$401,MATCH($A301,Реестр!$W$2:$W$401,0)))</f>
        <v/>
      </c>
      <c r="J301" s="24" t="str">
        <f aca="false">IF($A301="","",INDEX(Реестр!$I$2:$I$401,MATCH($A301,Реестр!$W$2:$W$401,0)))</f>
        <v/>
      </c>
    </row>
    <row r="302" customFormat="false" ht="15" hidden="false" customHeight="false" outlineLevel="0" collapsed="false">
      <c r="A302" s="21" t="str">
        <f aca="false">IF(ROWS(A$5:A302)&lt;=MAX(Реестр!$W$2:$W$401),ROWS(A$5:A302),"")</f>
        <v/>
      </c>
      <c r="B302" s="24" t="str">
        <f aca="false">IF($A302="","",INDEX(Реестр!$B$2:$B$401,MATCH($A302,Реестр!$W$2:$W$401,0)))</f>
        <v/>
      </c>
      <c r="C302" s="24" t="str">
        <f aca="false">IF($A302="","",INDEX(Реестр!$C$2:$C$401,MATCH($A302,Реестр!$W$2:$W$401,0)))</f>
        <v/>
      </c>
      <c r="D302" s="24" t="str">
        <f aca="false">IF($A302="","",INDEX(Реестр!$D$2:$D$401,MATCH($A302,Реестр!$W$2:$W$401,0)))</f>
        <v/>
      </c>
      <c r="E302" s="24" t="str">
        <f aca="false">IF($A302="","",INDEX(Реестр!$E$2:$E$401,MATCH($A302,Реестр!$W$2:$W$401,0)))</f>
        <v/>
      </c>
      <c r="F302" s="24" t="str">
        <f aca="false">IF($A302="","",INDEX(Реестр!$J$2:$J$401,MATCH($A302,Реестр!$W$2:$W$401,0)))</f>
        <v/>
      </c>
      <c r="G302" s="24" t="str">
        <f aca="false">IF($A302="","",INDEX(Реестр!$F$2:$F$401,MATCH($A302,Реестр!$W$2:$W$401,0)))</f>
        <v/>
      </c>
      <c r="H302" s="24" t="str">
        <f aca="false">IF($A302="","",INDEX(Реестр!$G$2:$G$401,MATCH($A302,Реестр!$W$2:$W$401,0)))</f>
        <v/>
      </c>
      <c r="I302" s="24" t="str">
        <f aca="false">IF($A302="","",INDEX(Реестр!$H$2:$H$401,MATCH($A302,Реестр!$W$2:$W$401,0)))</f>
        <v/>
      </c>
      <c r="J302" s="24" t="str">
        <f aca="false">IF($A302="","",INDEX(Реестр!$I$2:$I$401,MATCH($A302,Реестр!$W$2:$W$401,0)))</f>
        <v/>
      </c>
    </row>
    <row r="303" customFormat="false" ht="15" hidden="false" customHeight="false" outlineLevel="0" collapsed="false">
      <c r="A303" s="21" t="str">
        <f aca="false">IF(ROWS(A$5:A303)&lt;=MAX(Реестр!$W$2:$W$401),ROWS(A$5:A303),"")</f>
        <v/>
      </c>
      <c r="B303" s="24" t="str">
        <f aca="false">IF($A303="","",INDEX(Реестр!$B$2:$B$401,MATCH($A303,Реестр!$W$2:$W$401,0)))</f>
        <v/>
      </c>
      <c r="C303" s="24" t="str">
        <f aca="false">IF($A303="","",INDEX(Реестр!$C$2:$C$401,MATCH($A303,Реестр!$W$2:$W$401,0)))</f>
        <v/>
      </c>
      <c r="D303" s="24" t="str">
        <f aca="false">IF($A303="","",INDEX(Реестр!$D$2:$D$401,MATCH($A303,Реестр!$W$2:$W$401,0)))</f>
        <v/>
      </c>
      <c r="E303" s="24" t="str">
        <f aca="false">IF($A303="","",INDEX(Реестр!$E$2:$E$401,MATCH($A303,Реестр!$W$2:$W$401,0)))</f>
        <v/>
      </c>
      <c r="F303" s="24" t="str">
        <f aca="false">IF($A303="","",INDEX(Реестр!$J$2:$J$401,MATCH($A303,Реестр!$W$2:$W$401,0)))</f>
        <v/>
      </c>
      <c r="G303" s="24" t="str">
        <f aca="false">IF($A303="","",INDEX(Реестр!$F$2:$F$401,MATCH($A303,Реестр!$W$2:$W$401,0)))</f>
        <v/>
      </c>
      <c r="H303" s="24" t="str">
        <f aca="false">IF($A303="","",INDEX(Реестр!$G$2:$G$401,MATCH($A303,Реестр!$W$2:$W$401,0)))</f>
        <v/>
      </c>
      <c r="I303" s="24" t="str">
        <f aca="false">IF($A303="","",INDEX(Реестр!$H$2:$H$401,MATCH($A303,Реестр!$W$2:$W$401,0)))</f>
        <v/>
      </c>
      <c r="J303" s="24" t="str">
        <f aca="false">IF($A303="","",INDEX(Реестр!$I$2:$I$401,MATCH($A303,Реестр!$W$2:$W$401,0)))</f>
        <v/>
      </c>
    </row>
    <row r="304" customFormat="false" ht="15" hidden="false" customHeight="false" outlineLevel="0" collapsed="false">
      <c r="A304" s="21" t="str">
        <f aca="false">IF(ROWS(A$5:A304)&lt;=MAX(Реестр!$W$2:$W$401),ROWS(A$5:A304),"")</f>
        <v/>
      </c>
      <c r="B304" s="24" t="str">
        <f aca="false">IF($A304="","",INDEX(Реестр!$B$2:$B$401,MATCH($A304,Реестр!$W$2:$W$401,0)))</f>
        <v/>
      </c>
      <c r="C304" s="24" t="str">
        <f aca="false">IF($A304="","",INDEX(Реестр!$C$2:$C$401,MATCH($A304,Реестр!$W$2:$W$401,0)))</f>
        <v/>
      </c>
      <c r="D304" s="24" t="str">
        <f aca="false">IF($A304="","",INDEX(Реестр!$D$2:$D$401,MATCH($A304,Реестр!$W$2:$W$401,0)))</f>
        <v/>
      </c>
      <c r="E304" s="24" t="str">
        <f aca="false">IF($A304="","",INDEX(Реестр!$E$2:$E$401,MATCH($A304,Реестр!$W$2:$W$401,0)))</f>
        <v/>
      </c>
      <c r="F304" s="24" t="str">
        <f aca="false">IF($A304="","",INDEX(Реестр!$J$2:$J$401,MATCH($A304,Реестр!$W$2:$W$401,0)))</f>
        <v/>
      </c>
      <c r="G304" s="24" t="str">
        <f aca="false">IF($A304="","",INDEX(Реестр!$F$2:$F$401,MATCH($A304,Реестр!$W$2:$W$401,0)))</f>
        <v/>
      </c>
      <c r="H304" s="24" t="str">
        <f aca="false">IF($A304="","",INDEX(Реестр!$G$2:$G$401,MATCH($A304,Реестр!$W$2:$W$401,0)))</f>
        <v/>
      </c>
      <c r="I304" s="24" t="str">
        <f aca="false">IF($A304="","",INDEX(Реестр!$H$2:$H$401,MATCH($A304,Реестр!$W$2:$W$401,0)))</f>
        <v/>
      </c>
      <c r="J304" s="24" t="str">
        <f aca="false">IF($A304="","",INDEX(Реестр!$I$2:$I$401,MATCH($A304,Реестр!$W$2:$W$401,0)))</f>
        <v/>
      </c>
    </row>
    <row r="305" customFormat="false" ht="15" hidden="false" customHeight="false" outlineLevel="0" collapsed="false">
      <c r="A305" s="21" t="str">
        <f aca="false">IF(ROWS(A$5:A305)&lt;=MAX(Реестр!$W$2:$W$401),ROWS(A$5:A305),"")</f>
        <v/>
      </c>
      <c r="B305" s="24" t="str">
        <f aca="false">IF($A305="","",INDEX(Реестр!$B$2:$B$401,MATCH($A305,Реестр!$W$2:$W$401,0)))</f>
        <v/>
      </c>
      <c r="C305" s="24" t="str">
        <f aca="false">IF($A305="","",INDEX(Реестр!$C$2:$C$401,MATCH($A305,Реестр!$W$2:$W$401,0)))</f>
        <v/>
      </c>
      <c r="D305" s="24" t="str">
        <f aca="false">IF($A305="","",INDEX(Реестр!$D$2:$D$401,MATCH($A305,Реестр!$W$2:$W$401,0)))</f>
        <v/>
      </c>
      <c r="E305" s="24" t="str">
        <f aca="false">IF($A305="","",INDEX(Реестр!$E$2:$E$401,MATCH($A305,Реестр!$W$2:$W$401,0)))</f>
        <v/>
      </c>
      <c r="F305" s="24" t="str">
        <f aca="false">IF($A305="","",INDEX(Реестр!$J$2:$J$401,MATCH($A305,Реестр!$W$2:$W$401,0)))</f>
        <v/>
      </c>
      <c r="G305" s="24" t="str">
        <f aca="false">IF($A305="","",INDEX(Реестр!$F$2:$F$401,MATCH($A305,Реестр!$W$2:$W$401,0)))</f>
        <v/>
      </c>
      <c r="H305" s="24" t="str">
        <f aca="false">IF($A305="","",INDEX(Реестр!$G$2:$G$401,MATCH($A305,Реестр!$W$2:$W$401,0)))</f>
        <v/>
      </c>
      <c r="I305" s="24" t="str">
        <f aca="false">IF($A305="","",INDEX(Реестр!$H$2:$H$401,MATCH($A305,Реестр!$W$2:$W$401,0)))</f>
        <v/>
      </c>
      <c r="J305" s="24" t="str">
        <f aca="false">IF($A305="","",INDEX(Реестр!$I$2:$I$401,MATCH($A305,Реестр!$W$2:$W$401,0)))</f>
        <v/>
      </c>
    </row>
    <row r="306" customFormat="false" ht="15" hidden="false" customHeight="false" outlineLevel="0" collapsed="false">
      <c r="A306" s="21" t="str">
        <f aca="false">IF(ROWS(A$5:A306)&lt;=MAX(Реестр!$W$2:$W$401),ROWS(A$5:A306),"")</f>
        <v/>
      </c>
      <c r="B306" s="24" t="str">
        <f aca="false">IF($A306="","",INDEX(Реестр!$B$2:$B$401,MATCH($A306,Реестр!$W$2:$W$401,0)))</f>
        <v/>
      </c>
      <c r="C306" s="24" t="str">
        <f aca="false">IF($A306="","",INDEX(Реестр!$C$2:$C$401,MATCH($A306,Реестр!$W$2:$W$401,0)))</f>
        <v/>
      </c>
      <c r="D306" s="24" t="str">
        <f aca="false">IF($A306="","",INDEX(Реестр!$D$2:$D$401,MATCH($A306,Реестр!$W$2:$W$401,0)))</f>
        <v/>
      </c>
      <c r="E306" s="24" t="str">
        <f aca="false">IF($A306="","",INDEX(Реестр!$E$2:$E$401,MATCH($A306,Реестр!$W$2:$W$401,0)))</f>
        <v/>
      </c>
      <c r="F306" s="24" t="str">
        <f aca="false">IF($A306="","",INDEX(Реестр!$J$2:$J$401,MATCH($A306,Реестр!$W$2:$W$401,0)))</f>
        <v/>
      </c>
      <c r="G306" s="24" t="str">
        <f aca="false">IF($A306="","",INDEX(Реестр!$F$2:$F$401,MATCH($A306,Реестр!$W$2:$W$401,0)))</f>
        <v/>
      </c>
      <c r="H306" s="24" t="str">
        <f aca="false">IF($A306="","",INDEX(Реестр!$G$2:$G$401,MATCH($A306,Реестр!$W$2:$W$401,0)))</f>
        <v/>
      </c>
      <c r="I306" s="24" t="str">
        <f aca="false">IF($A306="","",INDEX(Реестр!$H$2:$H$401,MATCH($A306,Реестр!$W$2:$W$401,0)))</f>
        <v/>
      </c>
      <c r="J306" s="24" t="str">
        <f aca="false">IF($A306="","",INDEX(Реестр!$I$2:$I$401,MATCH($A306,Реестр!$W$2:$W$401,0)))</f>
        <v/>
      </c>
    </row>
    <row r="307" customFormat="false" ht="15" hidden="false" customHeight="false" outlineLevel="0" collapsed="false">
      <c r="A307" s="21" t="str">
        <f aca="false">IF(ROWS(A$5:A307)&lt;=MAX(Реестр!$W$2:$W$401),ROWS(A$5:A307),"")</f>
        <v/>
      </c>
      <c r="B307" s="24" t="str">
        <f aca="false">IF($A307="","",INDEX(Реестр!$B$2:$B$401,MATCH($A307,Реестр!$W$2:$W$401,0)))</f>
        <v/>
      </c>
      <c r="C307" s="24" t="str">
        <f aca="false">IF($A307="","",INDEX(Реестр!$C$2:$C$401,MATCH($A307,Реестр!$W$2:$W$401,0)))</f>
        <v/>
      </c>
      <c r="D307" s="24" t="str">
        <f aca="false">IF($A307="","",INDEX(Реестр!$D$2:$D$401,MATCH($A307,Реестр!$W$2:$W$401,0)))</f>
        <v/>
      </c>
      <c r="E307" s="24" t="str">
        <f aca="false">IF($A307="","",INDEX(Реестр!$E$2:$E$401,MATCH($A307,Реестр!$W$2:$W$401,0)))</f>
        <v/>
      </c>
      <c r="F307" s="24" t="str">
        <f aca="false">IF($A307="","",INDEX(Реестр!$J$2:$J$401,MATCH($A307,Реестр!$W$2:$W$401,0)))</f>
        <v/>
      </c>
      <c r="G307" s="24" t="str">
        <f aca="false">IF($A307="","",INDEX(Реестр!$F$2:$F$401,MATCH($A307,Реестр!$W$2:$W$401,0)))</f>
        <v/>
      </c>
      <c r="H307" s="24" t="str">
        <f aca="false">IF($A307="","",INDEX(Реестр!$G$2:$G$401,MATCH($A307,Реестр!$W$2:$W$401,0)))</f>
        <v/>
      </c>
      <c r="I307" s="24" t="str">
        <f aca="false">IF($A307="","",INDEX(Реестр!$H$2:$H$401,MATCH($A307,Реестр!$W$2:$W$401,0)))</f>
        <v/>
      </c>
      <c r="J307" s="24" t="str">
        <f aca="false">IF($A307="","",INDEX(Реестр!$I$2:$I$401,MATCH($A307,Реестр!$W$2:$W$401,0)))</f>
        <v/>
      </c>
    </row>
    <row r="308" customFormat="false" ht="15" hidden="false" customHeight="false" outlineLevel="0" collapsed="false">
      <c r="A308" s="21" t="str">
        <f aca="false">IF(ROWS(A$5:A308)&lt;=MAX(Реестр!$W$2:$W$401),ROWS(A$5:A308),"")</f>
        <v/>
      </c>
      <c r="B308" s="24" t="str">
        <f aca="false">IF($A308="","",INDEX(Реестр!$B$2:$B$401,MATCH($A308,Реестр!$W$2:$W$401,0)))</f>
        <v/>
      </c>
      <c r="C308" s="24" t="str">
        <f aca="false">IF($A308="","",INDEX(Реестр!$C$2:$C$401,MATCH($A308,Реестр!$W$2:$W$401,0)))</f>
        <v/>
      </c>
      <c r="D308" s="24" t="str">
        <f aca="false">IF($A308="","",INDEX(Реестр!$D$2:$D$401,MATCH($A308,Реестр!$W$2:$W$401,0)))</f>
        <v/>
      </c>
      <c r="E308" s="24" t="str">
        <f aca="false">IF($A308="","",INDEX(Реестр!$E$2:$E$401,MATCH($A308,Реестр!$W$2:$W$401,0)))</f>
        <v/>
      </c>
      <c r="F308" s="24" t="str">
        <f aca="false">IF($A308="","",INDEX(Реестр!$J$2:$J$401,MATCH($A308,Реестр!$W$2:$W$401,0)))</f>
        <v/>
      </c>
      <c r="G308" s="24" t="str">
        <f aca="false">IF($A308="","",INDEX(Реестр!$F$2:$F$401,MATCH($A308,Реестр!$W$2:$W$401,0)))</f>
        <v/>
      </c>
      <c r="H308" s="24" t="str">
        <f aca="false">IF($A308="","",INDEX(Реестр!$G$2:$G$401,MATCH($A308,Реестр!$W$2:$W$401,0)))</f>
        <v/>
      </c>
      <c r="I308" s="24" t="str">
        <f aca="false">IF($A308="","",INDEX(Реестр!$H$2:$H$401,MATCH($A308,Реестр!$W$2:$W$401,0)))</f>
        <v/>
      </c>
      <c r="J308" s="24" t="str">
        <f aca="false">IF($A308="","",INDEX(Реестр!$I$2:$I$401,MATCH($A308,Реестр!$W$2:$W$401,0)))</f>
        <v/>
      </c>
    </row>
    <row r="309" customFormat="false" ht="15" hidden="false" customHeight="false" outlineLevel="0" collapsed="false">
      <c r="A309" s="21" t="str">
        <f aca="false">IF(ROWS(A$5:A309)&lt;=MAX(Реестр!$W$2:$W$401),ROWS(A$5:A309),"")</f>
        <v/>
      </c>
      <c r="B309" s="24" t="str">
        <f aca="false">IF($A309="","",INDEX(Реестр!$B$2:$B$401,MATCH($A309,Реестр!$W$2:$W$401,0)))</f>
        <v/>
      </c>
      <c r="C309" s="24" t="str">
        <f aca="false">IF($A309="","",INDEX(Реестр!$C$2:$C$401,MATCH($A309,Реестр!$W$2:$W$401,0)))</f>
        <v/>
      </c>
      <c r="D309" s="24" t="str">
        <f aca="false">IF($A309="","",INDEX(Реестр!$D$2:$D$401,MATCH($A309,Реестр!$W$2:$W$401,0)))</f>
        <v/>
      </c>
      <c r="E309" s="24" t="str">
        <f aca="false">IF($A309="","",INDEX(Реестр!$E$2:$E$401,MATCH($A309,Реестр!$W$2:$W$401,0)))</f>
        <v/>
      </c>
      <c r="F309" s="24" t="str">
        <f aca="false">IF($A309="","",INDEX(Реестр!$J$2:$J$401,MATCH($A309,Реестр!$W$2:$W$401,0)))</f>
        <v/>
      </c>
      <c r="G309" s="24" t="str">
        <f aca="false">IF($A309="","",INDEX(Реестр!$F$2:$F$401,MATCH($A309,Реестр!$W$2:$W$401,0)))</f>
        <v/>
      </c>
      <c r="H309" s="24" t="str">
        <f aca="false">IF($A309="","",INDEX(Реестр!$G$2:$G$401,MATCH($A309,Реестр!$W$2:$W$401,0)))</f>
        <v/>
      </c>
      <c r="I309" s="24" t="str">
        <f aca="false">IF($A309="","",INDEX(Реестр!$H$2:$H$401,MATCH($A309,Реестр!$W$2:$W$401,0)))</f>
        <v/>
      </c>
      <c r="J309" s="24" t="str">
        <f aca="false">IF($A309="","",INDEX(Реестр!$I$2:$I$401,MATCH($A309,Реестр!$W$2:$W$401,0)))</f>
        <v/>
      </c>
    </row>
    <row r="310" customFormat="false" ht="15" hidden="false" customHeight="false" outlineLevel="0" collapsed="false">
      <c r="A310" s="21" t="str">
        <f aca="false">IF(ROWS(A$5:A310)&lt;=MAX(Реестр!$W$2:$W$401),ROWS(A$5:A310),"")</f>
        <v/>
      </c>
      <c r="B310" s="24" t="str">
        <f aca="false">IF($A310="","",INDEX(Реестр!$B$2:$B$401,MATCH($A310,Реестр!$W$2:$W$401,0)))</f>
        <v/>
      </c>
      <c r="C310" s="24" t="str">
        <f aca="false">IF($A310="","",INDEX(Реестр!$C$2:$C$401,MATCH($A310,Реестр!$W$2:$W$401,0)))</f>
        <v/>
      </c>
      <c r="D310" s="24" t="str">
        <f aca="false">IF($A310="","",INDEX(Реестр!$D$2:$D$401,MATCH($A310,Реестр!$W$2:$W$401,0)))</f>
        <v/>
      </c>
      <c r="E310" s="24" t="str">
        <f aca="false">IF($A310="","",INDEX(Реестр!$E$2:$E$401,MATCH($A310,Реестр!$W$2:$W$401,0)))</f>
        <v/>
      </c>
      <c r="F310" s="24" t="str">
        <f aca="false">IF($A310="","",INDEX(Реестр!$J$2:$J$401,MATCH($A310,Реестр!$W$2:$W$401,0)))</f>
        <v/>
      </c>
      <c r="G310" s="24" t="str">
        <f aca="false">IF($A310="","",INDEX(Реестр!$F$2:$F$401,MATCH($A310,Реестр!$W$2:$W$401,0)))</f>
        <v/>
      </c>
      <c r="H310" s="24" t="str">
        <f aca="false">IF($A310="","",INDEX(Реестр!$G$2:$G$401,MATCH($A310,Реестр!$W$2:$W$401,0)))</f>
        <v/>
      </c>
      <c r="I310" s="24" t="str">
        <f aca="false">IF($A310="","",INDEX(Реестр!$H$2:$H$401,MATCH($A310,Реестр!$W$2:$W$401,0)))</f>
        <v/>
      </c>
      <c r="J310" s="24" t="str">
        <f aca="false">IF($A310="","",INDEX(Реестр!$I$2:$I$401,MATCH($A310,Реестр!$W$2:$W$401,0)))</f>
        <v/>
      </c>
    </row>
    <row r="311" customFormat="false" ht="15" hidden="false" customHeight="false" outlineLevel="0" collapsed="false">
      <c r="A311" s="21" t="str">
        <f aca="false">IF(ROWS(A$5:A311)&lt;=MAX(Реестр!$W$2:$W$401),ROWS(A$5:A311),"")</f>
        <v/>
      </c>
      <c r="B311" s="24" t="str">
        <f aca="false">IF($A311="","",INDEX(Реестр!$B$2:$B$401,MATCH($A311,Реестр!$W$2:$W$401,0)))</f>
        <v/>
      </c>
      <c r="C311" s="24" t="str">
        <f aca="false">IF($A311="","",INDEX(Реестр!$C$2:$C$401,MATCH($A311,Реестр!$W$2:$W$401,0)))</f>
        <v/>
      </c>
      <c r="D311" s="24" t="str">
        <f aca="false">IF($A311="","",INDEX(Реестр!$D$2:$D$401,MATCH($A311,Реестр!$W$2:$W$401,0)))</f>
        <v/>
      </c>
      <c r="E311" s="24" t="str">
        <f aca="false">IF($A311="","",INDEX(Реестр!$E$2:$E$401,MATCH($A311,Реестр!$W$2:$W$401,0)))</f>
        <v/>
      </c>
      <c r="F311" s="24" t="str">
        <f aca="false">IF($A311="","",INDEX(Реестр!$J$2:$J$401,MATCH($A311,Реестр!$W$2:$W$401,0)))</f>
        <v/>
      </c>
      <c r="G311" s="24" t="str">
        <f aca="false">IF($A311="","",INDEX(Реестр!$F$2:$F$401,MATCH($A311,Реестр!$W$2:$W$401,0)))</f>
        <v/>
      </c>
      <c r="H311" s="24" t="str">
        <f aca="false">IF($A311="","",INDEX(Реестр!$G$2:$G$401,MATCH($A311,Реестр!$W$2:$W$401,0)))</f>
        <v/>
      </c>
      <c r="I311" s="24" t="str">
        <f aca="false">IF($A311="","",INDEX(Реестр!$H$2:$H$401,MATCH($A311,Реестр!$W$2:$W$401,0)))</f>
        <v/>
      </c>
      <c r="J311" s="24" t="str">
        <f aca="false">IF($A311="","",INDEX(Реестр!$I$2:$I$401,MATCH($A311,Реестр!$W$2:$W$401,0)))</f>
        <v/>
      </c>
    </row>
    <row r="312" customFormat="false" ht="15" hidden="false" customHeight="false" outlineLevel="0" collapsed="false">
      <c r="A312" s="21" t="str">
        <f aca="false">IF(ROWS(A$5:A312)&lt;=MAX(Реестр!$W$2:$W$401),ROWS(A$5:A312),"")</f>
        <v/>
      </c>
      <c r="B312" s="24" t="str">
        <f aca="false">IF($A312="","",INDEX(Реестр!$B$2:$B$401,MATCH($A312,Реестр!$W$2:$W$401,0)))</f>
        <v/>
      </c>
      <c r="C312" s="24" t="str">
        <f aca="false">IF($A312="","",INDEX(Реестр!$C$2:$C$401,MATCH($A312,Реестр!$W$2:$W$401,0)))</f>
        <v/>
      </c>
      <c r="D312" s="24" t="str">
        <f aca="false">IF($A312="","",INDEX(Реестр!$D$2:$D$401,MATCH($A312,Реестр!$W$2:$W$401,0)))</f>
        <v/>
      </c>
      <c r="E312" s="24" t="str">
        <f aca="false">IF($A312="","",INDEX(Реестр!$E$2:$E$401,MATCH($A312,Реестр!$W$2:$W$401,0)))</f>
        <v/>
      </c>
      <c r="F312" s="24" t="str">
        <f aca="false">IF($A312="","",INDEX(Реестр!$J$2:$J$401,MATCH($A312,Реестр!$W$2:$W$401,0)))</f>
        <v/>
      </c>
      <c r="G312" s="24" t="str">
        <f aca="false">IF($A312="","",INDEX(Реестр!$F$2:$F$401,MATCH($A312,Реестр!$W$2:$W$401,0)))</f>
        <v/>
      </c>
      <c r="H312" s="24" t="str">
        <f aca="false">IF($A312="","",INDEX(Реестр!$G$2:$G$401,MATCH($A312,Реестр!$W$2:$W$401,0)))</f>
        <v/>
      </c>
      <c r="I312" s="24" t="str">
        <f aca="false">IF($A312="","",INDEX(Реестр!$H$2:$H$401,MATCH($A312,Реестр!$W$2:$W$401,0)))</f>
        <v/>
      </c>
      <c r="J312" s="24" t="str">
        <f aca="false">IF($A312="","",INDEX(Реестр!$I$2:$I$401,MATCH($A312,Реестр!$W$2:$W$401,0)))</f>
        <v/>
      </c>
    </row>
    <row r="313" customFormat="false" ht="15" hidden="false" customHeight="false" outlineLevel="0" collapsed="false">
      <c r="A313" s="21" t="str">
        <f aca="false">IF(ROWS(A$5:A313)&lt;=MAX(Реестр!$W$2:$W$401),ROWS(A$5:A313),"")</f>
        <v/>
      </c>
      <c r="B313" s="24" t="str">
        <f aca="false">IF($A313="","",INDEX(Реестр!$B$2:$B$401,MATCH($A313,Реестр!$W$2:$W$401,0)))</f>
        <v/>
      </c>
      <c r="C313" s="24" t="str">
        <f aca="false">IF($A313="","",INDEX(Реестр!$C$2:$C$401,MATCH($A313,Реестр!$W$2:$W$401,0)))</f>
        <v/>
      </c>
      <c r="D313" s="24" t="str">
        <f aca="false">IF($A313="","",INDEX(Реестр!$D$2:$D$401,MATCH($A313,Реестр!$W$2:$W$401,0)))</f>
        <v/>
      </c>
      <c r="E313" s="24" t="str">
        <f aca="false">IF($A313="","",INDEX(Реестр!$E$2:$E$401,MATCH($A313,Реестр!$W$2:$W$401,0)))</f>
        <v/>
      </c>
      <c r="F313" s="24" t="str">
        <f aca="false">IF($A313="","",INDEX(Реестр!$J$2:$J$401,MATCH($A313,Реестр!$W$2:$W$401,0)))</f>
        <v/>
      </c>
      <c r="G313" s="24" t="str">
        <f aca="false">IF($A313="","",INDEX(Реестр!$F$2:$F$401,MATCH($A313,Реестр!$W$2:$W$401,0)))</f>
        <v/>
      </c>
      <c r="H313" s="24" t="str">
        <f aca="false">IF($A313="","",INDEX(Реестр!$G$2:$G$401,MATCH($A313,Реестр!$W$2:$W$401,0)))</f>
        <v/>
      </c>
      <c r="I313" s="24" t="str">
        <f aca="false">IF($A313="","",INDEX(Реестр!$H$2:$H$401,MATCH($A313,Реестр!$W$2:$W$401,0)))</f>
        <v/>
      </c>
      <c r="J313" s="24" t="str">
        <f aca="false">IF($A313="","",INDEX(Реестр!$I$2:$I$401,MATCH($A313,Реестр!$W$2:$W$401,0)))</f>
        <v/>
      </c>
    </row>
    <row r="314" customFormat="false" ht="15" hidden="false" customHeight="false" outlineLevel="0" collapsed="false">
      <c r="A314" s="21" t="str">
        <f aca="false">IF(ROWS(A$5:A314)&lt;=MAX(Реестр!$W$2:$W$401),ROWS(A$5:A314),"")</f>
        <v/>
      </c>
      <c r="B314" s="24" t="str">
        <f aca="false">IF($A314="","",INDEX(Реестр!$B$2:$B$401,MATCH($A314,Реестр!$W$2:$W$401,0)))</f>
        <v/>
      </c>
      <c r="C314" s="24" t="str">
        <f aca="false">IF($A314="","",INDEX(Реестр!$C$2:$C$401,MATCH($A314,Реестр!$W$2:$W$401,0)))</f>
        <v/>
      </c>
      <c r="D314" s="24" t="str">
        <f aca="false">IF($A314="","",INDEX(Реестр!$D$2:$D$401,MATCH($A314,Реестр!$W$2:$W$401,0)))</f>
        <v/>
      </c>
      <c r="E314" s="24" t="str">
        <f aca="false">IF($A314="","",INDEX(Реестр!$E$2:$E$401,MATCH($A314,Реестр!$W$2:$W$401,0)))</f>
        <v/>
      </c>
      <c r="F314" s="24" t="str">
        <f aca="false">IF($A314="","",INDEX(Реестр!$J$2:$J$401,MATCH($A314,Реестр!$W$2:$W$401,0)))</f>
        <v/>
      </c>
      <c r="G314" s="24" t="str">
        <f aca="false">IF($A314="","",INDEX(Реестр!$F$2:$F$401,MATCH($A314,Реестр!$W$2:$W$401,0)))</f>
        <v/>
      </c>
      <c r="H314" s="24" t="str">
        <f aca="false">IF($A314="","",INDEX(Реестр!$G$2:$G$401,MATCH($A314,Реестр!$W$2:$W$401,0)))</f>
        <v/>
      </c>
      <c r="I314" s="24" t="str">
        <f aca="false">IF($A314="","",INDEX(Реестр!$H$2:$H$401,MATCH($A314,Реестр!$W$2:$W$401,0)))</f>
        <v/>
      </c>
      <c r="J314" s="24" t="str">
        <f aca="false">IF($A314="","",INDEX(Реестр!$I$2:$I$401,MATCH($A314,Реестр!$W$2:$W$401,0)))</f>
        <v/>
      </c>
    </row>
    <row r="315" customFormat="false" ht="15" hidden="false" customHeight="false" outlineLevel="0" collapsed="false">
      <c r="A315" s="21" t="str">
        <f aca="false">IF(ROWS(A$5:A315)&lt;=MAX(Реестр!$W$2:$W$401),ROWS(A$5:A315),"")</f>
        <v/>
      </c>
      <c r="B315" s="24" t="str">
        <f aca="false">IF($A315="","",INDEX(Реестр!$B$2:$B$401,MATCH($A315,Реестр!$W$2:$W$401,0)))</f>
        <v/>
      </c>
      <c r="C315" s="24" t="str">
        <f aca="false">IF($A315="","",INDEX(Реестр!$C$2:$C$401,MATCH($A315,Реестр!$W$2:$W$401,0)))</f>
        <v/>
      </c>
      <c r="D315" s="24" t="str">
        <f aca="false">IF($A315="","",INDEX(Реестр!$D$2:$D$401,MATCH($A315,Реестр!$W$2:$W$401,0)))</f>
        <v/>
      </c>
      <c r="E315" s="24" t="str">
        <f aca="false">IF($A315="","",INDEX(Реестр!$E$2:$E$401,MATCH($A315,Реестр!$W$2:$W$401,0)))</f>
        <v/>
      </c>
      <c r="F315" s="24" t="str">
        <f aca="false">IF($A315="","",INDEX(Реестр!$J$2:$J$401,MATCH($A315,Реестр!$W$2:$W$401,0)))</f>
        <v/>
      </c>
      <c r="G315" s="24" t="str">
        <f aca="false">IF($A315="","",INDEX(Реестр!$F$2:$F$401,MATCH($A315,Реестр!$W$2:$W$401,0)))</f>
        <v/>
      </c>
      <c r="H315" s="24" t="str">
        <f aca="false">IF($A315="","",INDEX(Реестр!$G$2:$G$401,MATCH($A315,Реестр!$W$2:$W$401,0)))</f>
        <v/>
      </c>
      <c r="I315" s="24" t="str">
        <f aca="false">IF($A315="","",INDEX(Реестр!$H$2:$H$401,MATCH($A315,Реестр!$W$2:$W$401,0)))</f>
        <v/>
      </c>
      <c r="J315" s="24" t="str">
        <f aca="false">IF($A315="","",INDEX(Реестр!$I$2:$I$401,MATCH($A315,Реестр!$W$2:$W$401,0)))</f>
        <v/>
      </c>
    </row>
    <row r="316" customFormat="false" ht="15" hidden="false" customHeight="false" outlineLevel="0" collapsed="false">
      <c r="A316" s="21" t="str">
        <f aca="false">IF(ROWS(A$5:A316)&lt;=MAX(Реестр!$W$2:$W$401),ROWS(A$5:A316),"")</f>
        <v/>
      </c>
      <c r="B316" s="24" t="str">
        <f aca="false">IF($A316="","",INDEX(Реестр!$B$2:$B$401,MATCH($A316,Реестр!$W$2:$W$401,0)))</f>
        <v/>
      </c>
      <c r="C316" s="24" t="str">
        <f aca="false">IF($A316="","",INDEX(Реестр!$C$2:$C$401,MATCH($A316,Реестр!$W$2:$W$401,0)))</f>
        <v/>
      </c>
      <c r="D316" s="24" t="str">
        <f aca="false">IF($A316="","",INDEX(Реестр!$D$2:$D$401,MATCH($A316,Реестр!$W$2:$W$401,0)))</f>
        <v/>
      </c>
      <c r="E316" s="24" t="str">
        <f aca="false">IF($A316="","",INDEX(Реестр!$E$2:$E$401,MATCH($A316,Реестр!$W$2:$W$401,0)))</f>
        <v/>
      </c>
      <c r="F316" s="24" t="str">
        <f aca="false">IF($A316="","",INDEX(Реестр!$J$2:$J$401,MATCH($A316,Реестр!$W$2:$W$401,0)))</f>
        <v/>
      </c>
      <c r="G316" s="24" t="str">
        <f aca="false">IF($A316="","",INDEX(Реестр!$F$2:$F$401,MATCH($A316,Реестр!$W$2:$W$401,0)))</f>
        <v/>
      </c>
      <c r="H316" s="24" t="str">
        <f aca="false">IF($A316="","",INDEX(Реестр!$G$2:$G$401,MATCH($A316,Реестр!$W$2:$W$401,0)))</f>
        <v/>
      </c>
      <c r="I316" s="24" t="str">
        <f aca="false">IF($A316="","",INDEX(Реестр!$H$2:$H$401,MATCH($A316,Реестр!$W$2:$W$401,0)))</f>
        <v/>
      </c>
      <c r="J316" s="24" t="str">
        <f aca="false">IF($A316="","",INDEX(Реестр!$I$2:$I$401,MATCH($A316,Реестр!$W$2:$W$401,0)))</f>
        <v/>
      </c>
    </row>
    <row r="317" customFormat="false" ht="15" hidden="false" customHeight="false" outlineLevel="0" collapsed="false">
      <c r="A317" s="21" t="str">
        <f aca="false">IF(ROWS(A$5:A317)&lt;=MAX(Реестр!$W$2:$W$401),ROWS(A$5:A317),"")</f>
        <v/>
      </c>
      <c r="B317" s="24" t="str">
        <f aca="false">IF($A317="","",INDEX(Реестр!$B$2:$B$401,MATCH($A317,Реестр!$W$2:$W$401,0)))</f>
        <v/>
      </c>
      <c r="C317" s="24" t="str">
        <f aca="false">IF($A317="","",INDEX(Реестр!$C$2:$C$401,MATCH($A317,Реестр!$W$2:$W$401,0)))</f>
        <v/>
      </c>
      <c r="D317" s="24" t="str">
        <f aca="false">IF($A317="","",INDEX(Реестр!$D$2:$D$401,MATCH($A317,Реестр!$W$2:$W$401,0)))</f>
        <v/>
      </c>
      <c r="E317" s="24" t="str">
        <f aca="false">IF($A317="","",INDEX(Реестр!$E$2:$E$401,MATCH($A317,Реестр!$W$2:$W$401,0)))</f>
        <v/>
      </c>
      <c r="F317" s="24" t="str">
        <f aca="false">IF($A317="","",INDEX(Реестр!$J$2:$J$401,MATCH($A317,Реестр!$W$2:$W$401,0)))</f>
        <v/>
      </c>
      <c r="G317" s="24" t="str">
        <f aca="false">IF($A317="","",INDEX(Реестр!$F$2:$F$401,MATCH($A317,Реестр!$W$2:$W$401,0)))</f>
        <v/>
      </c>
      <c r="H317" s="24" t="str">
        <f aca="false">IF($A317="","",INDEX(Реестр!$G$2:$G$401,MATCH($A317,Реестр!$W$2:$W$401,0)))</f>
        <v/>
      </c>
      <c r="I317" s="24" t="str">
        <f aca="false">IF($A317="","",INDEX(Реестр!$H$2:$H$401,MATCH($A317,Реестр!$W$2:$W$401,0)))</f>
        <v/>
      </c>
      <c r="J317" s="24" t="str">
        <f aca="false">IF($A317="","",INDEX(Реестр!$I$2:$I$401,MATCH($A317,Реестр!$W$2:$W$401,0)))</f>
        <v/>
      </c>
    </row>
    <row r="318" customFormat="false" ht="15" hidden="false" customHeight="false" outlineLevel="0" collapsed="false">
      <c r="A318" s="21" t="str">
        <f aca="false">IF(ROWS(A$5:A318)&lt;=MAX(Реестр!$W$2:$W$401),ROWS(A$5:A318),"")</f>
        <v/>
      </c>
      <c r="B318" s="24" t="str">
        <f aca="false">IF($A318="","",INDEX(Реестр!$B$2:$B$401,MATCH($A318,Реестр!$W$2:$W$401,0)))</f>
        <v/>
      </c>
      <c r="C318" s="24" t="str">
        <f aca="false">IF($A318="","",INDEX(Реестр!$C$2:$C$401,MATCH($A318,Реестр!$W$2:$W$401,0)))</f>
        <v/>
      </c>
      <c r="D318" s="24" t="str">
        <f aca="false">IF($A318="","",INDEX(Реестр!$D$2:$D$401,MATCH($A318,Реестр!$W$2:$W$401,0)))</f>
        <v/>
      </c>
      <c r="E318" s="24" t="str">
        <f aca="false">IF($A318="","",INDEX(Реестр!$E$2:$E$401,MATCH($A318,Реестр!$W$2:$W$401,0)))</f>
        <v/>
      </c>
      <c r="F318" s="24" t="str">
        <f aca="false">IF($A318="","",INDEX(Реестр!$J$2:$J$401,MATCH($A318,Реестр!$W$2:$W$401,0)))</f>
        <v/>
      </c>
      <c r="G318" s="24" t="str">
        <f aca="false">IF($A318="","",INDEX(Реестр!$F$2:$F$401,MATCH($A318,Реестр!$W$2:$W$401,0)))</f>
        <v/>
      </c>
      <c r="H318" s="24" t="str">
        <f aca="false">IF($A318="","",INDEX(Реестр!$G$2:$G$401,MATCH($A318,Реестр!$W$2:$W$401,0)))</f>
        <v/>
      </c>
      <c r="I318" s="24" t="str">
        <f aca="false">IF($A318="","",INDEX(Реестр!$H$2:$H$401,MATCH($A318,Реестр!$W$2:$W$401,0)))</f>
        <v/>
      </c>
      <c r="J318" s="24" t="str">
        <f aca="false">IF($A318="","",INDEX(Реестр!$I$2:$I$401,MATCH($A318,Реестр!$W$2:$W$401,0)))</f>
        <v/>
      </c>
    </row>
    <row r="319" customFormat="false" ht="15" hidden="false" customHeight="false" outlineLevel="0" collapsed="false">
      <c r="A319" s="21" t="str">
        <f aca="false">IF(ROWS(A$5:A319)&lt;=MAX(Реестр!$W$2:$W$401),ROWS(A$5:A319),"")</f>
        <v/>
      </c>
      <c r="B319" s="24" t="str">
        <f aca="false">IF($A319="","",INDEX(Реестр!$B$2:$B$401,MATCH($A319,Реестр!$W$2:$W$401,0)))</f>
        <v/>
      </c>
      <c r="C319" s="24" t="str">
        <f aca="false">IF($A319="","",INDEX(Реестр!$C$2:$C$401,MATCH($A319,Реестр!$W$2:$W$401,0)))</f>
        <v/>
      </c>
      <c r="D319" s="24" t="str">
        <f aca="false">IF($A319="","",INDEX(Реестр!$D$2:$D$401,MATCH($A319,Реестр!$W$2:$W$401,0)))</f>
        <v/>
      </c>
      <c r="E319" s="24" t="str">
        <f aca="false">IF($A319="","",INDEX(Реестр!$E$2:$E$401,MATCH($A319,Реестр!$W$2:$W$401,0)))</f>
        <v/>
      </c>
      <c r="F319" s="24" t="str">
        <f aca="false">IF($A319="","",INDEX(Реестр!$J$2:$J$401,MATCH($A319,Реестр!$W$2:$W$401,0)))</f>
        <v/>
      </c>
      <c r="G319" s="24" t="str">
        <f aca="false">IF($A319="","",INDEX(Реестр!$F$2:$F$401,MATCH($A319,Реестр!$W$2:$W$401,0)))</f>
        <v/>
      </c>
      <c r="H319" s="24" t="str">
        <f aca="false">IF($A319="","",INDEX(Реестр!$G$2:$G$401,MATCH($A319,Реестр!$W$2:$W$401,0)))</f>
        <v/>
      </c>
      <c r="I319" s="24" t="str">
        <f aca="false">IF($A319="","",INDEX(Реестр!$H$2:$H$401,MATCH($A319,Реестр!$W$2:$W$401,0)))</f>
        <v/>
      </c>
      <c r="J319" s="24" t="str">
        <f aca="false">IF($A319="","",INDEX(Реестр!$I$2:$I$401,MATCH($A319,Реестр!$W$2:$W$401,0)))</f>
        <v/>
      </c>
    </row>
    <row r="320" customFormat="false" ht="15" hidden="false" customHeight="false" outlineLevel="0" collapsed="false">
      <c r="A320" s="21" t="str">
        <f aca="false">IF(ROWS(A$5:A320)&lt;=MAX(Реестр!$W$2:$W$401),ROWS(A$5:A320),"")</f>
        <v/>
      </c>
      <c r="B320" s="24" t="str">
        <f aca="false">IF($A320="","",INDEX(Реестр!$B$2:$B$401,MATCH($A320,Реестр!$W$2:$W$401,0)))</f>
        <v/>
      </c>
      <c r="C320" s="24" t="str">
        <f aca="false">IF($A320="","",INDEX(Реестр!$C$2:$C$401,MATCH($A320,Реестр!$W$2:$W$401,0)))</f>
        <v/>
      </c>
      <c r="D320" s="24" t="str">
        <f aca="false">IF($A320="","",INDEX(Реестр!$D$2:$D$401,MATCH($A320,Реестр!$W$2:$W$401,0)))</f>
        <v/>
      </c>
      <c r="E320" s="24" t="str">
        <f aca="false">IF($A320="","",INDEX(Реестр!$E$2:$E$401,MATCH($A320,Реестр!$W$2:$W$401,0)))</f>
        <v/>
      </c>
      <c r="F320" s="24" t="str">
        <f aca="false">IF($A320="","",INDEX(Реестр!$J$2:$J$401,MATCH($A320,Реестр!$W$2:$W$401,0)))</f>
        <v/>
      </c>
      <c r="G320" s="24" t="str">
        <f aca="false">IF($A320="","",INDEX(Реестр!$F$2:$F$401,MATCH($A320,Реестр!$W$2:$W$401,0)))</f>
        <v/>
      </c>
      <c r="H320" s="24" t="str">
        <f aca="false">IF($A320="","",INDEX(Реестр!$G$2:$G$401,MATCH($A320,Реестр!$W$2:$W$401,0)))</f>
        <v/>
      </c>
      <c r="I320" s="24" t="str">
        <f aca="false">IF($A320="","",INDEX(Реестр!$H$2:$H$401,MATCH($A320,Реестр!$W$2:$W$401,0)))</f>
        <v/>
      </c>
      <c r="J320" s="24" t="str">
        <f aca="false">IF($A320="","",INDEX(Реестр!$I$2:$I$401,MATCH($A320,Реестр!$W$2:$W$401,0)))</f>
        <v/>
      </c>
    </row>
    <row r="321" customFormat="false" ht="15" hidden="false" customHeight="false" outlineLevel="0" collapsed="false">
      <c r="A321" s="21" t="str">
        <f aca="false">IF(ROWS(A$5:A321)&lt;=MAX(Реестр!$W$2:$W$401),ROWS(A$5:A321),"")</f>
        <v/>
      </c>
      <c r="B321" s="24" t="str">
        <f aca="false">IF($A321="","",INDEX(Реестр!$B$2:$B$401,MATCH($A321,Реестр!$W$2:$W$401,0)))</f>
        <v/>
      </c>
      <c r="C321" s="24" t="str">
        <f aca="false">IF($A321="","",INDEX(Реестр!$C$2:$C$401,MATCH($A321,Реестр!$W$2:$W$401,0)))</f>
        <v/>
      </c>
      <c r="D321" s="24" t="str">
        <f aca="false">IF($A321="","",INDEX(Реестр!$D$2:$D$401,MATCH($A321,Реестр!$W$2:$W$401,0)))</f>
        <v/>
      </c>
      <c r="E321" s="24" t="str">
        <f aca="false">IF($A321="","",INDEX(Реестр!$E$2:$E$401,MATCH($A321,Реестр!$W$2:$W$401,0)))</f>
        <v/>
      </c>
      <c r="F321" s="24" t="str">
        <f aca="false">IF($A321="","",INDEX(Реестр!$J$2:$J$401,MATCH($A321,Реестр!$W$2:$W$401,0)))</f>
        <v/>
      </c>
      <c r="G321" s="24" t="str">
        <f aca="false">IF($A321="","",INDEX(Реестр!$F$2:$F$401,MATCH($A321,Реестр!$W$2:$W$401,0)))</f>
        <v/>
      </c>
      <c r="H321" s="24" t="str">
        <f aca="false">IF($A321="","",INDEX(Реестр!$G$2:$G$401,MATCH($A321,Реестр!$W$2:$W$401,0)))</f>
        <v/>
      </c>
      <c r="I321" s="24" t="str">
        <f aca="false">IF($A321="","",INDEX(Реестр!$H$2:$H$401,MATCH($A321,Реестр!$W$2:$W$401,0)))</f>
        <v/>
      </c>
      <c r="J321" s="24" t="str">
        <f aca="false">IF($A321="","",INDEX(Реестр!$I$2:$I$401,MATCH($A321,Реестр!$W$2:$W$401,0)))</f>
        <v/>
      </c>
    </row>
    <row r="322" customFormat="false" ht="15" hidden="false" customHeight="false" outlineLevel="0" collapsed="false">
      <c r="A322" s="21" t="str">
        <f aca="false">IF(ROWS(A$5:A322)&lt;=MAX(Реестр!$W$2:$W$401),ROWS(A$5:A322),"")</f>
        <v/>
      </c>
      <c r="B322" s="24" t="str">
        <f aca="false">IF($A322="","",INDEX(Реестр!$B$2:$B$401,MATCH($A322,Реестр!$W$2:$W$401,0)))</f>
        <v/>
      </c>
      <c r="C322" s="24" t="str">
        <f aca="false">IF($A322="","",INDEX(Реестр!$C$2:$C$401,MATCH($A322,Реестр!$W$2:$W$401,0)))</f>
        <v/>
      </c>
      <c r="D322" s="24" t="str">
        <f aca="false">IF($A322="","",INDEX(Реестр!$D$2:$D$401,MATCH($A322,Реестр!$W$2:$W$401,0)))</f>
        <v/>
      </c>
      <c r="E322" s="24" t="str">
        <f aca="false">IF($A322="","",INDEX(Реестр!$E$2:$E$401,MATCH($A322,Реестр!$W$2:$W$401,0)))</f>
        <v/>
      </c>
      <c r="F322" s="24" t="str">
        <f aca="false">IF($A322="","",INDEX(Реестр!$J$2:$J$401,MATCH($A322,Реестр!$W$2:$W$401,0)))</f>
        <v/>
      </c>
      <c r="G322" s="24" t="str">
        <f aca="false">IF($A322="","",INDEX(Реестр!$F$2:$F$401,MATCH($A322,Реестр!$W$2:$W$401,0)))</f>
        <v/>
      </c>
      <c r="H322" s="24" t="str">
        <f aca="false">IF($A322="","",INDEX(Реестр!$G$2:$G$401,MATCH($A322,Реестр!$W$2:$W$401,0)))</f>
        <v/>
      </c>
      <c r="I322" s="24" t="str">
        <f aca="false">IF($A322="","",INDEX(Реестр!$H$2:$H$401,MATCH($A322,Реестр!$W$2:$W$401,0)))</f>
        <v/>
      </c>
      <c r="J322" s="24" t="str">
        <f aca="false">IF($A322="","",INDEX(Реестр!$I$2:$I$401,MATCH($A322,Реестр!$W$2:$W$401,0)))</f>
        <v/>
      </c>
    </row>
    <row r="323" customFormat="false" ht="15" hidden="false" customHeight="false" outlineLevel="0" collapsed="false">
      <c r="A323" s="21" t="str">
        <f aca="false">IF(ROWS(A$5:A323)&lt;=MAX(Реестр!$W$2:$W$401),ROWS(A$5:A323),"")</f>
        <v/>
      </c>
      <c r="B323" s="24" t="str">
        <f aca="false">IF($A323="","",INDEX(Реестр!$B$2:$B$401,MATCH($A323,Реестр!$W$2:$W$401,0)))</f>
        <v/>
      </c>
      <c r="C323" s="24" t="str">
        <f aca="false">IF($A323="","",INDEX(Реестр!$C$2:$C$401,MATCH($A323,Реестр!$W$2:$W$401,0)))</f>
        <v/>
      </c>
      <c r="D323" s="24" t="str">
        <f aca="false">IF($A323="","",INDEX(Реестр!$D$2:$D$401,MATCH($A323,Реестр!$W$2:$W$401,0)))</f>
        <v/>
      </c>
      <c r="E323" s="24" t="str">
        <f aca="false">IF($A323="","",INDEX(Реестр!$E$2:$E$401,MATCH($A323,Реестр!$W$2:$W$401,0)))</f>
        <v/>
      </c>
      <c r="F323" s="24" t="str">
        <f aca="false">IF($A323="","",INDEX(Реестр!$J$2:$J$401,MATCH($A323,Реестр!$W$2:$W$401,0)))</f>
        <v/>
      </c>
      <c r="G323" s="24" t="str">
        <f aca="false">IF($A323="","",INDEX(Реестр!$F$2:$F$401,MATCH($A323,Реестр!$W$2:$W$401,0)))</f>
        <v/>
      </c>
      <c r="H323" s="24" t="str">
        <f aca="false">IF($A323="","",INDEX(Реестр!$G$2:$G$401,MATCH($A323,Реестр!$W$2:$W$401,0)))</f>
        <v/>
      </c>
      <c r="I323" s="24" t="str">
        <f aca="false">IF($A323="","",INDEX(Реестр!$H$2:$H$401,MATCH($A323,Реестр!$W$2:$W$401,0)))</f>
        <v/>
      </c>
      <c r="J323" s="24" t="str">
        <f aca="false">IF($A323="","",INDEX(Реестр!$I$2:$I$401,MATCH($A323,Реестр!$W$2:$W$401,0)))</f>
        <v/>
      </c>
    </row>
    <row r="324" customFormat="false" ht="15" hidden="false" customHeight="false" outlineLevel="0" collapsed="false">
      <c r="A324" s="21" t="str">
        <f aca="false">IF(ROWS(A$5:A324)&lt;=MAX(Реестр!$W$2:$W$401),ROWS(A$5:A324),"")</f>
        <v/>
      </c>
      <c r="B324" s="24" t="str">
        <f aca="false">IF($A324="","",INDEX(Реестр!$B$2:$B$401,MATCH($A324,Реестр!$W$2:$W$401,0)))</f>
        <v/>
      </c>
      <c r="C324" s="24" t="str">
        <f aca="false">IF($A324="","",INDEX(Реестр!$C$2:$C$401,MATCH($A324,Реестр!$W$2:$W$401,0)))</f>
        <v/>
      </c>
      <c r="D324" s="24" t="str">
        <f aca="false">IF($A324="","",INDEX(Реестр!$D$2:$D$401,MATCH($A324,Реестр!$W$2:$W$401,0)))</f>
        <v/>
      </c>
      <c r="E324" s="24" t="str">
        <f aca="false">IF($A324="","",INDEX(Реестр!$E$2:$E$401,MATCH($A324,Реестр!$W$2:$W$401,0)))</f>
        <v/>
      </c>
      <c r="F324" s="24" t="str">
        <f aca="false">IF($A324="","",INDEX(Реестр!$J$2:$J$401,MATCH($A324,Реестр!$W$2:$W$401,0)))</f>
        <v/>
      </c>
      <c r="G324" s="24" t="str">
        <f aca="false">IF($A324="","",INDEX(Реестр!$F$2:$F$401,MATCH($A324,Реестр!$W$2:$W$401,0)))</f>
        <v/>
      </c>
      <c r="H324" s="24" t="str">
        <f aca="false">IF($A324="","",INDEX(Реестр!$G$2:$G$401,MATCH($A324,Реестр!$W$2:$W$401,0)))</f>
        <v/>
      </c>
      <c r="I324" s="24" t="str">
        <f aca="false">IF($A324="","",INDEX(Реестр!$H$2:$H$401,MATCH($A324,Реестр!$W$2:$W$401,0)))</f>
        <v/>
      </c>
      <c r="J324" s="24" t="str">
        <f aca="false">IF($A324="","",INDEX(Реестр!$I$2:$I$401,MATCH($A324,Реестр!$W$2:$W$401,0)))</f>
        <v/>
      </c>
    </row>
    <row r="325" customFormat="false" ht="15" hidden="false" customHeight="false" outlineLevel="0" collapsed="false">
      <c r="A325" s="21" t="str">
        <f aca="false">IF(ROWS(A$5:A325)&lt;=MAX(Реестр!$W$2:$W$401),ROWS(A$5:A325),"")</f>
        <v/>
      </c>
      <c r="B325" s="24" t="str">
        <f aca="false">IF($A325="","",INDEX(Реестр!$B$2:$B$401,MATCH($A325,Реестр!$W$2:$W$401,0)))</f>
        <v/>
      </c>
      <c r="C325" s="24" t="str">
        <f aca="false">IF($A325="","",INDEX(Реестр!$C$2:$C$401,MATCH($A325,Реестр!$W$2:$W$401,0)))</f>
        <v/>
      </c>
      <c r="D325" s="24" t="str">
        <f aca="false">IF($A325="","",INDEX(Реестр!$D$2:$D$401,MATCH($A325,Реестр!$W$2:$W$401,0)))</f>
        <v/>
      </c>
      <c r="E325" s="24" t="str">
        <f aca="false">IF($A325="","",INDEX(Реестр!$E$2:$E$401,MATCH($A325,Реестр!$W$2:$W$401,0)))</f>
        <v/>
      </c>
      <c r="F325" s="24" t="str">
        <f aca="false">IF($A325="","",INDEX(Реестр!$J$2:$J$401,MATCH($A325,Реестр!$W$2:$W$401,0)))</f>
        <v/>
      </c>
      <c r="G325" s="24" t="str">
        <f aca="false">IF($A325="","",INDEX(Реестр!$F$2:$F$401,MATCH($A325,Реестр!$W$2:$W$401,0)))</f>
        <v/>
      </c>
      <c r="H325" s="24" t="str">
        <f aca="false">IF($A325="","",INDEX(Реестр!$G$2:$G$401,MATCH($A325,Реестр!$W$2:$W$401,0)))</f>
        <v/>
      </c>
      <c r="I325" s="24" t="str">
        <f aca="false">IF($A325="","",INDEX(Реестр!$H$2:$H$401,MATCH($A325,Реестр!$W$2:$W$401,0)))</f>
        <v/>
      </c>
      <c r="J325" s="24" t="str">
        <f aca="false">IF($A325="","",INDEX(Реестр!$I$2:$I$401,MATCH($A325,Реестр!$W$2:$W$401,0)))</f>
        <v/>
      </c>
    </row>
    <row r="326" customFormat="false" ht="15" hidden="false" customHeight="false" outlineLevel="0" collapsed="false">
      <c r="A326" s="21" t="str">
        <f aca="false">IF(ROWS(A$5:A326)&lt;=MAX(Реестр!$W$2:$W$401),ROWS(A$5:A326),"")</f>
        <v/>
      </c>
      <c r="B326" s="24" t="str">
        <f aca="false">IF($A326="","",INDEX(Реестр!$B$2:$B$401,MATCH($A326,Реестр!$W$2:$W$401,0)))</f>
        <v/>
      </c>
      <c r="C326" s="24" t="str">
        <f aca="false">IF($A326="","",INDEX(Реестр!$C$2:$C$401,MATCH($A326,Реестр!$W$2:$W$401,0)))</f>
        <v/>
      </c>
      <c r="D326" s="24" t="str">
        <f aca="false">IF($A326="","",INDEX(Реестр!$D$2:$D$401,MATCH($A326,Реестр!$W$2:$W$401,0)))</f>
        <v/>
      </c>
      <c r="E326" s="24" t="str">
        <f aca="false">IF($A326="","",INDEX(Реестр!$E$2:$E$401,MATCH($A326,Реестр!$W$2:$W$401,0)))</f>
        <v/>
      </c>
      <c r="F326" s="24" t="str">
        <f aca="false">IF($A326="","",INDEX(Реестр!$J$2:$J$401,MATCH($A326,Реестр!$W$2:$W$401,0)))</f>
        <v/>
      </c>
      <c r="G326" s="24" t="str">
        <f aca="false">IF($A326="","",INDEX(Реестр!$F$2:$F$401,MATCH($A326,Реестр!$W$2:$W$401,0)))</f>
        <v/>
      </c>
      <c r="H326" s="24" t="str">
        <f aca="false">IF($A326="","",INDEX(Реестр!$G$2:$G$401,MATCH($A326,Реестр!$W$2:$W$401,0)))</f>
        <v/>
      </c>
      <c r="I326" s="24" t="str">
        <f aca="false">IF($A326="","",INDEX(Реестр!$H$2:$H$401,MATCH($A326,Реестр!$W$2:$W$401,0)))</f>
        <v/>
      </c>
      <c r="J326" s="24" t="str">
        <f aca="false">IF($A326="","",INDEX(Реестр!$I$2:$I$401,MATCH($A326,Реестр!$W$2:$W$401,0)))</f>
        <v/>
      </c>
    </row>
    <row r="327" customFormat="false" ht="15" hidden="false" customHeight="false" outlineLevel="0" collapsed="false">
      <c r="A327" s="21" t="str">
        <f aca="false">IF(ROWS(A$5:A327)&lt;=MAX(Реестр!$W$2:$W$401),ROWS(A$5:A327),"")</f>
        <v/>
      </c>
      <c r="B327" s="24" t="str">
        <f aca="false">IF($A327="","",INDEX(Реестр!$B$2:$B$401,MATCH($A327,Реестр!$W$2:$W$401,0)))</f>
        <v/>
      </c>
      <c r="C327" s="24" t="str">
        <f aca="false">IF($A327="","",INDEX(Реестр!$C$2:$C$401,MATCH($A327,Реестр!$W$2:$W$401,0)))</f>
        <v/>
      </c>
      <c r="D327" s="24" t="str">
        <f aca="false">IF($A327="","",INDEX(Реестр!$D$2:$D$401,MATCH($A327,Реестр!$W$2:$W$401,0)))</f>
        <v/>
      </c>
      <c r="E327" s="24" t="str">
        <f aca="false">IF($A327="","",INDEX(Реестр!$E$2:$E$401,MATCH($A327,Реестр!$W$2:$W$401,0)))</f>
        <v/>
      </c>
      <c r="F327" s="24" t="str">
        <f aca="false">IF($A327="","",INDEX(Реестр!$J$2:$J$401,MATCH($A327,Реестр!$W$2:$W$401,0)))</f>
        <v/>
      </c>
      <c r="G327" s="24" t="str">
        <f aca="false">IF($A327="","",INDEX(Реестр!$F$2:$F$401,MATCH($A327,Реестр!$W$2:$W$401,0)))</f>
        <v/>
      </c>
      <c r="H327" s="24" t="str">
        <f aca="false">IF($A327="","",INDEX(Реестр!$G$2:$G$401,MATCH($A327,Реестр!$W$2:$W$401,0)))</f>
        <v/>
      </c>
      <c r="I327" s="24" t="str">
        <f aca="false">IF($A327="","",INDEX(Реестр!$H$2:$H$401,MATCH($A327,Реестр!$W$2:$W$401,0)))</f>
        <v/>
      </c>
      <c r="J327" s="24" t="str">
        <f aca="false">IF($A327="","",INDEX(Реестр!$I$2:$I$401,MATCH($A327,Реестр!$W$2:$W$401,0)))</f>
        <v/>
      </c>
    </row>
    <row r="328" customFormat="false" ht="15" hidden="false" customHeight="false" outlineLevel="0" collapsed="false">
      <c r="A328" s="21" t="str">
        <f aca="false">IF(ROWS(A$5:A328)&lt;=MAX(Реестр!$W$2:$W$401),ROWS(A$5:A328),"")</f>
        <v/>
      </c>
      <c r="B328" s="24" t="str">
        <f aca="false">IF($A328="","",INDEX(Реестр!$B$2:$B$401,MATCH($A328,Реестр!$W$2:$W$401,0)))</f>
        <v/>
      </c>
      <c r="C328" s="24" t="str">
        <f aca="false">IF($A328="","",INDEX(Реестр!$C$2:$C$401,MATCH($A328,Реестр!$W$2:$W$401,0)))</f>
        <v/>
      </c>
      <c r="D328" s="24" t="str">
        <f aca="false">IF($A328="","",INDEX(Реестр!$D$2:$D$401,MATCH($A328,Реестр!$W$2:$W$401,0)))</f>
        <v/>
      </c>
      <c r="E328" s="24" t="str">
        <f aca="false">IF($A328="","",INDEX(Реестр!$E$2:$E$401,MATCH($A328,Реестр!$W$2:$W$401,0)))</f>
        <v/>
      </c>
      <c r="F328" s="24" t="str">
        <f aca="false">IF($A328="","",INDEX(Реестр!$J$2:$J$401,MATCH($A328,Реестр!$W$2:$W$401,0)))</f>
        <v/>
      </c>
      <c r="G328" s="24" t="str">
        <f aca="false">IF($A328="","",INDEX(Реестр!$F$2:$F$401,MATCH($A328,Реестр!$W$2:$W$401,0)))</f>
        <v/>
      </c>
      <c r="H328" s="24" t="str">
        <f aca="false">IF($A328="","",INDEX(Реестр!$G$2:$G$401,MATCH($A328,Реестр!$W$2:$W$401,0)))</f>
        <v/>
      </c>
      <c r="I328" s="24" t="str">
        <f aca="false">IF($A328="","",INDEX(Реестр!$H$2:$H$401,MATCH($A328,Реестр!$W$2:$W$401,0)))</f>
        <v/>
      </c>
      <c r="J328" s="24" t="str">
        <f aca="false">IF($A328="","",INDEX(Реестр!$I$2:$I$401,MATCH($A328,Реестр!$W$2:$W$401,0)))</f>
        <v/>
      </c>
    </row>
    <row r="329" customFormat="false" ht="15" hidden="false" customHeight="false" outlineLevel="0" collapsed="false">
      <c r="A329" s="21" t="str">
        <f aca="false">IF(ROWS(A$5:A329)&lt;=MAX(Реестр!$W$2:$W$401),ROWS(A$5:A329),"")</f>
        <v/>
      </c>
      <c r="B329" s="24" t="str">
        <f aca="false">IF($A329="","",INDEX(Реестр!$B$2:$B$401,MATCH($A329,Реестр!$W$2:$W$401,0)))</f>
        <v/>
      </c>
      <c r="C329" s="24" t="str">
        <f aca="false">IF($A329="","",INDEX(Реестр!$C$2:$C$401,MATCH($A329,Реестр!$W$2:$W$401,0)))</f>
        <v/>
      </c>
      <c r="D329" s="24" t="str">
        <f aca="false">IF($A329="","",INDEX(Реестр!$D$2:$D$401,MATCH($A329,Реестр!$W$2:$W$401,0)))</f>
        <v/>
      </c>
      <c r="E329" s="24" t="str">
        <f aca="false">IF($A329="","",INDEX(Реестр!$E$2:$E$401,MATCH($A329,Реестр!$W$2:$W$401,0)))</f>
        <v/>
      </c>
      <c r="F329" s="24" t="str">
        <f aca="false">IF($A329="","",INDEX(Реестр!$J$2:$J$401,MATCH($A329,Реестр!$W$2:$W$401,0)))</f>
        <v/>
      </c>
      <c r="G329" s="24" t="str">
        <f aca="false">IF($A329="","",INDEX(Реестр!$F$2:$F$401,MATCH($A329,Реестр!$W$2:$W$401,0)))</f>
        <v/>
      </c>
      <c r="H329" s="24" t="str">
        <f aca="false">IF($A329="","",INDEX(Реестр!$G$2:$G$401,MATCH($A329,Реестр!$W$2:$W$401,0)))</f>
        <v/>
      </c>
      <c r="I329" s="24" t="str">
        <f aca="false">IF($A329="","",INDEX(Реестр!$H$2:$H$401,MATCH($A329,Реестр!$W$2:$W$401,0)))</f>
        <v/>
      </c>
      <c r="J329" s="24" t="str">
        <f aca="false">IF($A329="","",INDEX(Реестр!$I$2:$I$401,MATCH($A329,Реестр!$W$2:$W$401,0)))</f>
        <v/>
      </c>
    </row>
    <row r="330" customFormat="false" ht="15" hidden="false" customHeight="false" outlineLevel="0" collapsed="false">
      <c r="A330" s="21" t="str">
        <f aca="false">IF(ROWS(A$5:A330)&lt;=MAX(Реестр!$W$2:$W$401),ROWS(A$5:A330),"")</f>
        <v/>
      </c>
      <c r="B330" s="24" t="str">
        <f aca="false">IF($A330="","",INDEX(Реестр!$B$2:$B$401,MATCH($A330,Реестр!$W$2:$W$401,0)))</f>
        <v/>
      </c>
      <c r="C330" s="24" t="str">
        <f aca="false">IF($A330="","",INDEX(Реестр!$C$2:$C$401,MATCH($A330,Реестр!$W$2:$W$401,0)))</f>
        <v/>
      </c>
      <c r="D330" s="24" t="str">
        <f aca="false">IF($A330="","",INDEX(Реестр!$D$2:$D$401,MATCH($A330,Реестр!$W$2:$W$401,0)))</f>
        <v/>
      </c>
      <c r="E330" s="24" t="str">
        <f aca="false">IF($A330="","",INDEX(Реестр!$E$2:$E$401,MATCH($A330,Реестр!$W$2:$W$401,0)))</f>
        <v/>
      </c>
      <c r="F330" s="24" t="str">
        <f aca="false">IF($A330="","",INDEX(Реестр!$J$2:$J$401,MATCH($A330,Реестр!$W$2:$W$401,0)))</f>
        <v/>
      </c>
      <c r="G330" s="24" t="str">
        <f aca="false">IF($A330="","",INDEX(Реестр!$F$2:$F$401,MATCH($A330,Реестр!$W$2:$W$401,0)))</f>
        <v/>
      </c>
      <c r="H330" s="24" t="str">
        <f aca="false">IF($A330="","",INDEX(Реестр!$G$2:$G$401,MATCH($A330,Реестр!$W$2:$W$401,0)))</f>
        <v/>
      </c>
      <c r="I330" s="24" t="str">
        <f aca="false">IF($A330="","",INDEX(Реестр!$H$2:$H$401,MATCH($A330,Реестр!$W$2:$W$401,0)))</f>
        <v/>
      </c>
      <c r="J330" s="24" t="str">
        <f aca="false">IF($A330="","",INDEX(Реестр!$I$2:$I$401,MATCH($A330,Реестр!$W$2:$W$401,0)))</f>
        <v/>
      </c>
    </row>
    <row r="331" customFormat="false" ht="15" hidden="false" customHeight="false" outlineLevel="0" collapsed="false">
      <c r="A331" s="21" t="str">
        <f aca="false">IF(ROWS(A$5:A331)&lt;=MAX(Реестр!$W$2:$W$401),ROWS(A$5:A331),"")</f>
        <v/>
      </c>
      <c r="B331" s="24" t="str">
        <f aca="false">IF($A331="","",INDEX(Реестр!$B$2:$B$401,MATCH($A331,Реестр!$W$2:$W$401,0)))</f>
        <v/>
      </c>
      <c r="C331" s="24" t="str">
        <f aca="false">IF($A331="","",INDEX(Реестр!$C$2:$C$401,MATCH($A331,Реестр!$W$2:$W$401,0)))</f>
        <v/>
      </c>
      <c r="D331" s="24" t="str">
        <f aca="false">IF($A331="","",INDEX(Реестр!$D$2:$D$401,MATCH($A331,Реестр!$W$2:$W$401,0)))</f>
        <v/>
      </c>
      <c r="E331" s="24" t="str">
        <f aca="false">IF($A331="","",INDEX(Реестр!$E$2:$E$401,MATCH($A331,Реестр!$W$2:$W$401,0)))</f>
        <v/>
      </c>
      <c r="F331" s="24" t="str">
        <f aca="false">IF($A331="","",INDEX(Реестр!$J$2:$J$401,MATCH($A331,Реестр!$W$2:$W$401,0)))</f>
        <v/>
      </c>
      <c r="G331" s="24" t="str">
        <f aca="false">IF($A331="","",INDEX(Реестр!$F$2:$F$401,MATCH($A331,Реестр!$W$2:$W$401,0)))</f>
        <v/>
      </c>
      <c r="H331" s="24" t="str">
        <f aca="false">IF($A331="","",INDEX(Реестр!$G$2:$G$401,MATCH($A331,Реестр!$W$2:$W$401,0)))</f>
        <v/>
      </c>
      <c r="I331" s="24" t="str">
        <f aca="false">IF($A331="","",INDEX(Реестр!$H$2:$H$401,MATCH($A331,Реестр!$W$2:$W$401,0)))</f>
        <v/>
      </c>
      <c r="J331" s="24" t="str">
        <f aca="false">IF($A331="","",INDEX(Реестр!$I$2:$I$401,MATCH($A331,Реестр!$W$2:$W$401,0)))</f>
        <v/>
      </c>
    </row>
    <row r="332" customFormat="false" ht="15" hidden="false" customHeight="false" outlineLevel="0" collapsed="false">
      <c r="A332" s="21" t="str">
        <f aca="false">IF(ROWS(A$5:A332)&lt;=MAX(Реестр!$W$2:$W$401),ROWS(A$5:A332),"")</f>
        <v/>
      </c>
      <c r="B332" s="24" t="str">
        <f aca="false">IF($A332="","",INDEX(Реестр!$B$2:$B$401,MATCH($A332,Реестр!$W$2:$W$401,0)))</f>
        <v/>
      </c>
      <c r="C332" s="24" t="str">
        <f aca="false">IF($A332="","",INDEX(Реестр!$C$2:$C$401,MATCH($A332,Реестр!$W$2:$W$401,0)))</f>
        <v/>
      </c>
      <c r="D332" s="24" t="str">
        <f aca="false">IF($A332="","",INDEX(Реестр!$D$2:$D$401,MATCH($A332,Реестр!$W$2:$W$401,0)))</f>
        <v/>
      </c>
      <c r="E332" s="24" t="str">
        <f aca="false">IF($A332="","",INDEX(Реестр!$E$2:$E$401,MATCH($A332,Реестр!$W$2:$W$401,0)))</f>
        <v/>
      </c>
      <c r="F332" s="24" t="str">
        <f aca="false">IF($A332="","",INDEX(Реестр!$J$2:$J$401,MATCH($A332,Реестр!$W$2:$W$401,0)))</f>
        <v/>
      </c>
      <c r="G332" s="24" t="str">
        <f aca="false">IF($A332="","",INDEX(Реестр!$F$2:$F$401,MATCH($A332,Реестр!$W$2:$W$401,0)))</f>
        <v/>
      </c>
      <c r="H332" s="24" t="str">
        <f aca="false">IF($A332="","",INDEX(Реестр!$G$2:$G$401,MATCH($A332,Реестр!$W$2:$W$401,0)))</f>
        <v/>
      </c>
      <c r="I332" s="24" t="str">
        <f aca="false">IF($A332="","",INDEX(Реестр!$H$2:$H$401,MATCH($A332,Реестр!$W$2:$W$401,0)))</f>
        <v/>
      </c>
      <c r="J332" s="24" t="str">
        <f aca="false">IF($A332="","",INDEX(Реестр!$I$2:$I$401,MATCH($A332,Реестр!$W$2:$W$401,0)))</f>
        <v/>
      </c>
    </row>
    <row r="333" customFormat="false" ht="15" hidden="false" customHeight="false" outlineLevel="0" collapsed="false">
      <c r="A333" s="21" t="str">
        <f aca="false">IF(ROWS(A$5:A333)&lt;=MAX(Реестр!$W$2:$W$401),ROWS(A$5:A333),"")</f>
        <v/>
      </c>
      <c r="B333" s="24" t="str">
        <f aca="false">IF($A333="","",INDEX(Реестр!$B$2:$B$401,MATCH($A333,Реестр!$W$2:$W$401,0)))</f>
        <v/>
      </c>
      <c r="C333" s="24" t="str">
        <f aca="false">IF($A333="","",INDEX(Реестр!$C$2:$C$401,MATCH($A333,Реестр!$W$2:$W$401,0)))</f>
        <v/>
      </c>
      <c r="D333" s="24" t="str">
        <f aca="false">IF($A333="","",INDEX(Реестр!$D$2:$D$401,MATCH($A333,Реестр!$W$2:$W$401,0)))</f>
        <v/>
      </c>
      <c r="E333" s="24" t="str">
        <f aca="false">IF($A333="","",INDEX(Реестр!$E$2:$E$401,MATCH($A333,Реестр!$W$2:$W$401,0)))</f>
        <v/>
      </c>
      <c r="F333" s="24" t="str">
        <f aca="false">IF($A333="","",INDEX(Реестр!$J$2:$J$401,MATCH($A333,Реестр!$W$2:$W$401,0)))</f>
        <v/>
      </c>
      <c r="G333" s="24" t="str">
        <f aca="false">IF($A333="","",INDEX(Реестр!$F$2:$F$401,MATCH($A333,Реестр!$W$2:$W$401,0)))</f>
        <v/>
      </c>
      <c r="H333" s="24" t="str">
        <f aca="false">IF($A333="","",INDEX(Реестр!$G$2:$G$401,MATCH($A333,Реестр!$W$2:$W$401,0)))</f>
        <v/>
      </c>
      <c r="I333" s="24" t="str">
        <f aca="false">IF($A333="","",INDEX(Реестр!$H$2:$H$401,MATCH($A333,Реестр!$W$2:$W$401,0)))</f>
        <v/>
      </c>
      <c r="J333" s="24" t="str">
        <f aca="false">IF($A333="","",INDEX(Реестр!$I$2:$I$401,MATCH($A333,Реестр!$W$2:$W$401,0)))</f>
        <v/>
      </c>
    </row>
    <row r="334" customFormat="false" ht="15" hidden="false" customHeight="false" outlineLevel="0" collapsed="false">
      <c r="A334" s="21" t="str">
        <f aca="false">IF(ROWS(A$5:A334)&lt;=MAX(Реестр!$W$2:$W$401),ROWS(A$5:A334),"")</f>
        <v/>
      </c>
      <c r="B334" s="24" t="str">
        <f aca="false">IF($A334="","",INDEX(Реестр!$B$2:$B$401,MATCH($A334,Реестр!$W$2:$W$401,0)))</f>
        <v/>
      </c>
      <c r="C334" s="24" t="str">
        <f aca="false">IF($A334="","",INDEX(Реестр!$C$2:$C$401,MATCH($A334,Реестр!$W$2:$W$401,0)))</f>
        <v/>
      </c>
      <c r="D334" s="24" t="str">
        <f aca="false">IF($A334="","",INDEX(Реестр!$D$2:$D$401,MATCH($A334,Реестр!$W$2:$W$401,0)))</f>
        <v/>
      </c>
      <c r="E334" s="24" t="str">
        <f aca="false">IF($A334="","",INDEX(Реестр!$E$2:$E$401,MATCH($A334,Реестр!$W$2:$W$401,0)))</f>
        <v/>
      </c>
      <c r="F334" s="24" t="str">
        <f aca="false">IF($A334="","",INDEX(Реестр!$J$2:$J$401,MATCH($A334,Реестр!$W$2:$W$401,0)))</f>
        <v/>
      </c>
      <c r="G334" s="24" t="str">
        <f aca="false">IF($A334="","",INDEX(Реестр!$F$2:$F$401,MATCH($A334,Реестр!$W$2:$W$401,0)))</f>
        <v/>
      </c>
      <c r="H334" s="24" t="str">
        <f aca="false">IF($A334="","",INDEX(Реестр!$G$2:$G$401,MATCH($A334,Реестр!$W$2:$W$401,0)))</f>
        <v/>
      </c>
      <c r="I334" s="24" t="str">
        <f aca="false">IF($A334="","",INDEX(Реестр!$H$2:$H$401,MATCH($A334,Реестр!$W$2:$W$401,0)))</f>
        <v/>
      </c>
      <c r="J334" s="24" t="str">
        <f aca="false">IF($A334="","",INDEX(Реестр!$I$2:$I$401,MATCH($A334,Реестр!$W$2:$W$401,0)))</f>
        <v/>
      </c>
    </row>
    <row r="335" customFormat="false" ht="15" hidden="false" customHeight="false" outlineLevel="0" collapsed="false">
      <c r="A335" s="21" t="str">
        <f aca="false">IF(ROWS(A$5:A335)&lt;=MAX(Реестр!$W$2:$W$401),ROWS(A$5:A335),"")</f>
        <v/>
      </c>
      <c r="B335" s="24" t="str">
        <f aca="false">IF($A335="","",INDEX(Реестр!$B$2:$B$401,MATCH($A335,Реестр!$W$2:$W$401,0)))</f>
        <v/>
      </c>
      <c r="C335" s="24" t="str">
        <f aca="false">IF($A335="","",INDEX(Реестр!$C$2:$C$401,MATCH($A335,Реестр!$W$2:$W$401,0)))</f>
        <v/>
      </c>
      <c r="D335" s="24" t="str">
        <f aca="false">IF($A335="","",INDEX(Реестр!$D$2:$D$401,MATCH($A335,Реестр!$W$2:$W$401,0)))</f>
        <v/>
      </c>
      <c r="E335" s="24" t="str">
        <f aca="false">IF($A335="","",INDEX(Реестр!$E$2:$E$401,MATCH($A335,Реестр!$W$2:$W$401,0)))</f>
        <v/>
      </c>
      <c r="F335" s="24" t="str">
        <f aca="false">IF($A335="","",INDEX(Реестр!$J$2:$J$401,MATCH($A335,Реестр!$W$2:$W$401,0)))</f>
        <v/>
      </c>
      <c r="G335" s="24" t="str">
        <f aca="false">IF($A335="","",INDEX(Реестр!$F$2:$F$401,MATCH($A335,Реестр!$W$2:$W$401,0)))</f>
        <v/>
      </c>
      <c r="H335" s="24" t="str">
        <f aca="false">IF($A335="","",INDEX(Реестр!$G$2:$G$401,MATCH($A335,Реестр!$W$2:$W$401,0)))</f>
        <v/>
      </c>
      <c r="I335" s="24" t="str">
        <f aca="false">IF($A335="","",INDEX(Реестр!$H$2:$H$401,MATCH($A335,Реестр!$W$2:$W$401,0)))</f>
        <v/>
      </c>
      <c r="J335" s="24" t="str">
        <f aca="false">IF($A335="","",INDEX(Реестр!$I$2:$I$401,MATCH($A335,Реестр!$W$2:$W$401,0)))</f>
        <v/>
      </c>
    </row>
    <row r="336" customFormat="false" ht="15" hidden="false" customHeight="false" outlineLevel="0" collapsed="false">
      <c r="A336" s="21" t="str">
        <f aca="false">IF(ROWS(A$5:A336)&lt;=MAX(Реестр!$W$2:$W$401),ROWS(A$5:A336),"")</f>
        <v/>
      </c>
      <c r="B336" s="24" t="str">
        <f aca="false">IF($A336="","",INDEX(Реестр!$B$2:$B$401,MATCH($A336,Реестр!$W$2:$W$401,0)))</f>
        <v/>
      </c>
      <c r="C336" s="24" t="str">
        <f aca="false">IF($A336="","",INDEX(Реестр!$C$2:$C$401,MATCH($A336,Реестр!$W$2:$W$401,0)))</f>
        <v/>
      </c>
      <c r="D336" s="24" t="str">
        <f aca="false">IF($A336="","",INDEX(Реестр!$D$2:$D$401,MATCH($A336,Реестр!$W$2:$W$401,0)))</f>
        <v/>
      </c>
      <c r="E336" s="24" t="str">
        <f aca="false">IF($A336="","",INDEX(Реестр!$E$2:$E$401,MATCH($A336,Реестр!$W$2:$W$401,0)))</f>
        <v/>
      </c>
      <c r="F336" s="24" t="str">
        <f aca="false">IF($A336="","",INDEX(Реестр!$J$2:$J$401,MATCH($A336,Реестр!$W$2:$W$401,0)))</f>
        <v/>
      </c>
      <c r="G336" s="24" t="str">
        <f aca="false">IF($A336="","",INDEX(Реестр!$F$2:$F$401,MATCH($A336,Реестр!$W$2:$W$401,0)))</f>
        <v/>
      </c>
      <c r="H336" s="24" t="str">
        <f aca="false">IF($A336="","",INDEX(Реестр!$G$2:$G$401,MATCH($A336,Реестр!$W$2:$W$401,0)))</f>
        <v/>
      </c>
      <c r="I336" s="24" t="str">
        <f aca="false">IF($A336="","",INDEX(Реестр!$H$2:$H$401,MATCH($A336,Реестр!$W$2:$W$401,0)))</f>
        <v/>
      </c>
      <c r="J336" s="24" t="str">
        <f aca="false">IF($A336="","",INDEX(Реестр!$I$2:$I$401,MATCH($A336,Реестр!$W$2:$W$401,0)))</f>
        <v/>
      </c>
    </row>
    <row r="337" customFormat="false" ht="15" hidden="false" customHeight="false" outlineLevel="0" collapsed="false">
      <c r="A337" s="21" t="str">
        <f aca="false">IF(ROWS(A$5:A337)&lt;=MAX(Реестр!$W$2:$W$401),ROWS(A$5:A337),"")</f>
        <v/>
      </c>
      <c r="B337" s="24" t="str">
        <f aca="false">IF($A337="","",INDEX(Реестр!$B$2:$B$401,MATCH($A337,Реестр!$W$2:$W$401,0)))</f>
        <v/>
      </c>
      <c r="C337" s="24" t="str">
        <f aca="false">IF($A337="","",INDEX(Реестр!$C$2:$C$401,MATCH($A337,Реестр!$W$2:$W$401,0)))</f>
        <v/>
      </c>
      <c r="D337" s="24" t="str">
        <f aca="false">IF($A337="","",INDEX(Реестр!$D$2:$D$401,MATCH($A337,Реестр!$W$2:$W$401,0)))</f>
        <v/>
      </c>
      <c r="E337" s="24" t="str">
        <f aca="false">IF($A337="","",INDEX(Реестр!$E$2:$E$401,MATCH($A337,Реестр!$W$2:$W$401,0)))</f>
        <v/>
      </c>
      <c r="F337" s="24" t="str">
        <f aca="false">IF($A337="","",INDEX(Реестр!$J$2:$J$401,MATCH($A337,Реестр!$W$2:$W$401,0)))</f>
        <v/>
      </c>
      <c r="G337" s="24" t="str">
        <f aca="false">IF($A337="","",INDEX(Реестр!$F$2:$F$401,MATCH($A337,Реестр!$W$2:$W$401,0)))</f>
        <v/>
      </c>
      <c r="H337" s="24" t="str">
        <f aca="false">IF($A337="","",INDEX(Реестр!$G$2:$G$401,MATCH($A337,Реестр!$W$2:$W$401,0)))</f>
        <v/>
      </c>
      <c r="I337" s="24" t="str">
        <f aca="false">IF($A337="","",INDEX(Реестр!$H$2:$H$401,MATCH($A337,Реестр!$W$2:$W$401,0)))</f>
        <v/>
      </c>
      <c r="J337" s="24" t="str">
        <f aca="false">IF($A337="","",INDEX(Реестр!$I$2:$I$401,MATCH($A337,Реестр!$W$2:$W$401,0)))</f>
        <v/>
      </c>
    </row>
    <row r="338" customFormat="false" ht="15" hidden="false" customHeight="false" outlineLevel="0" collapsed="false">
      <c r="A338" s="21" t="str">
        <f aca="false">IF(ROWS(A$5:A338)&lt;=MAX(Реестр!$W$2:$W$401),ROWS(A$5:A338),"")</f>
        <v/>
      </c>
      <c r="B338" s="24" t="str">
        <f aca="false">IF($A338="","",INDEX(Реестр!$B$2:$B$401,MATCH($A338,Реестр!$W$2:$W$401,0)))</f>
        <v/>
      </c>
      <c r="C338" s="24" t="str">
        <f aca="false">IF($A338="","",INDEX(Реестр!$C$2:$C$401,MATCH($A338,Реестр!$W$2:$W$401,0)))</f>
        <v/>
      </c>
      <c r="D338" s="24" t="str">
        <f aca="false">IF($A338="","",INDEX(Реестр!$D$2:$D$401,MATCH($A338,Реестр!$W$2:$W$401,0)))</f>
        <v/>
      </c>
      <c r="E338" s="24" t="str">
        <f aca="false">IF($A338="","",INDEX(Реестр!$E$2:$E$401,MATCH($A338,Реестр!$W$2:$W$401,0)))</f>
        <v/>
      </c>
      <c r="F338" s="24" t="str">
        <f aca="false">IF($A338="","",INDEX(Реестр!$J$2:$J$401,MATCH($A338,Реестр!$W$2:$W$401,0)))</f>
        <v/>
      </c>
      <c r="G338" s="24" t="str">
        <f aca="false">IF($A338="","",INDEX(Реестр!$F$2:$F$401,MATCH($A338,Реестр!$W$2:$W$401,0)))</f>
        <v/>
      </c>
      <c r="H338" s="24" t="str">
        <f aca="false">IF($A338="","",INDEX(Реестр!$G$2:$G$401,MATCH($A338,Реестр!$W$2:$W$401,0)))</f>
        <v/>
      </c>
      <c r="I338" s="24" t="str">
        <f aca="false">IF($A338="","",INDEX(Реестр!$H$2:$H$401,MATCH($A338,Реестр!$W$2:$W$401,0)))</f>
        <v/>
      </c>
      <c r="J338" s="24" t="str">
        <f aca="false">IF($A338="","",INDEX(Реестр!$I$2:$I$401,MATCH($A338,Реестр!$W$2:$W$401,0)))</f>
        <v/>
      </c>
    </row>
    <row r="339" customFormat="false" ht="15" hidden="false" customHeight="false" outlineLevel="0" collapsed="false">
      <c r="A339" s="21" t="str">
        <f aca="false">IF(ROWS(A$5:A339)&lt;=MAX(Реестр!$W$2:$W$401),ROWS(A$5:A339),"")</f>
        <v/>
      </c>
      <c r="B339" s="24" t="str">
        <f aca="false">IF($A339="","",INDEX(Реестр!$B$2:$B$401,MATCH($A339,Реестр!$W$2:$W$401,0)))</f>
        <v/>
      </c>
      <c r="C339" s="24" t="str">
        <f aca="false">IF($A339="","",INDEX(Реестр!$C$2:$C$401,MATCH($A339,Реестр!$W$2:$W$401,0)))</f>
        <v/>
      </c>
      <c r="D339" s="24" t="str">
        <f aca="false">IF($A339="","",INDEX(Реестр!$D$2:$D$401,MATCH($A339,Реестр!$W$2:$W$401,0)))</f>
        <v/>
      </c>
      <c r="E339" s="24" t="str">
        <f aca="false">IF($A339="","",INDEX(Реестр!$E$2:$E$401,MATCH($A339,Реестр!$W$2:$W$401,0)))</f>
        <v/>
      </c>
      <c r="F339" s="24" t="str">
        <f aca="false">IF($A339="","",INDEX(Реестр!$J$2:$J$401,MATCH($A339,Реестр!$W$2:$W$401,0)))</f>
        <v/>
      </c>
      <c r="G339" s="24" t="str">
        <f aca="false">IF($A339="","",INDEX(Реестр!$F$2:$F$401,MATCH($A339,Реестр!$W$2:$W$401,0)))</f>
        <v/>
      </c>
      <c r="H339" s="24" t="str">
        <f aca="false">IF($A339="","",INDEX(Реестр!$G$2:$G$401,MATCH($A339,Реестр!$W$2:$W$401,0)))</f>
        <v/>
      </c>
      <c r="I339" s="24" t="str">
        <f aca="false">IF($A339="","",INDEX(Реестр!$H$2:$H$401,MATCH($A339,Реестр!$W$2:$W$401,0)))</f>
        <v/>
      </c>
      <c r="J339" s="24" t="str">
        <f aca="false">IF($A339="","",INDEX(Реестр!$I$2:$I$401,MATCH($A339,Реестр!$W$2:$W$401,0)))</f>
        <v/>
      </c>
    </row>
    <row r="340" customFormat="false" ht="15" hidden="false" customHeight="false" outlineLevel="0" collapsed="false">
      <c r="A340" s="21" t="str">
        <f aca="false">IF(ROWS(A$5:A340)&lt;=MAX(Реестр!$W$2:$W$401),ROWS(A$5:A340),"")</f>
        <v/>
      </c>
      <c r="B340" s="24" t="str">
        <f aca="false">IF($A340="","",INDEX(Реестр!$B$2:$B$401,MATCH($A340,Реестр!$W$2:$W$401,0)))</f>
        <v/>
      </c>
      <c r="C340" s="24" t="str">
        <f aca="false">IF($A340="","",INDEX(Реестр!$C$2:$C$401,MATCH($A340,Реестр!$W$2:$W$401,0)))</f>
        <v/>
      </c>
      <c r="D340" s="24" t="str">
        <f aca="false">IF($A340="","",INDEX(Реестр!$D$2:$D$401,MATCH($A340,Реестр!$W$2:$W$401,0)))</f>
        <v/>
      </c>
      <c r="E340" s="24" t="str">
        <f aca="false">IF($A340="","",INDEX(Реестр!$E$2:$E$401,MATCH($A340,Реестр!$W$2:$W$401,0)))</f>
        <v/>
      </c>
      <c r="F340" s="24" t="str">
        <f aca="false">IF($A340="","",INDEX(Реестр!$J$2:$J$401,MATCH($A340,Реестр!$W$2:$W$401,0)))</f>
        <v/>
      </c>
      <c r="G340" s="24" t="str">
        <f aca="false">IF($A340="","",INDEX(Реестр!$F$2:$F$401,MATCH($A340,Реестр!$W$2:$W$401,0)))</f>
        <v/>
      </c>
      <c r="H340" s="24" t="str">
        <f aca="false">IF($A340="","",INDEX(Реестр!$G$2:$G$401,MATCH($A340,Реестр!$W$2:$W$401,0)))</f>
        <v/>
      </c>
      <c r="I340" s="24" t="str">
        <f aca="false">IF($A340="","",INDEX(Реестр!$H$2:$H$401,MATCH($A340,Реестр!$W$2:$W$401,0)))</f>
        <v/>
      </c>
      <c r="J340" s="24" t="str">
        <f aca="false">IF($A340="","",INDEX(Реестр!$I$2:$I$401,MATCH($A340,Реестр!$W$2:$W$401,0)))</f>
        <v/>
      </c>
    </row>
    <row r="341" customFormat="false" ht="15" hidden="false" customHeight="false" outlineLevel="0" collapsed="false">
      <c r="A341" s="21" t="str">
        <f aca="false">IF(ROWS(A$5:A341)&lt;=MAX(Реестр!$W$2:$W$401),ROWS(A$5:A341),"")</f>
        <v/>
      </c>
      <c r="B341" s="24" t="str">
        <f aca="false">IF($A341="","",INDEX(Реестр!$B$2:$B$401,MATCH($A341,Реестр!$W$2:$W$401,0)))</f>
        <v/>
      </c>
      <c r="C341" s="24" t="str">
        <f aca="false">IF($A341="","",INDEX(Реестр!$C$2:$C$401,MATCH($A341,Реестр!$W$2:$W$401,0)))</f>
        <v/>
      </c>
      <c r="D341" s="24" t="str">
        <f aca="false">IF($A341="","",INDEX(Реестр!$D$2:$D$401,MATCH($A341,Реестр!$W$2:$W$401,0)))</f>
        <v/>
      </c>
      <c r="E341" s="24" t="str">
        <f aca="false">IF($A341="","",INDEX(Реестр!$E$2:$E$401,MATCH($A341,Реестр!$W$2:$W$401,0)))</f>
        <v/>
      </c>
      <c r="F341" s="24" t="str">
        <f aca="false">IF($A341="","",INDEX(Реестр!$J$2:$J$401,MATCH($A341,Реестр!$W$2:$W$401,0)))</f>
        <v/>
      </c>
      <c r="G341" s="24" t="str">
        <f aca="false">IF($A341="","",INDEX(Реестр!$F$2:$F$401,MATCH($A341,Реестр!$W$2:$W$401,0)))</f>
        <v/>
      </c>
      <c r="H341" s="24" t="str">
        <f aca="false">IF($A341="","",INDEX(Реестр!$G$2:$G$401,MATCH($A341,Реестр!$W$2:$W$401,0)))</f>
        <v/>
      </c>
      <c r="I341" s="24" t="str">
        <f aca="false">IF($A341="","",INDEX(Реестр!$H$2:$H$401,MATCH($A341,Реестр!$W$2:$W$401,0)))</f>
        <v/>
      </c>
      <c r="J341" s="24" t="str">
        <f aca="false">IF($A341="","",INDEX(Реестр!$I$2:$I$401,MATCH($A341,Реестр!$W$2:$W$401,0)))</f>
        <v/>
      </c>
    </row>
    <row r="342" customFormat="false" ht="15" hidden="false" customHeight="false" outlineLevel="0" collapsed="false">
      <c r="A342" s="21" t="str">
        <f aca="false">IF(ROWS(A$5:A342)&lt;=MAX(Реестр!$W$2:$W$401),ROWS(A$5:A342),"")</f>
        <v/>
      </c>
      <c r="B342" s="24" t="str">
        <f aca="false">IF($A342="","",INDEX(Реестр!$B$2:$B$401,MATCH($A342,Реестр!$W$2:$W$401,0)))</f>
        <v/>
      </c>
      <c r="C342" s="24" t="str">
        <f aca="false">IF($A342="","",INDEX(Реестр!$C$2:$C$401,MATCH($A342,Реестр!$W$2:$W$401,0)))</f>
        <v/>
      </c>
      <c r="D342" s="24" t="str">
        <f aca="false">IF($A342="","",INDEX(Реестр!$D$2:$D$401,MATCH($A342,Реестр!$W$2:$W$401,0)))</f>
        <v/>
      </c>
      <c r="E342" s="24" t="str">
        <f aca="false">IF($A342="","",INDEX(Реестр!$E$2:$E$401,MATCH($A342,Реестр!$W$2:$W$401,0)))</f>
        <v/>
      </c>
      <c r="F342" s="24" t="str">
        <f aca="false">IF($A342="","",INDEX(Реестр!$J$2:$J$401,MATCH($A342,Реестр!$W$2:$W$401,0)))</f>
        <v/>
      </c>
      <c r="G342" s="24" t="str">
        <f aca="false">IF($A342="","",INDEX(Реестр!$F$2:$F$401,MATCH($A342,Реестр!$W$2:$W$401,0)))</f>
        <v/>
      </c>
      <c r="H342" s="24" t="str">
        <f aca="false">IF($A342="","",INDEX(Реестр!$G$2:$G$401,MATCH($A342,Реестр!$W$2:$W$401,0)))</f>
        <v/>
      </c>
      <c r="I342" s="24" t="str">
        <f aca="false">IF($A342="","",INDEX(Реестр!$H$2:$H$401,MATCH($A342,Реестр!$W$2:$W$401,0)))</f>
        <v/>
      </c>
      <c r="J342" s="24" t="str">
        <f aca="false">IF($A342="","",INDEX(Реестр!$I$2:$I$401,MATCH($A342,Реестр!$W$2:$W$401,0)))</f>
        <v/>
      </c>
    </row>
    <row r="343" customFormat="false" ht="15" hidden="false" customHeight="false" outlineLevel="0" collapsed="false">
      <c r="A343" s="21" t="str">
        <f aca="false">IF(ROWS(A$5:A343)&lt;=MAX(Реестр!$W$2:$W$401),ROWS(A$5:A343),"")</f>
        <v/>
      </c>
      <c r="B343" s="24" t="str">
        <f aca="false">IF($A343="","",INDEX(Реестр!$B$2:$B$401,MATCH($A343,Реестр!$W$2:$W$401,0)))</f>
        <v/>
      </c>
      <c r="C343" s="24" t="str">
        <f aca="false">IF($A343="","",INDEX(Реестр!$C$2:$C$401,MATCH($A343,Реестр!$W$2:$W$401,0)))</f>
        <v/>
      </c>
      <c r="D343" s="24" t="str">
        <f aca="false">IF($A343="","",INDEX(Реестр!$D$2:$D$401,MATCH($A343,Реестр!$W$2:$W$401,0)))</f>
        <v/>
      </c>
      <c r="E343" s="24" t="str">
        <f aca="false">IF($A343="","",INDEX(Реестр!$E$2:$E$401,MATCH($A343,Реестр!$W$2:$W$401,0)))</f>
        <v/>
      </c>
      <c r="F343" s="24" t="str">
        <f aca="false">IF($A343="","",INDEX(Реестр!$J$2:$J$401,MATCH($A343,Реестр!$W$2:$W$401,0)))</f>
        <v/>
      </c>
      <c r="G343" s="24" t="str">
        <f aca="false">IF($A343="","",INDEX(Реестр!$F$2:$F$401,MATCH($A343,Реестр!$W$2:$W$401,0)))</f>
        <v/>
      </c>
      <c r="H343" s="24" t="str">
        <f aca="false">IF($A343="","",INDEX(Реестр!$G$2:$G$401,MATCH($A343,Реестр!$W$2:$W$401,0)))</f>
        <v/>
      </c>
      <c r="I343" s="24" t="str">
        <f aca="false">IF($A343="","",INDEX(Реестр!$H$2:$H$401,MATCH($A343,Реестр!$W$2:$W$401,0)))</f>
        <v/>
      </c>
      <c r="J343" s="24" t="str">
        <f aca="false">IF($A343="","",INDEX(Реестр!$I$2:$I$401,MATCH($A343,Реестр!$W$2:$W$401,0)))</f>
        <v/>
      </c>
    </row>
    <row r="344" customFormat="false" ht="15" hidden="false" customHeight="false" outlineLevel="0" collapsed="false">
      <c r="A344" s="21" t="str">
        <f aca="false">IF(ROWS(A$5:A344)&lt;=MAX(Реестр!$W$2:$W$401),ROWS(A$5:A344),"")</f>
        <v/>
      </c>
      <c r="B344" s="24" t="str">
        <f aca="false">IF($A344="","",INDEX(Реестр!$B$2:$B$401,MATCH($A344,Реестр!$W$2:$W$401,0)))</f>
        <v/>
      </c>
      <c r="C344" s="24" t="str">
        <f aca="false">IF($A344="","",INDEX(Реестр!$C$2:$C$401,MATCH($A344,Реестр!$W$2:$W$401,0)))</f>
        <v/>
      </c>
      <c r="D344" s="24" t="str">
        <f aca="false">IF($A344="","",INDEX(Реестр!$D$2:$D$401,MATCH($A344,Реестр!$W$2:$W$401,0)))</f>
        <v/>
      </c>
      <c r="E344" s="24" t="str">
        <f aca="false">IF($A344="","",INDEX(Реестр!$E$2:$E$401,MATCH($A344,Реестр!$W$2:$W$401,0)))</f>
        <v/>
      </c>
      <c r="F344" s="24" t="str">
        <f aca="false">IF($A344="","",INDEX(Реестр!$J$2:$J$401,MATCH($A344,Реестр!$W$2:$W$401,0)))</f>
        <v/>
      </c>
      <c r="G344" s="24" t="str">
        <f aca="false">IF($A344="","",INDEX(Реестр!$F$2:$F$401,MATCH($A344,Реестр!$W$2:$W$401,0)))</f>
        <v/>
      </c>
      <c r="H344" s="24" t="str">
        <f aca="false">IF($A344="","",INDEX(Реестр!$G$2:$G$401,MATCH($A344,Реестр!$W$2:$W$401,0)))</f>
        <v/>
      </c>
      <c r="I344" s="24" t="str">
        <f aca="false">IF($A344="","",INDEX(Реестр!$H$2:$H$401,MATCH($A344,Реестр!$W$2:$W$401,0)))</f>
        <v/>
      </c>
      <c r="J344" s="24" t="str">
        <f aca="false">IF($A344="","",INDEX(Реестр!$I$2:$I$401,MATCH($A344,Реестр!$W$2:$W$401,0)))</f>
        <v/>
      </c>
    </row>
    <row r="345" customFormat="false" ht="15" hidden="false" customHeight="false" outlineLevel="0" collapsed="false">
      <c r="A345" s="21" t="str">
        <f aca="false">IF(ROWS(A$5:A345)&lt;=MAX(Реестр!$W$2:$W$401),ROWS(A$5:A345),"")</f>
        <v/>
      </c>
      <c r="B345" s="24" t="str">
        <f aca="false">IF($A345="","",INDEX(Реестр!$B$2:$B$401,MATCH($A345,Реестр!$W$2:$W$401,0)))</f>
        <v/>
      </c>
      <c r="C345" s="24" t="str">
        <f aca="false">IF($A345="","",INDEX(Реестр!$C$2:$C$401,MATCH($A345,Реестр!$W$2:$W$401,0)))</f>
        <v/>
      </c>
      <c r="D345" s="24" t="str">
        <f aca="false">IF($A345="","",INDEX(Реестр!$D$2:$D$401,MATCH($A345,Реестр!$W$2:$W$401,0)))</f>
        <v/>
      </c>
      <c r="E345" s="24" t="str">
        <f aca="false">IF($A345="","",INDEX(Реестр!$E$2:$E$401,MATCH($A345,Реестр!$W$2:$W$401,0)))</f>
        <v/>
      </c>
      <c r="F345" s="24" t="str">
        <f aca="false">IF($A345="","",INDEX(Реестр!$J$2:$J$401,MATCH($A345,Реестр!$W$2:$W$401,0)))</f>
        <v/>
      </c>
      <c r="G345" s="24" t="str">
        <f aca="false">IF($A345="","",INDEX(Реестр!$F$2:$F$401,MATCH($A345,Реестр!$W$2:$W$401,0)))</f>
        <v/>
      </c>
      <c r="H345" s="24" t="str">
        <f aca="false">IF($A345="","",INDEX(Реестр!$G$2:$G$401,MATCH($A345,Реестр!$W$2:$W$401,0)))</f>
        <v/>
      </c>
      <c r="I345" s="24" t="str">
        <f aca="false">IF($A345="","",INDEX(Реестр!$H$2:$H$401,MATCH($A345,Реестр!$W$2:$W$401,0)))</f>
        <v/>
      </c>
      <c r="J345" s="24" t="str">
        <f aca="false">IF($A345="","",INDEX(Реестр!$I$2:$I$401,MATCH($A345,Реестр!$W$2:$W$401,0)))</f>
        <v/>
      </c>
    </row>
    <row r="346" customFormat="false" ht="15" hidden="false" customHeight="false" outlineLevel="0" collapsed="false">
      <c r="A346" s="21" t="str">
        <f aca="false">IF(ROWS(A$5:A346)&lt;=MAX(Реестр!$W$2:$W$401),ROWS(A$5:A346),"")</f>
        <v/>
      </c>
      <c r="B346" s="24" t="str">
        <f aca="false">IF($A346="","",INDEX(Реестр!$B$2:$B$401,MATCH($A346,Реестр!$W$2:$W$401,0)))</f>
        <v/>
      </c>
      <c r="C346" s="24" t="str">
        <f aca="false">IF($A346="","",INDEX(Реестр!$C$2:$C$401,MATCH($A346,Реестр!$W$2:$W$401,0)))</f>
        <v/>
      </c>
      <c r="D346" s="24" t="str">
        <f aca="false">IF($A346="","",INDEX(Реестр!$D$2:$D$401,MATCH($A346,Реестр!$W$2:$W$401,0)))</f>
        <v/>
      </c>
      <c r="E346" s="24" t="str">
        <f aca="false">IF($A346="","",INDEX(Реестр!$E$2:$E$401,MATCH($A346,Реестр!$W$2:$W$401,0)))</f>
        <v/>
      </c>
      <c r="F346" s="24" t="str">
        <f aca="false">IF($A346="","",INDEX(Реестр!$J$2:$J$401,MATCH($A346,Реестр!$W$2:$W$401,0)))</f>
        <v/>
      </c>
      <c r="G346" s="24" t="str">
        <f aca="false">IF($A346="","",INDEX(Реестр!$F$2:$F$401,MATCH($A346,Реестр!$W$2:$W$401,0)))</f>
        <v/>
      </c>
      <c r="H346" s="24" t="str">
        <f aca="false">IF($A346="","",INDEX(Реестр!$G$2:$G$401,MATCH($A346,Реестр!$W$2:$W$401,0)))</f>
        <v/>
      </c>
      <c r="I346" s="24" t="str">
        <f aca="false">IF($A346="","",INDEX(Реестр!$H$2:$H$401,MATCH($A346,Реестр!$W$2:$W$401,0)))</f>
        <v/>
      </c>
      <c r="J346" s="24" t="str">
        <f aca="false">IF($A346="","",INDEX(Реестр!$I$2:$I$401,MATCH($A346,Реестр!$W$2:$W$401,0)))</f>
        <v/>
      </c>
    </row>
    <row r="347" customFormat="false" ht="15" hidden="false" customHeight="false" outlineLevel="0" collapsed="false">
      <c r="A347" s="21" t="str">
        <f aca="false">IF(ROWS(A$5:A347)&lt;=MAX(Реестр!$W$2:$W$401),ROWS(A$5:A347),"")</f>
        <v/>
      </c>
      <c r="B347" s="24" t="str">
        <f aca="false">IF($A347="","",INDEX(Реестр!$B$2:$B$401,MATCH($A347,Реестр!$W$2:$W$401,0)))</f>
        <v/>
      </c>
      <c r="C347" s="24" t="str">
        <f aca="false">IF($A347="","",INDEX(Реестр!$C$2:$C$401,MATCH($A347,Реестр!$W$2:$W$401,0)))</f>
        <v/>
      </c>
      <c r="D347" s="24" t="str">
        <f aca="false">IF($A347="","",INDEX(Реестр!$D$2:$D$401,MATCH($A347,Реестр!$W$2:$W$401,0)))</f>
        <v/>
      </c>
      <c r="E347" s="24" t="str">
        <f aca="false">IF($A347="","",INDEX(Реестр!$E$2:$E$401,MATCH($A347,Реестр!$W$2:$W$401,0)))</f>
        <v/>
      </c>
      <c r="F347" s="24" t="str">
        <f aca="false">IF($A347="","",INDEX(Реестр!$J$2:$J$401,MATCH($A347,Реестр!$W$2:$W$401,0)))</f>
        <v/>
      </c>
      <c r="G347" s="24" t="str">
        <f aca="false">IF($A347="","",INDEX(Реестр!$F$2:$F$401,MATCH($A347,Реестр!$W$2:$W$401,0)))</f>
        <v/>
      </c>
      <c r="H347" s="24" t="str">
        <f aca="false">IF($A347="","",INDEX(Реестр!$G$2:$G$401,MATCH($A347,Реестр!$W$2:$W$401,0)))</f>
        <v/>
      </c>
      <c r="I347" s="24" t="str">
        <f aca="false">IF($A347="","",INDEX(Реестр!$H$2:$H$401,MATCH($A347,Реестр!$W$2:$W$401,0)))</f>
        <v/>
      </c>
      <c r="J347" s="24" t="str">
        <f aca="false">IF($A347="","",INDEX(Реестр!$I$2:$I$401,MATCH($A347,Реестр!$W$2:$W$401,0)))</f>
        <v/>
      </c>
    </row>
    <row r="348" customFormat="false" ht="15" hidden="false" customHeight="false" outlineLevel="0" collapsed="false">
      <c r="A348" s="21" t="str">
        <f aca="false">IF(ROWS(A$5:A348)&lt;=MAX(Реестр!$W$2:$W$401),ROWS(A$5:A348),"")</f>
        <v/>
      </c>
      <c r="B348" s="24" t="str">
        <f aca="false">IF($A348="","",INDEX(Реестр!$B$2:$B$401,MATCH($A348,Реестр!$W$2:$W$401,0)))</f>
        <v/>
      </c>
      <c r="C348" s="24" t="str">
        <f aca="false">IF($A348="","",INDEX(Реестр!$C$2:$C$401,MATCH($A348,Реестр!$W$2:$W$401,0)))</f>
        <v/>
      </c>
      <c r="D348" s="24" t="str">
        <f aca="false">IF($A348="","",INDEX(Реестр!$D$2:$D$401,MATCH($A348,Реестр!$W$2:$W$401,0)))</f>
        <v/>
      </c>
      <c r="E348" s="24" t="str">
        <f aca="false">IF($A348="","",INDEX(Реестр!$E$2:$E$401,MATCH($A348,Реестр!$W$2:$W$401,0)))</f>
        <v/>
      </c>
      <c r="F348" s="24" t="str">
        <f aca="false">IF($A348="","",INDEX(Реестр!$J$2:$J$401,MATCH($A348,Реестр!$W$2:$W$401,0)))</f>
        <v/>
      </c>
      <c r="G348" s="24" t="str">
        <f aca="false">IF($A348="","",INDEX(Реестр!$F$2:$F$401,MATCH($A348,Реестр!$W$2:$W$401,0)))</f>
        <v/>
      </c>
      <c r="H348" s="24" t="str">
        <f aca="false">IF($A348="","",INDEX(Реестр!$G$2:$G$401,MATCH($A348,Реестр!$W$2:$W$401,0)))</f>
        <v/>
      </c>
      <c r="I348" s="24" t="str">
        <f aca="false">IF($A348="","",INDEX(Реестр!$H$2:$H$401,MATCH($A348,Реестр!$W$2:$W$401,0)))</f>
        <v/>
      </c>
      <c r="J348" s="24" t="str">
        <f aca="false">IF($A348="","",INDEX(Реестр!$I$2:$I$401,MATCH($A348,Реестр!$W$2:$W$401,0)))</f>
        <v/>
      </c>
    </row>
    <row r="349" customFormat="false" ht="15" hidden="false" customHeight="false" outlineLevel="0" collapsed="false">
      <c r="A349" s="21" t="str">
        <f aca="false">IF(ROWS(A$5:A349)&lt;=MAX(Реестр!$W$2:$W$401),ROWS(A$5:A349),"")</f>
        <v/>
      </c>
      <c r="B349" s="24" t="str">
        <f aca="false">IF($A349="","",INDEX(Реестр!$B$2:$B$401,MATCH($A349,Реестр!$W$2:$W$401,0)))</f>
        <v/>
      </c>
      <c r="C349" s="24" t="str">
        <f aca="false">IF($A349="","",INDEX(Реестр!$C$2:$C$401,MATCH($A349,Реестр!$W$2:$W$401,0)))</f>
        <v/>
      </c>
      <c r="D349" s="24" t="str">
        <f aca="false">IF($A349="","",INDEX(Реестр!$D$2:$D$401,MATCH($A349,Реестр!$W$2:$W$401,0)))</f>
        <v/>
      </c>
      <c r="E349" s="24" t="str">
        <f aca="false">IF($A349="","",INDEX(Реестр!$E$2:$E$401,MATCH($A349,Реестр!$W$2:$W$401,0)))</f>
        <v/>
      </c>
      <c r="F349" s="24" t="str">
        <f aca="false">IF($A349="","",INDEX(Реестр!$J$2:$J$401,MATCH($A349,Реестр!$W$2:$W$401,0)))</f>
        <v/>
      </c>
      <c r="G349" s="24" t="str">
        <f aca="false">IF($A349="","",INDEX(Реестр!$F$2:$F$401,MATCH($A349,Реестр!$W$2:$W$401,0)))</f>
        <v/>
      </c>
      <c r="H349" s="24" t="str">
        <f aca="false">IF($A349="","",INDEX(Реестр!$G$2:$G$401,MATCH($A349,Реестр!$W$2:$W$401,0)))</f>
        <v/>
      </c>
      <c r="I349" s="24" t="str">
        <f aca="false">IF($A349="","",INDEX(Реестр!$H$2:$H$401,MATCH($A349,Реестр!$W$2:$W$401,0)))</f>
        <v/>
      </c>
      <c r="J349" s="24" t="str">
        <f aca="false">IF($A349="","",INDEX(Реестр!$I$2:$I$401,MATCH($A349,Реестр!$W$2:$W$401,0)))</f>
        <v/>
      </c>
    </row>
    <row r="350" customFormat="false" ht="15" hidden="false" customHeight="false" outlineLevel="0" collapsed="false">
      <c r="A350" s="21" t="str">
        <f aca="false">IF(ROWS(A$5:A350)&lt;=MAX(Реестр!$W$2:$W$401),ROWS(A$5:A350),"")</f>
        <v/>
      </c>
      <c r="B350" s="24" t="str">
        <f aca="false">IF($A350="","",INDEX(Реестр!$B$2:$B$401,MATCH($A350,Реестр!$W$2:$W$401,0)))</f>
        <v/>
      </c>
      <c r="C350" s="24" t="str">
        <f aca="false">IF($A350="","",INDEX(Реестр!$C$2:$C$401,MATCH($A350,Реестр!$W$2:$W$401,0)))</f>
        <v/>
      </c>
      <c r="D350" s="24" t="str">
        <f aca="false">IF($A350="","",INDEX(Реестр!$D$2:$D$401,MATCH($A350,Реестр!$W$2:$W$401,0)))</f>
        <v/>
      </c>
      <c r="E350" s="24" t="str">
        <f aca="false">IF($A350="","",INDEX(Реестр!$E$2:$E$401,MATCH($A350,Реестр!$W$2:$W$401,0)))</f>
        <v/>
      </c>
      <c r="F350" s="24" t="str">
        <f aca="false">IF($A350="","",INDEX(Реестр!$J$2:$J$401,MATCH($A350,Реестр!$W$2:$W$401,0)))</f>
        <v/>
      </c>
      <c r="G350" s="24" t="str">
        <f aca="false">IF($A350="","",INDEX(Реестр!$F$2:$F$401,MATCH($A350,Реестр!$W$2:$W$401,0)))</f>
        <v/>
      </c>
      <c r="H350" s="24" t="str">
        <f aca="false">IF($A350="","",INDEX(Реестр!$G$2:$G$401,MATCH($A350,Реестр!$W$2:$W$401,0)))</f>
        <v/>
      </c>
      <c r="I350" s="24" t="str">
        <f aca="false">IF($A350="","",INDEX(Реестр!$H$2:$H$401,MATCH($A350,Реестр!$W$2:$W$401,0)))</f>
        <v/>
      </c>
      <c r="J350" s="24" t="str">
        <f aca="false">IF($A350="","",INDEX(Реестр!$I$2:$I$401,MATCH($A350,Реестр!$W$2:$W$401,0)))</f>
        <v/>
      </c>
    </row>
    <row r="351" customFormat="false" ht="15" hidden="false" customHeight="false" outlineLevel="0" collapsed="false">
      <c r="A351" s="21" t="str">
        <f aca="false">IF(ROWS(A$5:A351)&lt;=MAX(Реестр!$W$2:$W$401),ROWS(A$5:A351),"")</f>
        <v/>
      </c>
      <c r="B351" s="24" t="str">
        <f aca="false">IF($A351="","",INDEX(Реестр!$B$2:$B$401,MATCH($A351,Реестр!$W$2:$W$401,0)))</f>
        <v/>
      </c>
      <c r="C351" s="24" t="str">
        <f aca="false">IF($A351="","",INDEX(Реестр!$C$2:$C$401,MATCH($A351,Реестр!$W$2:$W$401,0)))</f>
        <v/>
      </c>
      <c r="D351" s="24" t="str">
        <f aca="false">IF($A351="","",INDEX(Реестр!$D$2:$D$401,MATCH($A351,Реестр!$W$2:$W$401,0)))</f>
        <v/>
      </c>
      <c r="E351" s="24" t="str">
        <f aca="false">IF($A351="","",INDEX(Реестр!$E$2:$E$401,MATCH($A351,Реестр!$W$2:$W$401,0)))</f>
        <v/>
      </c>
      <c r="F351" s="24" t="str">
        <f aca="false">IF($A351="","",INDEX(Реестр!$J$2:$J$401,MATCH($A351,Реестр!$W$2:$W$401,0)))</f>
        <v/>
      </c>
      <c r="G351" s="24" t="str">
        <f aca="false">IF($A351="","",INDEX(Реестр!$F$2:$F$401,MATCH($A351,Реестр!$W$2:$W$401,0)))</f>
        <v/>
      </c>
      <c r="H351" s="24" t="str">
        <f aca="false">IF($A351="","",INDEX(Реестр!$G$2:$G$401,MATCH($A351,Реестр!$W$2:$W$401,0)))</f>
        <v/>
      </c>
      <c r="I351" s="24" t="str">
        <f aca="false">IF($A351="","",INDEX(Реестр!$H$2:$H$401,MATCH($A351,Реестр!$W$2:$W$401,0)))</f>
        <v/>
      </c>
      <c r="J351" s="24" t="str">
        <f aca="false">IF($A351="","",INDEX(Реестр!$I$2:$I$401,MATCH($A351,Реестр!$W$2:$W$401,0)))</f>
        <v/>
      </c>
    </row>
    <row r="352" customFormat="false" ht="15" hidden="false" customHeight="false" outlineLevel="0" collapsed="false">
      <c r="A352" s="21" t="str">
        <f aca="false">IF(ROWS(A$5:A352)&lt;=MAX(Реестр!$W$2:$W$401),ROWS(A$5:A352),"")</f>
        <v/>
      </c>
      <c r="B352" s="24" t="str">
        <f aca="false">IF($A352="","",INDEX(Реестр!$B$2:$B$401,MATCH($A352,Реестр!$W$2:$W$401,0)))</f>
        <v/>
      </c>
      <c r="C352" s="24" t="str">
        <f aca="false">IF($A352="","",INDEX(Реестр!$C$2:$C$401,MATCH($A352,Реестр!$W$2:$W$401,0)))</f>
        <v/>
      </c>
      <c r="D352" s="24" t="str">
        <f aca="false">IF($A352="","",INDEX(Реестр!$D$2:$D$401,MATCH($A352,Реестр!$W$2:$W$401,0)))</f>
        <v/>
      </c>
      <c r="E352" s="24" t="str">
        <f aca="false">IF($A352="","",INDEX(Реестр!$E$2:$E$401,MATCH($A352,Реестр!$W$2:$W$401,0)))</f>
        <v/>
      </c>
      <c r="F352" s="24" t="str">
        <f aca="false">IF($A352="","",INDEX(Реестр!$J$2:$J$401,MATCH($A352,Реестр!$W$2:$W$401,0)))</f>
        <v/>
      </c>
      <c r="G352" s="24" t="str">
        <f aca="false">IF($A352="","",INDEX(Реестр!$F$2:$F$401,MATCH($A352,Реестр!$W$2:$W$401,0)))</f>
        <v/>
      </c>
      <c r="H352" s="24" t="str">
        <f aca="false">IF($A352="","",INDEX(Реестр!$G$2:$G$401,MATCH($A352,Реестр!$W$2:$W$401,0)))</f>
        <v/>
      </c>
      <c r="I352" s="24" t="str">
        <f aca="false">IF($A352="","",INDEX(Реестр!$H$2:$H$401,MATCH($A352,Реестр!$W$2:$W$401,0)))</f>
        <v/>
      </c>
      <c r="J352" s="24" t="str">
        <f aca="false">IF($A352="","",INDEX(Реестр!$I$2:$I$401,MATCH($A352,Реестр!$W$2:$W$401,0)))</f>
        <v/>
      </c>
    </row>
    <row r="353" customFormat="false" ht="15" hidden="false" customHeight="false" outlineLevel="0" collapsed="false">
      <c r="A353" s="21" t="str">
        <f aca="false">IF(ROWS(A$5:A353)&lt;=MAX(Реестр!$W$2:$W$401),ROWS(A$5:A353),"")</f>
        <v/>
      </c>
      <c r="B353" s="24" t="str">
        <f aca="false">IF($A353="","",INDEX(Реестр!$B$2:$B$401,MATCH($A353,Реестр!$W$2:$W$401,0)))</f>
        <v/>
      </c>
      <c r="C353" s="24" t="str">
        <f aca="false">IF($A353="","",INDEX(Реестр!$C$2:$C$401,MATCH($A353,Реестр!$W$2:$W$401,0)))</f>
        <v/>
      </c>
      <c r="D353" s="24" t="str">
        <f aca="false">IF($A353="","",INDEX(Реестр!$D$2:$D$401,MATCH($A353,Реестр!$W$2:$W$401,0)))</f>
        <v/>
      </c>
      <c r="E353" s="24" t="str">
        <f aca="false">IF($A353="","",INDEX(Реестр!$E$2:$E$401,MATCH($A353,Реестр!$W$2:$W$401,0)))</f>
        <v/>
      </c>
      <c r="F353" s="24" t="str">
        <f aca="false">IF($A353="","",INDEX(Реестр!$J$2:$J$401,MATCH($A353,Реестр!$W$2:$W$401,0)))</f>
        <v/>
      </c>
      <c r="G353" s="24" t="str">
        <f aca="false">IF($A353="","",INDEX(Реестр!$F$2:$F$401,MATCH($A353,Реестр!$W$2:$W$401,0)))</f>
        <v/>
      </c>
      <c r="H353" s="24" t="str">
        <f aca="false">IF($A353="","",INDEX(Реестр!$G$2:$G$401,MATCH($A353,Реестр!$W$2:$W$401,0)))</f>
        <v/>
      </c>
      <c r="I353" s="24" t="str">
        <f aca="false">IF($A353="","",INDEX(Реестр!$H$2:$H$401,MATCH($A353,Реестр!$W$2:$W$401,0)))</f>
        <v/>
      </c>
      <c r="J353" s="24" t="str">
        <f aca="false">IF($A353="","",INDEX(Реестр!$I$2:$I$401,MATCH($A353,Реестр!$W$2:$W$401,0)))</f>
        <v/>
      </c>
    </row>
    <row r="354" customFormat="false" ht="15" hidden="false" customHeight="false" outlineLevel="0" collapsed="false">
      <c r="A354" s="21" t="str">
        <f aca="false">IF(ROWS(A$5:A354)&lt;=MAX(Реестр!$W$2:$W$401),ROWS(A$5:A354),"")</f>
        <v/>
      </c>
      <c r="B354" s="24" t="str">
        <f aca="false">IF($A354="","",INDEX(Реестр!$B$2:$B$401,MATCH($A354,Реестр!$W$2:$W$401,0)))</f>
        <v/>
      </c>
      <c r="C354" s="24" t="str">
        <f aca="false">IF($A354="","",INDEX(Реестр!$C$2:$C$401,MATCH($A354,Реестр!$W$2:$W$401,0)))</f>
        <v/>
      </c>
      <c r="D354" s="24" t="str">
        <f aca="false">IF($A354="","",INDEX(Реестр!$D$2:$D$401,MATCH($A354,Реестр!$W$2:$W$401,0)))</f>
        <v/>
      </c>
      <c r="E354" s="24" t="str">
        <f aca="false">IF($A354="","",INDEX(Реестр!$E$2:$E$401,MATCH($A354,Реестр!$W$2:$W$401,0)))</f>
        <v/>
      </c>
      <c r="F354" s="24" t="str">
        <f aca="false">IF($A354="","",INDEX(Реестр!$J$2:$J$401,MATCH($A354,Реестр!$W$2:$W$401,0)))</f>
        <v/>
      </c>
      <c r="G354" s="24" t="str">
        <f aca="false">IF($A354="","",INDEX(Реестр!$F$2:$F$401,MATCH($A354,Реестр!$W$2:$W$401,0)))</f>
        <v/>
      </c>
      <c r="H354" s="24" t="str">
        <f aca="false">IF($A354="","",INDEX(Реестр!$G$2:$G$401,MATCH($A354,Реестр!$W$2:$W$401,0)))</f>
        <v/>
      </c>
      <c r="I354" s="24" t="str">
        <f aca="false">IF($A354="","",INDEX(Реестр!$H$2:$H$401,MATCH($A354,Реестр!$W$2:$W$401,0)))</f>
        <v/>
      </c>
      <c r="J354" s="24" t="str">
        <f aca="false">IF($A354="","",INDEX(Реестр!$I$2:$I$401,MATCH($A354,Реестр!$W$2:$W$401,0)))</f>
        <v/>
      </c>
    </row>
    <row r="355" customFormat="false" ht="15" hidden="false" customHeight="false" outlineLevel="0" collapsed="false">
      <c r="A355" s="21" t="str">
        <f aca="false">IF(ROWS(A$5:A355)&lt;=MAX(Реестр!$W$2:$W$401),ROWS(A$5:A355),"")</f>
        <v/>
      </c>
      <c r="B355" s="24" t="str">
        <f aca="false">IF($A355="","",INDEX(Реестр!$B$2:$B$401,MATCH($A355,Реестр!$W$2:$W$401,0)))</f>
        <v/>
      </c>
      <c r="C355" s="24" t="str">
        <f aca="false">IF($A355="","",INDEX(Реестр!$C$2:$C$401,MATCH($A355,Реестр!$W$2:$W$401,0)))</f>
        <v/>
      </c>
      <c r="D355" s="24" t="str">
        <f aca="false">IF($A355="","",INDEX(Реестр!$D$2:$D$401,MATCH($A355,Реестр!$W$2:$W$401,0)))</f>
        <v/>
      </c>
      <c r="E355" s="24" t="str">
        <f aca="false">IF($A355="","",INDEX(Реестр!$E$2:$E$401,MATCH($A355,Реестр!$W$2:$W$401,0)))</f>
        <v/>
      </c>
      <c r="F355" s="24" t="str">
        <f aca="false">IF($A355="","",INDEX(Реестр!$J$2:$J$401,MATCH($A355,Реестр!$W$2:$W$401,0)))</f>
        <v/>
      </c>
      <c r="G355" s="24" t="str">
        <f aca="false">IF($A355="","",INDEX(Реестр!$F$2:$F$401,MATCH($A355,Реестр!$W$2:$W$401,0)))</f>
        <v/>
      </c>
      <c r="H355" s="24" t="str">
        <f aca="false">IF($A355="","",INDEX(Реестр!$G$2:$G$401,MATCH($A355,Реестр!$W$2:$W$401,0)))</f>
        <v/>
      </c>
      <c r="I355" s="24" t="str">
        <f aca="false">IF($A355="","",INDEX(Реестр!$H$2:$H$401,MATCH($A355,Реестр!$W$2:$W$401,0)))</f>
        <v/>
      </c>
      <c r="J355" s="24" t="str">
        <f aca="false">IF($A355="","",INDEX(Реестр!$I$2:$I$401,MATCH($A355,Реестр!$W$2:$W$401,0)))</f>
        <v/>
      </c>
    </row>
    <row r="356" customFormat="false" ht="15" hidden="false" customHeight="false" outlineLevel="0" collapsed="false">
      <c r="A356" s="21" t="str">
        <f aca="false">IF(ROWS(A$5:A356)&lt;=MAX(Реестр!$W$2:$W$401),ROWS(A$5:A356),"")</f>
        <v/>
      </c>
      <c r="B356" s="24" t="str">
        <f aca="false">IF($A356="","",INDEX(Реестр!$B$2:$B$401,MATCH($A356,Реестр!$W$2:$W$401,0)))</f>
        <v/>
      </c>
      <c r="C356" s="24" t="str">
        <f aca="false">IF($A356="","",INDEX(Реестр!$C$2:$C$401,MATCH($A356,Реестр!$W$2:$W$401,0)))</f>
        <v/>
      </c>
      <c r="D356" s="24" t="str">
        <f aca="false">IF($A356="","",INDEX(Реестр!$D$2:$D$401,MATCH($A356,Реестр!$W$2:$W$401,0)))</f>
        <v/>
      </c>
      <c r="E356" s="24" t="str">
        <f aca="false">IF($A356="","",INDEX(Реестр!$E$2:$E$401,MATCH($A356,Реестр!$W$2:$W$401,0)))</f>
        <v/>
      </c>
      <c r="F356" s="24" t="str">
        <f aca="false">IF($A356="","",INDEX(Реестр!$J$2:$J$401,MATCH($A356,Реестр!$W$2:$W$401,0)))</f>
        <v/>
      </c>
      <c r="G356" s="24" t="str">
        <f aca="false">IF($A356="","",INDEX(Реестр!$F$2:$F$401,MATCH($A356,Реестр!$W$2:$W$401,0)))</f>
        <v/>
      </c>
      <c r="H356" s="24" t="str">
        <f aca="false">IF($A356="","",INDEX(Реестр!$G$2:$G$401,MATCH($A356,Реестр!$W$2:$W$401,0)))</f>
        <v/>
      </c>
      <c r="I356" s="24" t="str">
        <f aca="false">IF($A356="","",INDEX(Реестр!$H$2:$H$401,MATCH($A356,Реестр!$W$2:$W$401,0)))</f>
        <v/>
      </c>
      <c r="J356" s="24" t="str">
        <f aca="false">IF($A356="","",INDEX(Реестр!$I$2:$I$401,MATCH($A356,Реестр!$W$2:$W$401,0)))</f>
        <v/>
      </c>
    </row>
    <row r="357" customFormat="false" ht="15" hidden="false" customHeight="false" outlineLevel="0" collapsed="false">
      <c r="A357" s="21" t="str">
        <f aca="false">IF(ROWS(A$5:A357)&lt;=MAX(Реестр!$W$2:$W$401),ROWS(A$5:A357),"")</f>
        <v/>
      </c>
      <c r="B357" s="24" t="str">
        <f aca="false">IF($A357="","",INDEX(Реестр!$B$2:$B$401,MATCH($A357,Реестр!$W$2:$W$401,0)))</f>
        <v/>
      </c>
      <c r="C357" s="24" t="str">
        <f aca="false">IF($A357="","",INDEX(Реестр!$C$2:$C$401,MATCH($A357,Реестр!$W$2:$W$401,0)))</f>
        <v/>
      </c>
      <c r="D357" s="24" t="str">
        <f aca="false">IF($A357="","",INDEX(Реестр!$D$2:$D$401,MATCH($A357,Реестр!$W$2:$W$401,0)))</f>
        <v/>
      </c>
      <c r="E357" s="24" t="str">
        <f aca="false">IF($A357="","",INDEX(Реестр!$E$2:$E$401,MATCH($A357,Реестр!$W$2:$W$401,0)))</f>
        <v/>
      </c>
      <c r="F357" s="24" t="str">
        <f aca="false">IF($A357="","",INDEX(Реестр!$J$2:$J$401,MATCH($A357,Реестр!$W$2:$W$401,0)))</f>
        <v/>
      </c>
      <c r="G357" s="24" t="str">
        <f aca="false">IF($A357="","",INDEX(Реестр!$F$2:$F$401,MATCH($A357,Реестр!$W$2:$W$401,0)))</f>
        <v/>
      </c>
      <c r="H357" s="24" t="str">
        <f aca="false">IF($A357="","",INDEX(Реестр!$G$2:$G$401,MATCH($A357,Реестр!$W$2:$W$401,0)))</f>
        <v/>
      </c>
      <c r="I357" s="24" t="str">
        <f aca="false">IF($A357="","",INDEX(Реестр!$H$2:$H$401,MATCH($A357,Реестр!$W$2:$W$401,0)))</f>
        <v/>
      </c>
      <c r="J357" s="24" t="str">
        <f aca="false">IF($A357="","",INDEX(Реестр!$I$2:$I$401,MATCH($A357,Реестр!$W$2:$W$401,0)))</f>
        <v/>
      </c>
    </row>
    <row r="358" customFormat="false" ht="15" hidden="false" customHeight="false" outlineLevel="0" collapsed="false">
      <c r="A358" s="21" t="str">
        <f aca="false">IF(ROWS(A$5:A358)&lt;=MAX(Реестр!$W$2:$W$401),ROWS(A$5:A358),"")</f>
        <v/>
      </c>
      <c r="B358" s="24" t="str">
        <f aca="false">IF($A358="","",INDEX(Реестр!$B$2:$B$401,MATCH($A358,Реестр!$W$2:$W$401,0)))</f>
        <v/>
      </c>
      <c r="C358" s="24" t="str">
        <f aca="false">IF($A358="","",INDEX(Реестр!$C$2:$C$401,MATCH($A358,Реестр!$W$2:$W$401,0)))</f>
        <v/>
      </c>
      <c r="D358" s="24" t="str">
        <f aca="false">IF($A358="","",INDEX(Реестр!$D$2:$D$401,MATCH($A358,Реестр!$W$2:$W$401,0)))</f>
        <v/>
      </c>
      <c r="E358" s="24" t="str">
        <f aca="false">IF($A358="","",INDEX(Реестр!$E$2:$E$401,MATCH($A358,Реестр!$W$2:$W$401,0)))</f>
        <v/>
      </c>
      <c r="F358" s="24" t="str">
        <f aca="false">IF($A358="","",INDEX(Реестр!$J$2:$J$401,MATCH($A358,Реестр!$W$2:$W$401,0)))</f>
        <v/>
      </c>
      <c r="G358" s="24" t="str">
        <f aca="false">IF($A358="","",INDEX(Реестр!$F$2:$F$401,MATCH($A358,Реестр!$W$2:$W$401,0)))</f>
        <v/>
      </c>
      <c r="H358" s="24" t="str">
        <f aca="false">IF($A358="","",INDEX(Реестр!$G$2:$G$401,MATCH($A358,Реестр!$W$2:$W$401,0)))</f>
        <v/>
      </c>
      <c r="I358" s="24" t="str">
        <f aca="false">IF($A358="","",INDEX(Реестр!$H$2:$H$401,MATCH($A358,Реестр!$W$2:$W$401,0)))</f>
        <v/>
      </c>
      <c r="J358" s="24" t="str">
        <f aca="false">IF($A358="","",INDEX(Реестр!$I$2:$I$401,MATCH($A358,Реестр!$W$2:$W$401,0)))</f>
        <v/>
      </c>
    </row>
    <row r="359" customFormat="false" ht="15" hidden="false" customHeight="false" outlineLevel="0" collapsed="false">
      <c r="A359" s="21" t="str">
        <f aca="false">IF(ROWS(A$5:A359)&lt;=MAX(Реестр!$W$2:$W$401),ROWS(A$5:A359),"")</f>
        <v/>
      </c>
      <c r="B359" s="24" t="str">
        <f aca="false">IF($A359="","",INDEX(Реестр!$B$2:$B$401,MATCH($A359,Реестр!$W$2:$W$401,0)))</f>
        <v/>
      </c>
      <c r="C359" s="24" t="str">
        <f aca="false">IF($A359="","",INDEX(Реестр!$C$2:$C$401,MATCH($A359,Реестр!$W$2:$W$401,0)))</f>
        <v/>
      </c>
      <c r="D359" s="24" t="str">
        <f aca="false">IF($A359="","",INDEX(Реестр!$D$2:$D$401,MATCH($A359,Реестр!$W$2:$W$401,0)))</f>
        <v/>
      </c>
      <c r="E359" s="24" t="str">
        <f aca="false">IF($A359="","",INDEX(Реестр!$E$2:$E$401,MATCH($A359,Реестр!$W$2:$W$401,0)))</f>
        <v/>
      </c>
      <c r="F359" s="24" t="str">
        <f aca="false">IF($A359="","",INDEX(Реестр!$J$2:$J$401,MATCH($A359,Реестр!$W$2:$W$401,0)))</f>
        <v/>
      </c>
      <c r="G359" s="24" t="str">
        <f aca="false">IF($A359="","",INDEX(Реестр!$F$2:$F$401,MATCH($A359,Реестр!$W$2:$W$401,0)))</f>
        <v/>
      </c>
      <c r="H359" s="24" t="str">
        <f aca="false">IF($A359="","",INDEX(Реестр!$G$2:$G$401,MATCH($A359,Реестр!$W$2:$W$401,0)))</f>
        <v/>
      </c>
      <c r="I359" s="24" t="str">
        <f aca="false">IF($A359="","",INDEX(Реестр!$H$2:$H$401,MATCH($A359,Реестр!$W$2:$W$401,0)))</f>
        <v/>
      </c>
      <c r="J359" s="24" t="str">
        <f aca="false">IF($A359="","",INDEX(Реестр!$I$2:$I$401,MATCH($A359,Реестр!$W$2:$W$401,0)))</f>
        <v/>
      </c>
    </row>
    <row r="360" customFormat="false" ht="15" hidden="false" customHeight="false" outlineLevel="0" collapsed="false">
      <c r="A360" s="21" t="str">
        <f aca="false">IF(ROWS(A$5:A360)&lt;=MAX(Реестр!$W$2:$W$401),ROWS(A$5:A360),"")</f>
        <v/>
      </c>
      <c r="B360" s="24" t="str">
        <f aca="false">IF($A360="","",INDEX(Реестр!$B$2:$B$401,MATCH($A360,Реестр!$W$2:$W$401,0)))</f>
        <v/>
      </c>
      <c r="C360" s="24" t="str">
        <f aca="false">IF($A360="","",INDEX(Реестр!$C$2:$C$401,MATCH($A360,Реестр!$W$2:$W$401,0)))</f>
        <v/>
      </c>
      <c r="D360" s="24" t="str">
        <f aca="false">IF($A360="","",INDEX(Реестр!$D$2:$D$401,MATCH($A360,Реестр!$W$2:$W$401,0)))</f>
        <v/>
      </c>
      <c r="E360" s="24" t="str">
        <f aca="false">IF($A360="","",INDEX(Реестр!$E$2:$E$401,MATCH($A360,Реестр!$W$2:$W$401,0)))</f>
        <v/>
      </c>
      <c r="F360" s="24" t="str">
        <f aca="false">IF($A360="","",INDEX(Реестр!$J$2:$J$401,MATCH($A360,Реестр!$W$2:$W$401,0)))</f>
        <v/>
      </c>
      <c r="G360" s="24" t="str">
        <f aca="false">IF($A360="","",INDEX(Реестр!$F$2:$F$401,MATCH($A360,Реестр!$W$2:$W$401,0)))</f>
        <v/>
      </c>
      <c r="H360" s="24" t="str">
        <f aca="false">IF($A360="","",INDEX(Реестр!$G$2:$G$401,MATCH($A360,Реестр!$W$2:$W$401,0)))</f>
        <v/>
      </c>
      <c r="I360" s="24" t="str">
        <f aca="false">IF($A360="","",INDEX(Реестр!$H$2:$H$401,MATCH($A360,Реестр!$W$2:$W$401,0)))</f>
        <v/>
      </c>
      <c r="J360" s="24" t="str">
        <f aca="false">IF($A360="","",INDEX(Реестр!$I$2:$I$401,MATCH($A360,Реестр!$W$2:$W$401,0)))</f>
        <v/>
      </c>
    </row>
    <row r="361" customFormat="false" ht="15" hidden="false" customHeight="false" outlineLevel="0" collapsed="false">
      <c r="A361" s="21" t="str">
        <f aca="false">IF(ROWS(A$5:A361)&lt;=MAX(Реестр!$W$2:$W$401),ROWS(A$5:A361),"")</f>
        <v/>
      </c>
      <c r="B361" s="24" t="str">
        <f aca="false">IF($A361="","",INDEX(Реестр!$B$2:$B$401,MATCH($A361,Реестр!$W$2:$W$401,0)))</f>
        <v/>
      </c>
      <c r="C361" s="24" t="str">
        <f aca="false">IF($A361="","",INDEX(Реестр!$C$2:$C$401,MATCH($A361,Реестр!$W$2:$W$401,0)))</f>
        <v/>
      </c>
      <c r="D361" s="24" t="str">
        <f aca="false">IF($A361="","",INDEX(Реестр!$D$2:$D$401,MATCH($A361,Реестр!$W$2:$W$401,0)))</f>
        <v/>
      </c>
      <c r="E361" s="24" t="str">
        <f aca="false">IF($A361="","",INDEX(Реестр!$E$2:$E$401,MATCH($A361,Реестр!$W$2:$W$401,0)))</f>
        <v/>
      </c>
      <c r="F361" s="24" t="str">
        <f aca="false">IF($A361="","",INDEX(Реестр!$J$2:$J$401,MATCH($A361,Реестр!$W$2:$W$401,0)))</f>
        <v/>
      </c>
      <c r="G361" s="24" t="str">
        <f aca="false">IF($A361="","",INDEX(Реестр!$F$2:$F$401,MATCH($A361,Реестр!$W$2:$W$401,0)))</f>
        <v/>
      </c>
      <c r="H361" s="24" t="str">
        <f aca="false">IF($A361="","",INDEX(Реестр!$G$2:$G$401,MATCH($A361,Реестр!$W$2:$W$401,0)))</f>
        <v/>
      </c>
      <c r="I361" s="24" t="str">
        <f aca="false">IF($A361="","",INDEX(Реестр!$H$2:$H$401,MATCH($A361,Реестр!$W$2:$W$401,0)))</f>
        <v/>
      </c>
      <c r="J361" s="24" t="str">
        <f aca="false">IF($A361="","",INDEX(Реестр!$I$2:$I$401,MATCH($A361,Реестр!$W$2:$W$401,0)))</f>
        <v/>
      </c>
    </row>
    <row r="362" customFormat="false" ht="15" hidden="false" customHeight="false" outlineLevel="0" collapsed="false">
      <c r="A362" s="21" t="str">
        <f aca="false">IF(ROWS(A$5:A362)&lt;=MAX(Реестр!$W$2:$W$401),ROWS(A$5:A362),"")</f>
        <v/>
      </c>
      <c r="B362" s="24" t="str">
        <f aca="false">IF($A362="","",INDEX(Реестр!$B$2:$B$401,MATCH($A362,Реестр!$W$2:$W$401,0)))</f>
        <v/>
      </c>
      <c r="C362" s="24" t="str">
        <f aca="false">IF($A362="","",INDEX(Реестр!$C$2:$C$401,MATCH($A362,Реестр!$W$2:$W$401,0)))</f>
        <v/>
      </c>
      <c r="D362" s="24" t="str">
        <f aca="false">IF($A362="","",INDEX(Реестр!$D$2:$D$401,MATCH($A362,Реестр!$W$2:$W$401,0)))</f>
        <v/>
      </c>
      <c r="E362" s="24" t="str">
        <f aca="false">IF($A362="","",INDEX(Реестр!$E$2:$E$401,MATCH($A362,Реестр!$W$2:$W$401,0)))</f>
        <v/>
      </c>
      <c r="F362" s="24" t="str">
        <f aca="false">IF($A362="","",INDEX(Реестр!$J$2:$J$401,MATCH($A362,Реестр!$W$2:$W$401,0)))</f>
        <v/>
      </c>
      <c r="G362" s="24" t="str">
        <f aca="false">IF($A362="","",INDEX(Реестр!$F$2:$F$401,MATCH($A362,Реестр!$W$2:$W$401,0)))</f>
        <v/>
      </c>
      <c r="H362" s="24" t="str">
        <f aca="false">IF($A362="","",INDEX(Реестр!$G$2:$G$401,MATCH($A362,Реестр!$W$2:$W$401,0)))</f>
        <v/>
      </c>
      <c r="I362" s="24" t="str">
        <f aca="false">IF($A362="","",INDEX(Реестр!$H$2:$H$401,MATCH($A362,Реестр!$W$2:$W$401,0)))</f>
        <v/>
      </c>
      <c r="J362" s="24" t="str">
        <f aca="false">IF($A362="","",INDEX(Реестр!$I$2:$I$401,MATCH($A362,Реестр!$W$2:$W$401,0)))</f>
        <v/>
      </c>
    </row>
    <row r="363" customFormat="false" ht="15" hidden="false" customHeight="false" outlineLevel="0" collapsed="false">
      <c r="A363" s="21" t="str">
        <f aca="false">IF(ROWS(A$5:A363)&lt;=MAX(Реестр!$W$2:$W$401),ROWS(A$5:A363),"")</f>
        <v/>
      </c>
      <c r="B363" s="24" t="str">
        <f aca="false">IF($A363="","",INDEX(Реестр!$B$2:$B$401,MATCH($A363,Реестр!$W$2:$W$401,0)))</f>
        <v/>
      </c>
      <c r="C363" s="24" t="str">
        <f aca="false">IF($A363="","",INDEX(Реестр!$C$2:$C$401,MATCH($A363,Реестр!$W$2:$W$401,0)))</f>
        <v/>
      </c>
      <c r="D363" s="24" t="str">
        <f aca="false">IF($A363="","",INDEX(Реестр!$D$2:$D$401,MATCH($A363,Реестр!$W$2:$W$401,0)))</f>
        <v/>
      </c>
      <c r="E363" s="24" t="str">
        <f aca="false">IF($A363="","",INDEX(Реестр!$E$2:$E$401,MATCH($A363,Реестр!$W$2:$W$401,0)))</f>
        <v/>
      </c>
      <c r="F363" s="24" t="str">
        <f aca="false">IF($A363="","",INDEX(Реестр!$J$2:$J$401,MATCH($A363,Реестр!$W$2:$W$401,0)))</f>
        <v/>
      </c>
      <c r="G363" s="24" t="str">
        <f aca="false">IF($A363="","",INDEX(Реестр!$F$2:$F$401,MATCH($A363,Реестр!$W$2:$W$401,0)))</f>
        <v/>
      </c>
      <c r="H363" s="24" t="str">
        <f aca="false">IF($A363="","",INDEX(Реестр!$G$2:$G$401,MATCH($A363,Реестр!$W$2:$W$401,0)))</f>
        <v/>
      </c>
      <c r="I363" s="24" t="str">
        <f aca="false">IF($A363="","",INDEX(Реестр!$H$2:$H$401,MATCH($A363,Реестр!$W$2:$W$401,0)))</f>
        <v/>
      </c>
      <c r="J363" s="24" t="str">
        <f aca="false">IF($A363="","",INDEX(Реестр!$I$2:$I$401,MATCH($A363,Реестр!$W$2:$W$401,0)))</f>
        <v/>
      </c>
    </row>
    <row r="364" customFormat="false" ht="15" hidden="false" customHeight="false" outlineLevel="0" collapsed="false">
      <c r="A364" s="21" t="str">
        <f aca="false">IF(ROWS(A$5:A364)&lt;=MAX(Реестр!$W$2:$W$401),ROWS(A$5:A364),"")</f>
        <v/>
      </c>
      <c r="B364" s="24" t="str">
        <f aca="false">IF($A364="","",INDEX(Реестр!$B$2:$B$401,MATCH($A364,Реестр!$W$2:$W$401,0)))</f>
        <v/>
      </c>
      <c r="C364" s="24" t="str">
        <f aca="false">IF($A364="","",INDEX(Реестр!$C$2:$C$401,MATCH($A364,Реестр!$W$2:$W$401,0)))</f>
        <v/>
      </c>
      <c r="D364" s="24" t="str">
        <f aca="false">IF($A364="","",INDEX(Реестр!$D$2:$D$401,MATCH($A364,Реестр!$W$2:$W$401,0)))</f>
        <v/>
      </c>
      <c r="E364" s="24" t="str">
        <f aca="false">IF($A364="","",INDEX(Реестр!$E$2:$E$401,MATCH($A364,Реестр!$W$2:$W$401,0)))</f>
        <v/>
      </c>
      <c r="F364" s="24" t="str">
        <f aca="false">IF($A364="","",INDEX(Реестр!$J$2:$J$401,MATCH($A364,Реестр!$W$2:$W$401,0)))</f>
        <v/>
      </c>
      <c r="G364" s="24" t="str">
        <f aca="false">IF($A364="","",INDEX(Реестр!$F$2:$F$401,MATCH($A364,Реестр!$W$2:$W$401,0)))</f>
        <v/>
      </c>
      <c r="H364" s="24" t="str">
        <f aca="false">IF($A364="","",INDEX(Реестр!$G$2:$G$401,MATCH($A364,Реестр!$W$2:$W$401,0)))</f>
        <v/>
      </c>
      <c r="I364" s="24" t="str">
        <f aca="false">IF($A364="","",INDEX(Реестр!$H$2:$H$401,MATCH($A364,Реестр!$W$2:$W$401,0)))</f>
        <v/>
      </c>
      <c r="J364" s="24" t="str">
        <f aca="false">IF($A364="","",INDEX(Реестр!$I$2:$I$401,MATCH($A364,Реестр!$W$2:$W$401,0)))</f>
        <v/>
      </c>
    </row>
    <row r="365" customFormat="false" ht="15" hidden="false" customHeight="false" outlineLevel="0" collapsed="false">
      <c r="A365" s="21" t="str">
        <f aca="false">IF(ROWS(A$5:A365)&lt;=MAX(Реестр!$W$2:$W$401),ROWS(A$5:A365),"")</f>
        <v/>
      </c>
      <c r="B365" s="24" t="str">
        <f aca="false">IF($A365="","",INDEX(Реестр!$B$2:$B$401,MATCH($A365,Реестр!$W$2:$W$401,0)))</f>
        <v/>
      </c>
      <c r="C365" s="24" t="str">
        <f aca="false">IF($A365="","",INDEX(Реестр!$C$2:$C$401,MATCH($A365,Реестр!$W$2:$W$401,0)))</f>
        <v/>
      </c>
      <c r="D365" s="24" t="str">
        <f aca="false">IF($A365="","",INDEX(Реестр!$D$2:$D$401,MATCH($A365,Реестр!$W$2:$W$401,0)))</f>
        <v/>
      </c>
      <c r="E365" s="24" t="str">
        <f aca="false">IF($A365="","",INDEX(Реестр!$E$2:$E$401,MATCH($A365,Реестр!$W$2:$W$401,0)))</f>
        <v/>
      </c>
      <c r="F365" s="24" t="str">
        <f aca="false">IF($A365="","",INDEX(Реестр!$J$2:$J$401,MATCH($A365,Реестр!$W$2:$W$401,0)))</f>
        <v/>
      </c>
      <c r="G365" s="24" t="str">
        <f aca="false">IF($A365="","",INDEX(Реестр!$F$2:$F$401,MATCH($A365,Реестр!$W$2:$W$401,0)))</f>
        <v/>
      </c>
      <c r="H365" s="24" t="str">
        <f aca="false">IF($A365="","",INDEX(Реестр!$G$2:$G$401,MATCH($A365,Реестр!$W$2:$W$401,0)))</f>
        <v/>
      </c>
      <c r="I365" s="24" t="str">
        <f aca="false">IF($A365="","",INDEX(Реестр!$H$2:$H$401,MATCH($A365,Реестр!$W$2:$W$401,0)))</f>
        <v/>
      </c>
      <c r="J365" s="24" t="str">
        <f aca="false">IF($A365="","",INDEX(Реестр!$I$2:$I$401,MATCH($A365,Реестр!$W$2:$W$401,0)))</f>
        <v/>
      </c>
    </row>
    <row r="366" customFormat="false" ht="15" hidden="false" customHeight="false" outlineLevel="0" collapsed="false">
      <c r="A366" s="21" t="str">
        <f aca="false">IF(ROWS(A$5:A366)&lt;=MAX(Реестр!$W$2:$W$401),ROWS(A$5:A366),"")</f>
        <v/>
      </c>
      <c r="B366" s="24" t="str">
        <f aca="false">IF($A366="","",INDEX(Реестр!$B$2:$B$401,MATCH($A366,Реестр!$W$2:$W$401,0)))</f>
        <v/>
      </c>
      <c r="C366" s="24" t="str">
        <f aca="false">IF($A366="","",INDEX(Реестр!$C$2:$C$401,MATCH($A366,Реестр!$W$2:$W$401,0)))</f>
        <v/>
      </c>
      <c r="D366" s="24" t="str">
        <f aca="false">IF($A366="","",INDEX(Реестр!$D$2:$D$401,MATCH($A366,Реестр!$W$2:$W$401,0)))</f>
        <v/>
      </c>
      <c r="E366" s="24" t="str">
        <f aca="false">IF($A366="","",INDEX(Реестр!$E$2:$E$401,MATCH($A366,Реестр!$W$2:$W$401,0)))</f>
        <v/>
      </c>
      <c r="F366" s="24" t="str">
        <f aca="false">IF($A366="","",INDEX(Реестр!$J$2:$J$401,MATCH($A366,Реестр!$W$2:$W$401,0)))</f>
        <v/>
      </c>
      <c r="G366" s="24" t="str">
        <f aca="false">IF($A366="","",INDEX(Реестр!$F$2:$F$401,MATCH($A366,Реестр!$W$2:$W$401,0)))</f>
        <v/>
      </c>
      <c r="H366" s="24" t="str">
        <f aca="false">IF($A366="","",INDEX(Реестр!$G$2:$G$401,MATCH($A366,Реестр!$W$2:$W$401,0)))</f>
        <v/>
      </c>
      <c r="I366" s="24" t="str">
        <f aca="false">IF($A366="","",INDEX(Реестр!$H$2:$H$401,MATCH($A366,Реестр!$W$2:$W$401,0)))</f>
        <v/>
      </c>
      <c r="J366" s="24" t="str">
        <f aca="false">IF($A366="","",INDEX(Реестр!$I$2:$I$401,MATCH($A366,Реестр!$W$2:$W$401,0)))</f>
        <v/>
      </c>
    </row>
    <row r="367" customFormat="false" ht="15" hidden="false" customHeight="false" outlineLevel="0" collapsed="false">
      <c r="A367" s="21" t="str">
        <f aca="false">IF(ROWS(A$5:A367)&lt;=MAX(Реестр!$W$2:$W$401),ROWS(A$5:A367),"")</f>
        <v/>
      </c>
      <c r="B367" s="24" t="str">
        <f aca="false">IF($A367="","",INDEX(Реестр!$B$2:$B$401,MATCH($A367,Реестр!$W$2:$W$401,0)))</f>
        <v/>
      </c>
      <c r="C367" s="24" t="str">
        <f aca="false">IF($A367="","",INDEX(Реестр!$C$2:$C$401,MATCH($A367,Реестр!$W$2:$W$401,0)))</f>
        <v/>
      </c>
      <c r="D367" s="24" t="str">
        <f aca="false">IF($A367="","",INDEX(Реестр!$D$2:$D$401,MATCH($A367,Реестр!$W$2:$W$401,0)))</f>
        <v/>
      </c>
      <c r="E367" s="24" t="str">
        <f aca="false">IF($A367="","",INDEX(Реестр!$E$2:$E$401,MATCH($A367,Реестр!$W$2:$W$401,0)))</f>
        <v/>
      </c>
      <c r="F367" s="24" t="str">
        <f aca="false">IF($A367="","",INDEX(Реестр!$J$2:$J$401,MATCH($A367,Реестр!$W$2:$W$401,0)))</f>
        <v/>
      </c>
      <c r="G367" s="24" t="str">
        <f aca="false">IF($A367="","",INDEX(Реестр!$F$2:$F$401,MATCH($A367,Реестр!$W$2:$W$401,0)))</f>
        <v/>
      </c>
      <c r="H367" s="24" t="str">
        <f aca="false">IF($A367="","",INDEX(Реестр!$G$2:$G$401,MATCH($A367,Реестр!$W$2:$W$401,0)))</f>
        <v/>
      </c>
      <c r="I367" s="24" t="str">
        <f aca="false">IF($A367="","",INDEX(Реестр!$H$2:$H$401,MATCH($A367,Реестр!$W$2:$W$401,0)))</f>
        <v/>
      </c>
      <c r="J367" s="24" t="str">
        <f aca="false">IF($A367="","",INDEX(Реестр!$I$2:$I$401,MATCH($A367,Реестр!$W$2:$W$401,0)))</f>
        <v/>
      </c>
    </row>
    <row r="368" customFormat="false" ht="15" hidden="false" customHeight="false" outlineLevel="0" collapsed="false">
      <c r="A368" s="21" t="str">
        <f aca="false">IF(ROWS(A$5:A368)&lt;=MAX(Реестр!$W$2:$W$401),ROWS(A$5:A368),"")</f>
        <v/>
      </c>
      <c r="B368" s="24" t="str">
        <f aca="false">IF($A368="","",INDEX(Реестр!$B$2:$B$401,MATCH($A368,Реестр!$W$2:$W$401,0)))</f>
        <v/>
      </c>
      <c r="C368" s="24" t="str">
        <f aca="false">IF($A368="","",INDEX(Реестр!$C$2:$C$401,MATCH($A368,Реестр!$W$2:$W$401,0)))</f>
        <v/>
      </c>
      <c r="D368" s="24" t="str">
        <f aca="false">IF($A368="","",INDEX(Реестр!$D$2:$D$401,MATCH($A368,Реестр!$W$2:$W$401,0)))</f>
        <v/>
      </c>
      <c r="E368" s="24" t="str">
        <f aca="false">IF($A368="","",INDEX(Реестр!$E$2:$E$401,MATCH($A368,Реестр!$W$2:$W$401,0)))</f>
        <v/>
      </c>
      <c r="F368" s="24" t="str">
        <f aca="false">IF($A368="","",INDEX(Реестр!$J$2:$J$401,MATCH($A368,Реестр!$W$2:$W$401,0)))</f>
        <v/>
      </c>
      <c r="G368" s="24" t="str">
        <f aca="false">IF($A368="","",INDEX(Реестр!$F$2:$F$401,MATCH($A368,Реестр!$W$2:$W$401,0)))</f>
        <v/>
      </c>
      <c r="H368" s="24" t="str">
        <f aca="false">IF($A368="","",INDEX(Реестр!$G$2:$G$401,MATCH($A368,Реестр!$W$2:$W$401,0)))</f>
        <v/>
      </c>
      <c r="I368" s="24" t="str">
        <f aca="false">IF($A368="","",INDEX(Реестр!$H$2:$H$401,MATCH($A368,Реестр!$W$2:$W$401,0)))</f>
        <v/>
      </c>
      <c r="J368" s="24" t="str">
        <f aca="false">IF($A368="","",INDEX(Реестр!$I$2:$I$401,MATCH($A368,Реестр!$W$2:$W$401,0)))</f>
        <v/>
      </c>
    </row>
    <row r="369" customFormat="false" ht="15" hidden="false" customHeight="false" outlineLevel="0" collapsed="false">
      <c r="A369" s="21" t="str">
        <f aca="false">IF(ROWS(A$5:A369)&lt;=MAX(Реестр!$W$2:$W$401),ROWS(A$5:A369),"")</f>
        <v/>
      </c>
      <c r="B369" s="24" t="str">
        <f aca="false">IF($A369="","",INDEX(Реестр!$B$2:$B$401,MATCH($A369,Реестр!$W$2:$W$401,0)))</f>
        <v/>
      </c>
      <c r="C369" s="24" t="str">
        <f aca="false">IF($A369="","",INDEX(Реестр!$C$2:$C$401,MATCH($A369,Реестр!$W$2:$W$401,0)))</f>
        <v/>
      </c>
      <c r="D369" s="24" t="str">
        <f aca="false">IF($A369="","",INDEX(Реестр!$D$2:$D$401,MATCH($A369,Реестр!$W$2:$W$401,0)))</f>
        <v/>
      </c>
      <c r="E369" s="24" t="str">
        <f aca="false">IF($A369="","",INDEX(Реестр!$E$2:$E$401,MATCH($A369,Реестр!$W$2:$W$401,0)))</f>
        <v/>
      </c>
      <c r="F369" s="24" t="str">
        <f aca="false">IF($A369="","",INDEX(Реестр!$J$2:$J$401,MATCH($A369,Реестр!$W$2:$W$401,0)))</f>
        <v/>
      </c>
      <c r="G369" s="24" t="str">
        <f aca="false">IF($A369="","",INDEX(Реестр!$F$2:$F$401,MATCH($A369,Реестр!$W$2:$W$401,0)))</f>
        <v/>
      </c>
      <c r="H369" s="24" t="str">
        <f aca="false">IF($A369="","",INDEX(Реестр!$G$2:$G$401,MATCH($A369,Реестр!$W$2:$W$401,0)))</f>
        <v/>
      </c>
      <c r="I369" s="24" t="str">
        <f aca="false">IF($A369="","",INDEX(Реестр!$H$2:$H$401,MATCH($A369,Реестр!$W$2:$W$401,0)))</f>
        <v/>
      </c>
      <c r="J369" s="24" t="str">
        <f aca="false">IF($A369="","",INDEX(Реестр!$I$2:$I$401,MATCH($A369,Реестр!$W$2:$W$401,0)))</f>
        <v/>
      </c>
    </row>
    <row r="370" customFormat="false" ht="15" hidden="false" customHeight="false" outlineLevel="0" collapsed="false">
      <c r="A370" s="21" t="str">
        <f aca="false">IF(ROWS(A$5:A370)&lt;=MAX(Реестр!$W$2:$W$401),ROWS(A$5:A370),"")</f>
        <v/>
      </c>
      <c r="B370" s="24" t="str">
        <f aca="false">IF($A370="","",INDEX(Реестр!$B$2:$B$401,MATCH($A370,Реестр!$W$2:$W$401,0)))</f>
        <v/>
      </c>
      <c r="C370" s="24" t="str">
        <f aca="false">IF($A370="","",INDEX(Реестр!$C$2:$C$401,MATCH($A370,Реестр!$W$2:$W$401,0)))</f>
        <v/>
      </c>
      <c r="D370" s="24" t="str">
        <f aca="false">IF($A370="","",INDEX(Реестр!$D$2:$D$401,MATCH($A370,Реестр!$W$2:$W$401,0)))</f>
        <v/>
      </c>
      <c r="E370" s="24" t="str">
        <f aca="false">IF($A370="","",INDEX(Реестр!$E$2:$E$401,MATCH($A370,Реестр!$W$2:$W$401,0)))</f>
        <v/>
      </c>
      <c r="F370" s="24" t="str">
        <f aca="false">IF($A370="","",INDEX(Реестр!$J$2:$J$401,MATCH($A370,Реестр!$W$2:$W$401,0)))</f>
        <v/>
      </c>
      <c r="G370" s="24" t="str">
        <f aca="false">IF($A370="","",INDEX(Реестр!$F$2:$F$401,MATCH($A370,Реестр!$W$2:$W$401,0)))</f>
        <v/>
      </c>
      <c r="H370" s="24" t="str">
        <f aca="false">IF($A370="","",INDEX(Реестр!$G$2:$G$401,MATCH($A370,Реестр!$W$2:$W$401,0)))</f>
        <v/>
      </c>
      <c r="I370" s="24" t="str">
        <f aca="false">IF($A370="","",INDEX(Реестр!$H$2:$H$401,MATCH($A370,Реестр!$W$2:$W$401,0)))</f>
        <v/>
      </c>
      <c r="J370" s="24" t="str">
        <f aca="false">IF($A370="","",INDEX(Реестр!$I$2:$I$401,MATCH($A370,Реестр!$W$2:$W$401,0)))</f>
        <v/>
      </c>
    </row>
    <row r="371" customFormat="false" ht="15" hidden="false" customHeight="false" outlineLevel="0" collapsed="false">
      <c r="A371" s="21" t="str">
        <f aca="false">IF(ROWS(A$5:A371)&lt;=MAX(Реестр!$W$2:$W$401),ROWS(A$5:A371),"")</f>
        <v/>
      </c>
      <c r="B371" s="24" t="str">
        <f aca="false">IF($A371="","",INDEX(Реестр!$B$2:$B$401,MATCH($A371,Реестр!$W$2:$W$401,0)))</f>
        <v/>
      </c>
      <c r="C371" s="24" t="str">
        <f aca="false">IF($A371="","",INDEX(Реестр!$C$2:$C$401,MATCH($A371,Реестр!$W$2:$W$401,0)))</f>
        <v/>
      </c>
      <c r="D371" s="24" t="str">
        <f aca="false">IF($A371="","",INDEX(Реестр!$D$2:$D$401,MATCH($A371,Реестр!$W$2:$W$401,0)))</f>
        <v/>
      </c>
      <c r="E371" s="24" t="str">
        <f aca="false">IF($A371="","",INDEX(Реестр!$E$2:$E$401,MATCH($A371,Реестр!$W$2:$W$401,0)))</f>
        <v/>
      </c>
      <c r="F371" s="24" t="str">
        <f aca="false">IF($A371="","",INDEX(Реестр!$J$2:$J$401,MATCH($A371,Реестр!$W$2:$W$401,0)))</f>
        <v/>
      </c>
      <c r="G371" s="24" t="str">
        <f aca="false">IF($A371="","",INDEX(Реестр!$F$2:$F$401,MATCH($A371,Реестр!$W$2:$W$401,0)))</f>
        <v/>
      </c>
      <c r="H371" s="24" t="str">
        <f aca="false">IF($A371="","",INDEX(Реестр!$G$2:$G$401,MATCH($A371,Реестр!$W$2:$W$401,0)))</f>
        <v/>
      </c>
      <c r="I371" s="24" t="str">
        <f aca="false">IF($A371="","",INDEX(Реестр!$H$2:$H$401,MATCH($A371,Реестр!$W$2:$W$401,0)))</f>
        <v/>
      </c>
      <c r="J371" s="24" t="str">
        <f aca="false">IF($A371="","",INDEX(Реестр!$I$2:$I$401,MATCH($A371,Реестр!$W$2:$W$401,0)))</f>
        <v/>
      </c>
    </row>
    <row r="372" customFormat="false" ht="15" hidden="false" customHeight="false" outlineLevel="0" collapsed="false">
      <c r="A372" s="21" t="str">
        <f aca="false">IF(ROWS(A$5:A372)&lt;=MAX(Реестр!$W$2:$W$401),ROWS(A$5:A372),"")</f>
        <v/>
      </c>
      <c r="B372" s="24" t="str">
        <f aca="false">IF($A372="","",INDEX(Реестр!$B$2:$B$401,MATCH($A372,Реестр!$W$2:$W$401,0)))</f>
        <v/>
      </c>
      <c r="C372" s="24" t="str">
        <f aca="false">IF($A372="","",INDEX(Реестр!$C$2:$C$401,MATCH($A372,Реестр!$W$2:$W$401,0)))</f>
        <v/>
      </c>
      <c r="D372" s="24" t="str">
        <f aca="false">IF($A372="","",INDEX(Реестр!$D$2:$D$401,MATCH($A372,Реестр!$W$2:$W$401,0)))</f>
        <v/>
      </c>
      <c r="E372" s="24" t="str">
        <f aca="false">IF($A372="","",INDEX(Реестр!$E$2:$E$401,MATCH($A372,Реестр!$W$2:$W$401,0)))</f>
        <v/>
      </c>
      <c r="F372" s="24" t="str">
        <f aca="false">IF($A372="","",INDEX(Реестр!$J$2:$J$401,MATCH($A372,Реестр!$W$2:$W$401,0)))</f>
        <v/>
      </c>
      <c r="G372" s="24" t="str">
        <f aca="false">IF($A372="","",INDEX(Реестр!$F$2:$F$401,MATCH($A372,Реестр!$W$2:$W$401,0)))</f>
        <v/>
      </c>
      <c r="H372" s="24" t="str">
        <f aca="false">IF($A372="","",INDEX(Реестр!$G$2:$G$401,MATCH($A372,Реестр!$W$2:$W$401,0)))</f>
        <v/>
      </c>
      <c r="I372" s="24" t="str">
        <f aca="false">IF($A372="","",INDEX(Реестр!$H$2:$H$401,MATCH($A372,Реестр!$W$2:$W$401,0)))</f>
        <v/>
      </c>
      <c r="J372" s="24" t="str">
        <f aca="false">IF($A372="","",INDEX(Реестр!$I$2:$I$401,MATCH($A372,Реестр!$W$2:$W$401,0)))</f>
        <v/>
      </c>
    </row>
    <row r="373" customFormat="false" ht="15" hidden="false" customHeight="false" outlineLevel="0" collapsed="false">
      <c r="A373" s="21" t="str">
        <f aca="false">IF(ROWS(A$5:A373)&lt;=MAX(Реестр!$W$2:$W$401),ROWS(A$5:A373),"")</f>
        <v/>
      </c>
      <c r="B373" s="24" t="str">
        <f aca="false">IF($A373="","",INDEX(Реестр!$B$2:$B$401,MATCH($A373,Реестр!$W$2:$W$401,0)))</f>
        <v/>
      </c>
      <c r="C373" s="24" t="str">
        <f aca="false">IF($A373="","",INDEX(Реестр!$C$2:$C$401,MATCH($A373,Реестр!$W$2:$W$401,0)))</f>
        <v/>
      </c>
      <c r="D373" s="24" t="str">
        <f aca="false">IF($A373="","",INDEX(Реестр!$D$2:$D$401,MATCH($A373,Реестр!$W$2:$W$401,0)))</f>
        <v/>
      </c>
      <c r="E373" s="24" t="str">
        <f aca="false">IF($A373="","",INDEX(Реестр!$E$2:$E$401,MATCH($A373,Реестр!$W$2:$W$401,0)))</f>
        <v/>
      </c>
      <c r="F373" s="24" t="str">
        <f aca="false">IF($A373="","",INDEX(Реестр!$J$2:$J$401,MATCH($A373,Реестр!$W$2:$W$401,0)))</f>
        <v/>
      </c>
      <c r="G373" s="24" t="str">
        <f aca="false">IF($A373="","",INDEX(Реестр!$F$2:$F$401,MATCH($A373,Реестр!$W$2:$W$401,0)))</f>
        <v/>
      </c>
      <c r="H373" s="24" t="str">
        <f aca="false">IF($A373="","",INDEX(Реестр!$G$2:$G$401,MATCH($A373,Реестр!$W$2:$W$401,0)))</f>
        <v/>
      </c>
      <c r="I373" s="24" t="str">
        <f aca="false">IF($A373="","",INDEX(Реестр!$H$2:$H$401,MATCH($A373,Реестр!$W$2:$W$401,0)))</f>
        <v/>
      </c>
      <c r="J373" s="24" t="str">
        <f aca="false">IF($A373="","",INDEX(Реестр!$I$2:$I$401,MATCH($A373,Реестр!$W$2:$W$401,0)))</f>
        <v/>
      </c>
    </row>
    <row r="374" customFormat="false" ht="15" hidden="false" customHeight="false" outlineLevel="0" collapsed="false">
      <c r="A374" s="21" t="str">
        <f aca="false">IF(ROWS(A$5:A374)&lt;=MAX(Реестр!$W$2:$W$401),ROWS(A$5:A374),"")</f>
        <v/>
      </c>
      <c r="B374" s="24" t="str">
        <f aca="false">IF($A374="","",INDEX(Реестр!$B$2:$B$401,MATCH($A374,Реестр!$W$2:$W$401,0)))</f>
        <v/>
      </c>
      <c r="C374" s="24" t="str">
        <f aca="false">IF($A374="","",INDEX(Реестр!$C$2:$C$401,MATCH($A374,Реестр!$W$2:$W$401,0)))</f>
        <v/>
      </c>
      <c r="D374" s="24" t="str">
        <f aca="false">IF($A374="","",INDEX(Реестр!$D$2:$D$401,MATCH($A374,Реестр!$W$2:$W$401,0)))</f>
        <v/>
      </c>
      <c r="E374" s="24" t="str">
        <f aca="false">IF($A374="","",INDEX(Реестр!$E$2:$E$401,MATCH($A374,Реестр!$W$2:$W$401,0)))</f>
        <v/>
      </c>
      <c r="F374" s="24" t="str">
        <f aca="false">IF($A374="","",INDEX(Реестр!$J$2:$J$401,MATCH($A374,Реестр!$W$2:$W$401,0)))</f>
        <v/>
      </c>
      <c r="G374" s="24" t="str">
        <f aca="false">IF($A374="","",INDEX(Реестр!$F$2:$F$401,MATCH($A374,Реестр!$W$2:$W$401,0)))</f>
        <v/>
      </c>
      <c r="H374" s="24" t="str">
        <f aca="false">IF($A374="","",INDEX(Реестр!$G$2:$G$401,MATCH($A374,Реестр!$W$2:$W$401,0)))</f>
        <v/>
      </c>
      <c r="I374" s="24" t="str">
        <f aca="false">IF($A374="","",INDEX(Реестр!$H$2:$H$401,MATCH($A374,Реестр!$W$2:$W$401,0)))</f>
        <v/>
      </c>
      <c r="J374" s="24" t="str">
        <f aca="false">IF($A374="","",INDEX(Реестр!$I$2:$I$401,MATCH($A374,Реестр!$W$2:$W$401,0)))</f>
        <v/>
      </c>
    </row>
    <row r="375" customFormat="false" ht="15" hidden="false" customHeight="false" outlineLevel="0" collapsed="false">
      <c r="A375" s="21" t="str">
        <f aca="false">IF(ROWS(A$5:A375)&lt;=MAX(Реестр!$W$2:$W$401),ROWS(A$5:A375),"")</f>
        <v/>
      </c>
      <c r="B375" s="24" t="str">
        <f aca="false">IF($A375="","",INDEX(Реестр!$B$2:$B$401,MATCH($A375,Реестр!$W$2:$W$401,0)))</f>
        <v/>
      </c>
      <c r="C375" s="24" t="str">
        <f aca="false">IF($A375="","",INDEX(Реестр!$C$2:$C$401,MATCH($A375,Реестр!$W$2:$W$401,0)))</f>
        <v/>
      </c>
      <c r="D375" s="24" t="str">
        <f aca="false">IF($A375="","",INDEX(Реестр!$D$2:$D$401,MATCH($A375,Реестр!$W$2:$W$401,0)))</f>
        <v/>
      </c>
      <c r="E375" s="24" t="str">
        <f aca="false">IF($A375="","",INDEX(Реестр!$E$2:$E$401,MATCH($A375,Реестр!$W$2:$W$401,0)))</f>
        <v/>
      </c>
      <c r="F375" s="24" t="str">
        <f aca="false">IF($A375="","",INDEX(Реестр!$J$2:$J$401,MATCH($A375,Реестр!$W$2:$W$401,0)))</f>
        <v/>
      </c>
      <c r="G375" s="24" t="str">
        <f aca="false">IF($A375="","",INDEX(Реестр!$F$2:$F$401,MATCH($A375,Реестр!$W$2:$W$401,0)))</f>
        <v/>
      </c>
      <c r="H375" s="24" t="str">
        <f aca="false">IF($A375="","",INDEX(Реестр!$G$2:$G$401,MATCH($A375,Реестр!$W$2:$W$401,0)))</f>
        <v/>
      </c>
      <c r="I375" s="24" t="str">
        <f aca="false">IF($A375="","",INDEX(Реестр!$H$2:$H$401,MATCH($A375,Реестр!$W$2:$W$401,0)))</f>
        <v/>
      </c>
      <c r="J375" s="24" t="str">
        <f aca="false">IF($A375="","",INDEX(Реестр!$I$2:$I$401,MATCH($A375,Реестр!$W$2:$W$401,0)))</f>
        <v/>
      </c>
    </row>
    <row r="376" customFormat="false" ht="15" hidden="false" customHeight="false" outlineLevel="0" collapsed="false">
      <c r="A376" s="21" t="str">
        <f aca="false">IF(ROWS(A$5:A376)&lt;=MAX(Реестр!$W$2:$W$401),ROWS(A$5:A376),"")</f>
        <v/>
      </c>
      <c r="B376" s="24" t="str">
        <f aca="false">IF($A376="","",INDEX(Реестр!$B$2:$B$401,MATCH($A376,Реестр!$W$2:$W$401,0)))</f>
        <v/>
      </c>
      <c r="C376" s="24" t="str">
        <f aca="false">IF($A376="","",INDEX(Реестр!$C$2:$C$401,MATCH($A376,Реестр!$W$2:$W$401,0)))</f>
        <v/>
      </c>
      <c r="D376" s="24" t="str">
        <f aca="false">IF($A376="","",INDEX(Реестр!$D$2:$D$401,MATCH($A376,Реестр!$W$2:$W$401,0)))</f>
        <v/>
      </c>
      <c r="E376" s="24" t="str">
        <f aca="false">IF($A376="","",INDEX(Реестр!$E$2:$E$401,MATCH($A376,Реестр!$W$2:$W$401,0)))</f>
        <v/>
      </c>
      <c r="F376" s="24" t="str">
        <f aca="false">IF($A376="","",INDEX(Реестр!$J$2:$J$401,MATCH($A376,Реестр!$W$2:$W$401,0)))</f>
        <v/>
      </c>
      <c r="G376" s="24" t="str">
        <f aca="false">IF($A376="","",INDEX(Реестр!$F$2:$F$401,MATCH($A376,Реестр!$W$2:$W$401,0)))</f>
        <v/>
      </c>
      <c r="H376" s="24" t="str">
        <f aca="false">IF($A376="","",INDEX(Реестр!$G$2:$G$401,MATCH($A376,Реестр!$W$2:$W$401,0)))</f>
        <v/>
      </c>
      <c r="I376" s="24" t="str">
        <f aca="false">IF($A376="","",INDEX(Реестр!$H$2:$H$401,MATCH($A376,Реестр!$W$2:$W$401,0)))</f>
        <v/>
      </c>
      <c r="J376" s="24" t="str">
        <f aca="false">IF($A376="","",INDEX(Реестр!$I$2:$I$401,MATCH($A376,Реестр!$W$2:$W$401,0)))</f>
        <v/>
      </c>
    </row>
    <row r="377" customFormat="false" ht="15" hidden="false" customHeight="false" outlineLevel="0" collapsed="false">
      <c r="A377" s="21" t="str">
        <f aca="false">IF(ROWS(A$5:A377)&lt;=MAX(Реестр!$W$2:$W$401),ROWS(A$5:A377),"")</f>
        <v/>
      </c>
      <c r="B377" s="24" t="str">
        <f aca="false">IF($A377="","",INDEX(Реестр!$B$2:$B$401,MATCH($A377,Реестр!$W$2:$W$401,0)))</f>
        <v/>
      </c>
      <c r="C377" s="24" t="str">
        <f aca="false">IF($A377="","",INDEX(Реестр!$C$2:$C$401,MATCH($A377,Реестр!$W$2:$W$401,0)))</f>
        <v/>
      </c>
      <c r="D377" s="24" t="str">
        <f aca="false">IF($A377="","",INDEX(Реестр!$D$2:$D$401,MATCH($A377,Реестр!$W$2:$W$401,0)))</f>
        <v/>
      </c>
      <c r="E377" s="24" t="str">
        <f aca="false">IF($A377="","",INDEX(Реестр!$E$2:$E$401,MATCH($A377,Реестр!$W$2:$W$401,0)))</f>
        <v/>
      </c>
      <c r="F377" s="24" t="str">
        <f aca="false">IF($A377="","",INDEX(Реестр!$J$2:$J$401,MATCH($A377,Реестр!$W$2:$W$401,0)))</f>
        <v/>
      </c>
      <c r="G377" s="24" t="str">
        <f aca="false">IF($A377="","",INDEX(Реестр!$F$2:$F$401,MATCH($A377,Реестр!$W$2:$W$401,0)))</f>
        <v/>
      </c>
      <c r="H377" s="24" t="str">
        <f aca="false">IF($A377="","",INDEX(Реестр!$G$2:$G$401,MATCH($A377,Реестр!$W$2:$W$401,0)))</f>
        <v/>
      </c>
      <c r="I377" s="24" t="str">
        <f aca="false">IF($A377="","",INDEX(Реестр!$H$2:$H$401,MATCH($A377,Реестр!$W$2:$W$401,0)))</f>
        <v/>
      </c>
      <c r="J377" s="24" t="str">
        <f aca="false">IF($A377="","",INDEX(Реестр!$I$2:$I$401,MATCH($A377,Реестр!$W$2:$W$401,0)))</f>
        <v/>
      </c>
    </row>
    <row r="378" customFormat="false" ht="15" hidden="false" customHeight="false" outlineLevel="0" collapsed="false">
      <c r="A378" s="21" t="str">
        <f aca="false">IF(ROWS(A$5:A378)&lt;=MAX(Реестр!$W$2:$W$401),ROWS(A$5:A378),"")</f>
        <v/>
      </c>
      <c r="B378" s="24" t="str">
        <f aca="false">IF($A378="","",INDEX(Реестр!$B$2:$B$401,MATCH($A378,Реестр!$W$2:$W$401,0)))</f>
        <v/>
      </c>
      <c r="C378" s="24" t="str">
        <f aca="false">IF($A378="","",INDEX(Реестр!$C$2:$C$401,MATCH($A378,Реестр!$W$2:$W$401,0)))</f>
        <v/>
      </c>
      <c r="D378" s="24" t="str">
        <f aca="false">IF($A378="","",INDEX(Реестр!$D$2:$D$401,MATCH($A378,Реестр!$W$2:$W$401,0)))</f>
        <v/>
      </c>
      <c r="E378" s="24" t="str">
        <f aca="false">IF($A378="","",INDEX(Реестр!$E$2:$E$401,MATCH($A378,Реестр!$W$2:$W$401,0)))</f>
        <v/>
      </c>
      <c r="F378" s="24" t="str">
        <f aca="false">IF($A378="","",INDEX(Реестр!$J$2:$J$401,MATCH($A378,Реестр!$W$2:$W$401,0)))</f>
        <v/>
      </c>
      <c r="G378" s="24" t="str">
        <f aca="false">IF($A378="","",INDEX(Реестр!$F$2:$F$401,MATCH($A378,Реестр!$W$2:$W$401,0)))</f>
        <v/>
      </c>
      <c r="H378" s="24" t="str">
        <f aca="false">IF($A378="","",INDEX(Реестр!$G$2:$G$401,MATCH($A378,Реестр!$W$2:$W$401,0)))</f>
        <v/>
      </c>
      <c r="I378" s="24" t="str">
        <f aca="false">IF($A378="","",INDEX(Реестр!$H$2:$H$401,MATCH($A378,Реестр!$W$2:$W$401,0)))</f>
        <v/>
      </c>
      <c r="J378" s="24" t="str">
        <f aca="false">IF($A378="","",INDEX(Реестр!$I$2:$I$401,MATCH($A378,Реестр!$W$2:$W$401,0)))</f>
        <v/>
      </c>
    </row>
    <row r="379" customFormat="false" ht="15" hidden="false" customHeight="false" outlineLevel="0" collapsed="false">
      <c r="A379" s="21" t="str">
        <f aca="false">IF(ROWS(A$5:A379)&lt;=MAX(Реестр!$W$2:$W$401),ROWS(A$5:A379),"")</f>
        <v/>
      </c>
      <c r="B379" s="24" t="str">
        <f aca="false">IF($A379="","",INDEX(Реестр!$B$2:$B$401,MATCH($A379,Реестр!$W$2:$W$401,0)))</f>
        <v/>
      </c>
      <c r="C379" s="24" t="str">
        <f aca="false">IF($A379="","",INDEX(Реестр!$C$2:$C$401,MATCH($A379,Реестр!$W$2:$W$401,0)))</f>
        <v/>
      </c>
      <c r="D379" s="24" t="str">
        <f aca="false">IF($A379="","",INDEX(Реестр!$D$2:$D$401,MATCH($A379,Реестр!$W$2:$W$401,0)))</f>
        <v/>
      </c>
      <c r="E379" s="24" t="str">
        <f aca="false">IF($A379="","",INDEX(Реестр!$E$2:$E$401,MATCH($A379,Реестр!$W$2:$W$401,0)))</f>
        <v/>
      </c>
      <c r="F379" s="24" t="str">
        <f aca="false">IF($A379="","",INDEX(Реестр!$J$2:$J$401,MATCH($A379,Реестр!$W$2:$W$401,0)))</f>
        <v/>
      </c>
      <c r="G379" s="24" t="str">
        <f aca="false">IF($A379="","",INDEX(Реестр!$F$2:$F$401,MATCH($A379,Реестр!$W$2:$W$401,0)))</f>
        <v/>
      </c>
      <c r="H379" s="24" t="str">
        <f aca="false">IF($A379="","",INDEX(Реестр!$G$2:$G$401,MATCH($A379,Реестр!$W$2:$W$401,0)))</f>
        <v/>
      </c>
      <c r="I379" s="24" t="str">
        <f aca="false">IF($A379="","",INDEX(Реестр!$H$2:$H$401,MATCH($A379,Реестр!$W$2:$W$401,0)))</f>
        <v/>
      </c>
      <c r="J379" s="24" t="str">
        <f aca="false">IF($A379="","",INDEX(Реестр!$I$2:$I$401,MATCH($A379,Реестр!$W$2:$W$401,0)))</f>
        <v/>
      </c>
    </row>
    <row r="380" customFormat="false" ht="15" hidden="false" customHeight="false" outlineLevel="0" collapsed="false">
      <c r="A380" s="21" t="str">
        <f aca="false">IF(ROWS(A$5:A380)&lt;=MAX(Реестр!$W$2:$W$401),ROWS(A$5:A380),"")</f>
        <v/>
      </c>
      <c r="B380" s="24" t="str">
        <f aca="false">IF($A380="","",INDEX(Реестр!$B$2:$B$401,MATCH($A380,Реестр!$W$2:$W$401,0)))</f>
        <v/>
      </c>
      <c r="C380" s="24" t="str">
        <f aca="false">IF($A380="","",INDEX(Реестр!$C$2:$C$401,MATCH($A380,Реестр!$W$2:$W$401,0)))</f>
        <v/>
      </c>
      <c r="D380" s="24" t="str">
        <f aca="false">IF($A380="","",INDEX(Реестр!$D$2:$D$401,MATCH($A380,Реестр!$W$2:$W$401,0)))</f>
        <v/>
      </c>
      <c r="E380" s="24" t="str">
        <f aca="false">IF($A380="","",INDEX(Реестр!$E$2:$E$401,MATCH($A380,Реестр!$W$2:$W$401,0)))</f>
        <v/>
      </c>
      <c r="F380" s="24" t="str">
        <f aca="false">IF($A380="","",INDEX(Реестр!$J$2:$J$401,MATCH($A380,Реестр!$W$2:$W$401,0)))</f>
        <v/>
      </c>
      <c r="G380" s="24" t="str">
        <f aca="false">IF($A380="","",INDEX(Реестр!$F$2:$F$401,MATCH($A380,Реестр!$W$2:$W$401,0)))</f>
        <v/>
      </c>
      <c r="H380" s="24" t="str">
        <f aca="false">IF($A380="","",INDEX(Реестр!$G$2:$G$401,MATCH($A380,Реестр!$W$2:$W$401,0)))</f>
        <v/>
      </c>
      <c r="I380" s="24" t="str">
        <f aca="false">IF($A380="","",INDEX(Реестр!$H$2:$H$401,MATCH($A380,Реестр!$W$2:$W$401,0)))</f>
        <v/>
      </c>
      <c r="J380" s="24" t="str">
        <f aca="false">IF($A380="","",INDEX(Реестр!$I$2:$I$401,MATCH($A380,Реестр!$W$2:$W$401,0)))</f>
        <v/>
      </c>
    </row>
    <row r="381" customFormat="false" ht="15" hidden="false" customHeight="false" outlineLevel="0" collapsed="false">
      <c r="A381" s="21" t="str">
        <f aca="false">IF(ROWS(A$5:A381)&lt;=MAX(Реестр!$W$2:$W$401),ROWS(A$5:A381),"")</f>
        <v/>
      </c>
      <c r="B381" s="24" t="str">
        <f aca="false">IF($A381="","",INDEX(Реестр!$B$2:$B$401,MATCH($A381,Реестр!$W$2:$W$401,0)))</f>
        <v/>
      </c>
      <c r="C381" s="24" t="str">
        <f aca="false">IF($A381="","",INDEX(Реестр!$C$2:$C$401,MATCH($A381,Реестр!$W$2:$W$401,0)))</f>
        <v/>
      </c>
      <c r="D381" s="24" t="str">
        <f aca="false">IF($A381="","",INDEX(Реестр!$D$2:$D$401,MATCH($A381,Реестр!$W$2:$W$401,0)))</f>
        <v/>
      </c>
      <c r="E381" s="24" t="str">
        <f aca="false">IF($A381="","",INDEX(Реестр!$E$2:$E$401,MATCH($A381,Реестр!$W$2:$W$401,0)))</f>
        <v/>
      </c>
      <c r="F381" s="24" t="str">
        <f aca="false">IF($A381="","",INDEX(Реестр!$J$2:$J$401,MATCH($A381,Реестр!$W$2:$W$401,0)))</f>
        <v/>
      </c>
      <c r="G381" s="24" t="str">
        <f aca="false">IF($A381="","",INDEX(Реестр!$F$2:$F$401,MATCH($A381,Реестр!$W$2:$W$401,0)))</f>
        <v/>
      </c>
      <c r="H381" s="24" t="str">
        <f aca="false">IF($A381="","",INDEX(Реестр!$G$2:$G$401,MATCH($A381,Реестр!$W$2:$W$401,0)))</f>
        <v/>
      </c>
      <c r="I381" s="24" t="str">
        <f aca="false">IF($A381="","",INDEX(Реестр!$H$2:$H$401,MATCH($A381,Реестр!$W$2:$W$401,0)))</f>
        <v/>
      </c>
      <c r="J381" s="24" t="str">
        <f aca="false">IF($A381="","",INDEX(Реестр!$I$2:$I$401,MATCH($A381,Реестр!$W$2:$W$401,0)))</f>
        <v/>
      </c>
    </row>
    <row r="382" customFormat="false" ht="15" hidden="false" customHeight="false" outlineLevel="0" collapsed="false">
      <c r="A382" s="21" t="str">
        <f aca="false">IF(ROWS(A$5:A382)&lt;=MAX(Реестр!$W$2:$W$401),ROWS(A$5:A382),"")</f>
        <v/>
      </c>
      <c r="B382" s="24" t="str">
        <f aca="false">IF($A382="","",INDEX(Реестр!$B$2:$B$401,MATCH($A382,Реестр!$W$2:$W$401,0)))</f>
        <v/>
      </c>
      <c r="C382" s="24" t="str">
        <f aca="false">IF($A382="","",INDEX(Реестр!$C$2:$C$401,MATCH($A382,Реестр!$W$2:$W$401,0)))</f>
        <v/>
      </c>
      <c r="D382" s="24" t="str">
        <f aca="false">IF($A382="","",INDEX(Реестр!$D$2:$D$401,MATCH($A382,Реестр!$W$2:$W$401,0)))</f>
        <v/>
      </c>
      <c r="E382" s="24" t="str">
        <f aca="false">IF($A382="","",INDEX(Реестр!$E$2:$E$401,MATCH($A382,Реестр!$W$2:$W$401,0)))</f>
        <v/>
      </c>
      <c r="F382" s="24" t="str">
        <f aca="false">IF($A382="","",INDEX(Реестр!$J$2:$J$401,MATCH($A382,Реестр!$W$2:$W$401,0)))</f>
        <v/>
      </c>
      <c r="G382" s="24" t="str">
        <f aca="false">IF($A382="","",INDEX(Реестр!$F$2:$F$401,MATCH($A382,Реестр!$W$2:$W$401,0)))</f>
        <v/>
      </c>
      <c r="H382" s="24" t="str">
        <f aca="false">IF($A382="","",INDEX(Реестр!$G$2:$G$401,MATCH($A382,Реестр!$W$2:$W$401,0)))</f>
        <v/>
      </c>
      <c r="I382" s="24" t="str">
        <f aca="false">IF($A382="","",INDEX(Реестр!$H$2:$H$401,MATCH($A382,Реестр!$W$2:$W$401,0)))</f>
        <v/>
      </c>
      <c r="J382" s="24" t="str">
        <f aca="false">IF($A382="","",INDEX(Реестр!$I$2:$I$401,MATCH($A382,Реестр!$W$2:$W$401,0)))</f>
        <v/>
      </c>
    </row>
    <row r="383" customFormat="false" ht="15" hidden="false" customHeight="false" outlineLevel="0" collapsed="false">
      <c r="A383" s="21" t="str">
        <f aca="false">IF(ROWS(A$5:A383)&lt;=MAX(Реестр!$W$2:$W$401),ROWS(A$5:A383),"")</f>
        <v/>
      </c>
      <c r="B383" s="24" t="str">
        <f aca="false">IF($A383="","",INDEX(Реестр!$B$2:$B$401,MATCH($A383,Реестр!$W$2:$W$401,0)))</f>
        <v/>
      </c>
      <c r="C383" s="24" t="str">
        <f aca="false">IF($A383="","",INDEX(Реестр!$C$2:$C$401,MATCH($A383,Реестр!$W$2:$W$401,0)))</f>
        <v/>
      </c>
      <c r="D383" s="24" t="str">
        <f aca="false">IF($A383="","",INDEX(Реестр!$D$2:$D$401,MATCH($A383,Реестр!$W$2:$W$401,0)))</f>
        <v/>
      </c>
      <c r="E383" s="24" t="str">
        <f aca="false">IF($A383="","",INDEX(Реестр!$E$2:$E$401,MATCH($A383,Реестр!$W$2:$W$401,0)))</f>
        <v/>
      </c>
      <c r="F383" s="24" t="str">
        <f aca="false">IF($A383="","",INDEX(Реестр!$J$2:$J$401,MATCH($A383,Реестр!$W$2:$W$401,0)))</f>
        <v/>
      </c>
      <c r="G383" s="24" t="str">
        <f aca="false">IF($A383="","",INDEX(Реестр!$F$2:$F$401,MATCH($A383,Реестр!$W$2:$W$401,0)))</f>
        <v/>
      </c>
      <c r="H383" s="24" t="str">
        <f aca="false">IF($A383="","",INDEX(Реестр!$G$2:$G$401,MATCH($A383,Реестр!$W$2:$W$401,0)))</f>
        <v/>
      </c>
      <c r="I383" s="24" t="str">
        <f aca="false">IF($A383="","",INDEX(Реестр!$H$2:$H$401,MATCH($A383,Реестр!$W$2:$W$401,0)))</f>
        <v/>
      </c>
      <c r="J383" s="24" t="str">
        <f aca="false">IF($A383="","",INDEX(Реестр!$I$2:$I$401,MATCH($A383,Реестр!$W$2:$W$401,0)))</f>
        <v/>
      </c>
    </row>
    <row r="384" customFormat="false" ht="15" hidden="false" customHeight="false" outlineLevel="0" collapsed="false">
      <c r="A384" s="21" t="str">
        <f aca="false">IF(ROWS(A$5:A384)&lt;=MAX(Реестр!$W$2:$W$401),ROWS(A$5:A384),"")</f>
        <v/>
      </c>
      <c r="B384" s="24" t="str">
        <f aca="false">IF($A384="","",INDEX(Реестр!$B$2:$B$401,MATCH($A384,Реестр!$W$2:$W$401,0)))</f>
        <v/>
      </c>
      <c r="C384" s="24" t="str">
        <f aca="false">IF($A384="","",INDEX(Реестр!$C$2:$C$401,MATCH($A384,Реестр!$W$2:$W$401,0)))</f>
        <v/>
      </c>
      <c r="D384" s="24" t="str">
        <f aca="false">IF($A384="","",INDEX(Реестр!$D$2:$D$401,MATCH($A384,Реестр!$W$2:$W$401,0)))</f>
        <v/>
      </c>
      <c r="E384" s="24" t="str">
        <f aca="false">IF($A384="","",INDEX(Реестр!$E$2:$E$401,MATCH($A384,Реестр!$W$2:$W$401,0)))</f>
        <v/>
      </c>
      <c r="F384" s="24" t="str">
        <f aca="false">IF($A384="","",INDEX(Реестр!$J$2:$J$401,MATCH($A384,Реестр!$W$2:$W$401,0)))</f>
        <v/>
      </c>
      <c r="G384" s="24" t="str">
        <f aca="false">IF($A384="","",INDEX(Реестр!$F$2:$F$401,MATCH($A384,Реестр!$W$2:$W$401,0)))</f>
        <v/>
      </c>
      <c r="H384" s="24" t="str">
        <f aca="false">IF($A384="","",INDEX(Реестр!$G$2:$G$401,MATCH($A384,Реестр!$W$2:$W$401,0)))</f>
        <v/>
      </c>
      <c r="I384" s="24" t="str">
        <f aca="false">IF($A384="","",INDEX(Реестр!$H$2:$H$401,MATCH($A384,Реестр!$W$2:$W$401,0)))</f>
        <v/>
      </c>
      <c r="J384" s="24" t="str">
        <f aca="false">IF($A384="","",INDEX(Реестр!$I$2:$I$401,MATCH($A384,Реестр!$W$2:$W$401,0)))</f>
        <v/>
      </c>
    </row>
    <row r="385" customFormat="false" ht="15" hidden="false" customHeight="false" outlineLevel="0" collapsed="false">
      <c r="A385" s="21" t="str">
        <f aca="false">IF(ROWS(A$5:A385)&lt;=MAX(Реестр!$W$2:$W$401),ROWS(A$5:A385),"")</f>
        <v/>
      </c>
      <c r="B385" s="24" t="str">
        <f aca="false">IF($A385="","",INDEX(Реестр!$B$2:$B$401,MATCH($A385,Реестр!$W$2:$W$401,0)))</f>
        <v/>
      </c>
      <c r="C385" s="24" t="str">
        <f aca="false">IF($A385="","",INDEX(Реестр!$C$2:$C$401,MATCH($A385,Реестр!$W$2:$W$401,0)))</f>
        <v/>
      </c>
      <c r="D385" s="24" t="str">
        <f aca="false">IF($A385="","",INDEX(Реестр!$D$2:$D$401,MATCH($A385,Реестр!$W$2:$W$401,0)))</f>
        <v/>
      </c>
      <c r="E385" s="24" t="str">
        <f aca="false">IF($A385="","",INDEX(Реестр!$E$2:$E$401,MATCH($A385,Реестр!$W$2:$W$401,0)))</f>
        <v/>
      </c>
      <c r="F385" s="24" t="str">
        <f aca="false">IF($A385="","",INDEX(Реестр!$J$2:$J$401,MATCH($A385,Реестр!$W$2:$W$401,0)))</f>
        <v/>
      </c>
      <c r="G385" s="24" t="str">
        <f aca="false">IF($A385="","",INDEX(Реестр!$F$2:$F$401,MATCH($A385,Реестр!$W$2:$W$401,0)))</f>
        <v/>
      </c>
      <c r="H385" s="24" t="str">
        <f aca="false">IF($A385="","",INDEX(Реестр!$G$2:$G$401,MATCH($A385,Реестр!$W$2:$W$401,0)))</f>
        <v/>
      </c>
      <c r="I385" s="24" t="str">
        <f aca="false">IF($A385="","",INDEX(Реестр!$H$2:$H$401,MATCH($A385,Реестр!$W$2:$W$401,0)))</f>
        <v/>
      </c>
      <c r="J385" s="24" t="str">
        <f aca="false">IF($A385="","",INDEX(Реестр!$I$2:$I$401,MATCH($A385,Реестр!$W$2:$W$401,0)))</f>
        <v/>
      </c>
    </row>
    <row r="386" customFormat="false" ht="15" hidden="false" customHeight="false" outlineLevel="0" collapsed="false">
      <c r="A386" s="21" t="str">
        <f aca="false">IF(ROWS(A$5:A386)&lt;=MAX(Реестр!$W$2:$W$401),ROWS(A$5:A386),"")</f>
        <v/>
      </c>
      <c r="B386" s="24" t="str">
        <f aca="false">IF($A386="","",INDEX(Реестр!$B$2:$B$401,MATCH($A386,Реестр!$W$2:$W$401,0)))</f>
        <v/>
      </c>
      <c r="C386" s="24" t="str">
        <f aca="false">IF($A386="","",INDEX(Реестр!$C$2:$C$401,MATCH($A386,Реестр!$W$2:$W$401,0)))</f>
        <v/>
      </c>
      <c r="D386" s="24" t="str">
        <f aca="false">IF($A386="","",INDEX(Реестр!$D$2:$D$401,MATCH($A386,Реестр!$W$2:$W$401,0)))</f>
        <v/>
      </c>
      <c r="E386" s="24" t="str">
        <f aca="false">IF($A386="","",INDEX(Реестр!$E$2:$E$401,MATCH($A386,Реестр!$W$2:$W$401,0)))</f>
        <v/>
      </c>
      <c r="F386" s="24" t="str">
        <f aca="false">IF($A386="","",INDEX(Реестр!$J$2:$J$401,MATCH($A386,Реестр!$W$2:$W$401,0)))</f>
        <v/>
      </c>
      <c r="G386" s="24" t="str">
        <f aca="false">IF($A386="","",INDEX(Реестр!$F$2:$F$401,MATCH($A386,Реестр!$W$2:$W$401,0)))</f>
        <v/>
      </c>
      <c r="H386" s="24" t="str">
        <f aca="false">IF($A386="","",INDEX(Реестр!$G$2:$G$401,MATCH($A386,Реестр!$W$2:$W$401,0)))</f>
        <v/>
      </c>
      <c r="I386" s="24" t="str">
        <f aca="false">IF($A386="","",INDEX(Реестр!$H$2:$H$401,MATCH($A386,Реестр!$W$2:$W$401,0)))</f>
        <v/>
      </c>
      <c r="J386" s="24" t="str">
        <f aca="false">IF($A386="","",INDEX(Реестр!$I$2:$I$401,MATCH($A386,Реестр!$W$2:$W$401,0)))</f>
        <v/>
      </c>
    </row>
    <row r="387" customFormat="false" ht="15" hidden="false" customHeight="false" outlineLevel="0" collapsed="false">
      <c r="A387" s="21" t="str">
        <f aca="false">IF(ROWS(A$5:A387)&lt;=MAX(Реестр!$W$2:$W$401),ROWS(A$5:A387),"")</f>
        <v/>
      </c>
      <c r="B387" s="24" t="str">
        <f aca="false">IF($A387="","",INDEX(Реестр!$B$2:$B$401,MATCH($A387,Реестр!$W$2:$W$401,0)))</f>
        <v/>
      </c>
      <c r="C387" s="24" t="str">
        <f aca="false">IF($A387="","",INDEX(Реестр!$C$2:$C$401,MATCH($A387,Реестр!$W$2:$W$401,0)))</f>
        <v/>
      </c>
      <c r="D387" s="24" t="str">
        <f aca="false">IF($A387="","",INDEX(Реестр!$D$2:$D$401,MATCH($A387,Реестр!$W$2:$W$401,0)))</f>
        <v/>
      </c>
      <c r="E387" s="24" t="str">
        <f aca="false">IF($A387="","",INDEX(Реестр!$E$2:$E$401,MATCH($A387,Реестр!$W$2:$W$401,0)))</f>
        <v/>
      </c>
      <c r="F387" s="24" t="str">
        <f aca="false">IF($A387="","",INDEX(Реестр!$J$2:$J$401,MATCH($A387,Реестр!$W$2:$W$401,0)))</f>
        <v/>
      </c>
      <c r="G387" s="24" t="str">
        <f aca="false">IF($A387="","",INDEX(Реестр!$F$2:$F$401,MATCH($A387,Реестр!$W$2:$W$401,0)))</f>
        <v/>
      </c>
      <c r="H387" s="24" t="str">
        <f aca="false">IF($A387="","",INDEX(Реестр!$G$2:$G$401,MATCH($A387,Реестр!$W$2:$W$401,0)))</f>
        <v/>
      </c>
      <c r="I387" s="24" t="str">
        <f aca="false">IF($A387="","",INDEX(Реестр!$H$2:$H$401,MATCH($A387,Реестр!$W$2:$W$401,0)))</f>
        <v/>
      </c>
      <c r="J387" s="24" t="str">
        <f aca="false">IF($A387="","",INDEX(Реестр!$I$2:$I$401,MATCH($A387,Реестр!$W$2:$W$401,0)))</f>
        <v/>
      </c>
    </row>
    <row r="388" customFormat="false" ht="15" hidden="false" customHeight="false" outlineLevel="0" collapsed="false">
      <c r="A388" s="21" t="str">
        <f aca="false">IF(ROWS(A$5:A388)&lt;=MAX(Реестр!$W$2:$W$401),ROWS(A$5:A388),"")</f>
        <v/>
      </c>
      <c r="B388" s="24" t="str">
        <f aca="false">IF($A388="","",INDEX(Реестр!$B$2:$B$401,MATCH($A388,Реестр!$W$2:$W$401,0)))</f>
        <v/>
      </c>
      <c r="C388" s="24" t="str">
        <f aca="false">IF($A388="","",INDEX(Реестр!$C$2:$C$401,MATCH($A388,Реестр!$W$2:$W$401,0)))</f>
        <v/>
      </c>
      <c r="D388" s="24" t="str">
        <f aca="false">IF($A388="","",INDEX(Реестр!$D$2:$D$401,MATCH($A388,Реестр!$W$2:$W$401,0)))</f>
        <v/>
      </c>
      <c r="E388" s="24" t="str">
        <f aca="false">IF($A388="","",INDEX(Реестр!$E$2:$E$401,MATCH($A388,Реестр!$W$2:$W$401,0)))</f>
        <v/>
      </c>
      <c r="F388" s="24" t="str">
        <f aca="false">IF($A388="","",INDEX(Реестр!$J$2:$J$401,MATCH($A388,Реестр!$W$2:$W$401,0)))</f>
        <v/>
      </c>
      <c r="G388" s="24" t="str">
        <f aca="false">IF($A388="","",INDEX(Реестр!$F$2:$F$401,MATCH($A388,Реестр!$W$2:$W$401,0)))</f>
        <v/>
      </c>
      <c r="H388" s="24" t="str">
        <f aca="false">IF($A388="","",INDEX(Реестр!$G$2:$G$401,MATCH($A388,Реестр!$W$2:$W$401,0)))</f>
        <v/>
      </c>
      <c r="I388" s="24" t="str">
        <f aca="false">IF($A388="","",INDEX(Реестр!$H$2:$H$401,MATCH($A388,Реестр!$W$2:$W$401,0)))</f>
        <v/>
      </c>
      <c r="J388" s="24" t="str">
        <f aca="false">IF($A388="","",INDEX(Реестр!$I$2:$I$401,MATCH($A388,Реестр!$W$2:$W$401,0)))</f>
        <v/>
      </c>
    </row>
    <row r="389" customFormat="false" ht="15" hidden="false" customHeight="false" outlineLevel="0" collapsed="false">
      <c r="A389" s="21" t="str">
        <f aca="false">IF(ROWS(A$5:A389)&lt;=MAX(Реестр!$W$2:$W$401),ROWS(A$5:A389),"")</f>
        <v/>
      </c>
      <c r="B389" s="24" t="str">
        <f aca="false">IF($A389="","",INDEX(Реестр!$B$2:$B$401,MATCH($A389,Реестр!$W$2:$W$401,0)))</f>
        <v/>
      </c>
      <c r="C389" s="24" t="str">
        <f aca="false">IF($A389="","",INDEX(Реестр!$C$2:$C$401,MATCH($A389,Реестр!$W$2:$W$401,0)))</f>
        <v/>
      </c>
      <c r="D389" s="24" t="str">
        <f aca="false">IF($A389="","",INDEX(Реестр!$D$2:$D$401,MATCH($A389,Реестр!$W$2:$W$401,0)))</f>
        <v/>
      </c>
      <c r="E389" s="24" t="str">
        <f aca="false">IF($A389="","",INDEX(Реестр!$E$2:$E$401,MATCH($A389,Реестр!$W$2:$W$401,0)))</f>
        <v/>
      </c>
      <c r="F389" s="24" t="str">
        <f aca="false">IF($A389="","",INDEX(Реестр!$J$2:$J$401,MATCH($A389,Реестр!$W$2:$W$401,0)))</f>
        <v/>
      </c>
      <c r="G389" s="24" t="str">
        <f aca="false">IF($A389="","",INDEX(Реестр!$F$2:$F$401,MATCH($A389,Реестр!$W$2:$W$401,0)))</f>
        <v/>
      </c>
      <c r="H389" s="24" t="str">
        <f aca="false">IF($A389="","",INDEX(Реестр!$G$2:$G$401,MATCH($A389,Реестр!$W$2:$W$401,0)))</f>
        <v/>
      </c>
      <c r="I389" s="24" t="str">
        <f aca="false">IF($A389="","",INDEX(Реестр!$H$2:$H$401,MATCH($A389,Реестр!$W$2:$W$401,0)))</f>
        <v/>
      </c>
      <c r="J389" s="24" t="str">
        <f aca="false">IF($A389="","",INDEX(Реестр!$I$2:$I$401,MATCH($A389,Реестр!$W$2:$W$401,0)))</f>
        <v/>
      </c>
    </row>
    <row r="390" customFormat="false" ht="15" hidden="false" customHeight="false" outlineLevel="0" collapsed="false">
      <c r="A390" s="21" t="str">
        <f aca="false">IF(ROWS(A$5:A390)&lt;=MAX(Реестр!$W$2:$W$401),ROWS(A$5:A390),"")</f>
        <v/>
      </c>
      <c r="B390" s="24" t="str">
        <f aca="false">IF($A390="","",INDEX(Реестр!$B$2:$B$401,MATCH($A390,Реестр!$W$2:$W$401,0)))</f>
        <v/>
      </c>
      <c r="C390" s="24" t="str">
        <f aca="false">IF($A390="","",INDEX(Реестр!$C$2:$C$401,MATCH($A390,Реестр!$W$2:$W$401,0)))</f>
        <v/>
      </c>
      <c r="D390" s="24" t="str">
        <f aca="false">IF($A390="","",INDEX(Реестр!$D$2:$D$401,MATCH($A390,Реестр!$W$2:$W$401,0)))</f>
        <v/>
      </c>
      <c r="E390" s="24" t="str">
        <f aca="false">IF($A390="","",INDEX(Реестр!$E$2:$E$401,MATCH($A390,Реестр!$W$2:$W$401,0)))</f>
        <v/>
      </c>
      <c r="F390" s="24" t="str">
        <f aca="false">IF($A390="","",INDEX(Реестр!$J$2:$J$401,MATCH($A390,Реестр!$W$2:$W$401,0)))</f>
        <v/>
      </c>
      <c r="G390" s="24" t="str">
        <f aca="false">IF($A390="","",INDEX(Реестр!$F$2:$F$401,MATCH($A390,Реестр!$W$2:$W$401,0)))</f>
        <v/>
      </c>
      <c r="H390" s="24" t="str">
        <f aca="false">IF($A390="","",INDEX(Реестр!$G$2:$G$401,MATCH($A390,Реестр!$W$2:$W$401,0)))</f>
        <v/>
      </c>
      <c r="I390" s="24" t="str">
        <f aca="false">IF($A390="","",INDEX(Реестр!$H$2:$H$401,MATCH($A390,Реестр!$W$2:$W$401,0)))</f>
        <v/>
      </c>
      <c r="J390" s="24" t="str">
        <f aca="false">IF($A390="","",INDEX(Реестр!$I$2:$I$401,MATCH($A390,Реестр!$W$2:$W$401,0)))</f>
        <v/>
      </c>
    </row>
    <row r="391" customFormat="false" ht="15" hidden="false" customHeight="false" outlineLevel="0" collapsed="false">
      <c r="A391" s="21" t="str">
        <f aca="false">IF(ROWS(A$5:A391)&lt;=MAX(Реестр!$W$2:$W$401),ROWS(A$5:A391),"")</f>
        <v/>
      </c>
      <c r="B391" s="24" t="str">
        <f aca="false">IF($A391="","",INDEX(Реестр!$B$2:$B$401,MATCH($A391,Реестр!$W$2:$W$401,0)))</f>
        <v/>
      </c>
      <c r="C391" s="24" t="str">
        <f aca="false">IF($A391="","",INDEX(Реестр!$C$2:$C$401,MATCH($A391,Реестр!$W$2:$W$401,0)))</f>
        <v/>
      </c>
      <c r="D391" s="24" t="str">
        <f aca="false">IF($A391="","",INDEX(Реестр!$D$2:$D$401,MATCH($A391,Реестр!$W$2:$W$401,0)))</f>
        <v/>
      </c>
      <c r="E391" s="24" t="str">
        <f aca="false">IF($A391="","",INDEX(Реестр!$E$2:$E$401,MATCH($A391,Реестр!$W$2:$W$401,0)))</f>
        <v/>
      </c>
      <c r="F391" s="24" t="str">
        <f aca="false">IF($A391="","",INDEX(Реестр!$J$2:$J$401,MATCH($A391,Реестр!$W$2:$W$401,0)))</f>
        <v/>
      </c>
      <c r="G391" s="24" t="str">
        <f aca="false">IF($A391="","",INDEX(Реестр!$F$2:$F$401,MATCH($A391,Реестр!$W$2:$W$401,0)))</f>
        <v/>
      </c>
      <c r="H391" s="24" t="str">
        <f aca="false">IF($A391="","",INDEX(Реестр!$G$2:$G$401,MATCH($A391,Реестр!$W$2:$W$401,0)))</f>
        <v/>
      </c>
      <c r="I391" s="24" t="str">
        <f aca="false">IF($A391="","",INDEX(Реестр!$H$2:$H$401,MATCH($A391,Реестр!$W$2:$W$401,0)))</f>
        <v/>
      </c>
      <c r="J391" s="24" t="str">
        <f aca="false">IF($A391="","",INDEX(Реестр!$I$2:$I$401,MATCH($A391,Реестр!$W$2:$W$401,0)))</f>
        <v/>
      </c>
    </row>
    <row r="392" customFormat="false" ht="15" hidden="false" customHeight="false" outlineLevel="0" collapsed="false">
      <c r="A392" s="21" t="str">
        <f aca="false">IF(ROWS(A$5:A392)&lt;=MAX(Реестр!$W$2:$W$401),ROWS(A$5:A392),"")</f>
        <v/>
      </c>
      <c r="B392" s="24" t="str">
        <f aca="false">IF($A392="","",INDEX(Реестр!$B$2:$B$401,MATCH($A392,Реестр!$W$2:$W$401,0)))</f>
        <v/>
      </c>
      <c r="C392" s="24" t="str">
        <f aca="false">IF($A392="","",INDEX(Реестр!$C$2:$C$401,MATCH($A392,Реестр!$W$2:$W$401,0)))</f>
        <v/>
      </c>
      <c r="D392" s="24" t="str">
        <f aca="false">IF($A392="","",INDEX(Реестр!$D$2:$D$401,MATCH($A392,Реестр!$W$2:$W$401,0)))</f>
        <v/>
      </c>
      <c r="E392" s="24" t="str">
        <f aca="false">IF($A392="","",INDEX(Реестр!$E$2:$E$401,MATCH($A392,Реестр!$W$2:$W$401,0)))</f>
        <v/>
      </c>
      <c r="F392" s="24" t="str">
        <f aca="false">IF($A392="","",INDEX(Реестр!$J$2:$J$401,MATCH($A392,Реестр!$W$2:$W$401,0)))</f>
        <v/>
      </c>
      <c r="G392" s="24" t="str">
        <f aca="false">IF($A392="","",INDEX(Реестр!$F$2:$F$401,MATCH($A392,Реестр!$W$2:$W$401,0)))</f>
        <v/>
      </c>
      <c r="H392" s="24" t="str">
        <f aca="false">IF($A392="","",INDEX(Реестр!$G$2:$G$401,MATCH($A392,Реестр!$W$2:$W$401,0)))</f>
        <v/>
      </c>
      <c r="I392" s="24" t="str">
        <f aca="false">IF($A392="","",INDEX(Реестр!$H$2:$H$401,MATCH($A392,Реестр!$W$2:$W$401,0)))</f>
        <v/>
      </c>
      <c r="J392" s="24" t="str">
        <f aca="false">IF($A392="","",INDEX(Реестр!$I$2:$I$401,MATCH($A392,Реестр!$W$2:$W$401,0)))</f>
        <v/>
      </c>
    </row>
    <row r="393" customFormat="false" ht="15" hidden="false" customHeight="false" outlineLevel="0" collapsed="false">
      <c r="A393" s="21" t="str">
        <f aca="false">IF(ROWS(A$5:A393)&lt;=MAX(Реестр!$W$2:$W$401),ROWS(A$5:A393),"")</f>
        <v/>
      </c>
      <c r="B393" s="24" t="str">
        <f aca="false">IF($A393="","",INDEX(Реестр!$B$2:$B$401,MATCH($A393,Реестр!$W$2:$W$401,0)))</f>
        <v/>
      </c>
      <c r="C393" s="24" t="str">
        <f aca="false">IF($A393="","",INDEX(Реестр!$C$2:$C$401,MATCH($A393,Реестр!$W$2:$W$401,0)))</f>
        <v/>
      </c>
      <c r="D393" s="24" t="str">
        <f aca="false">IF($A393="","",INDEX(Реестр!$D$2:$D$401,MATCH($A393,Реестр!$W$2:$W$401,0)))</f>
        <v/>
      </c>
      <c r="E393" s="24" t="str">
        <f aca="false">IF($A393="","",INDEX(Реестр!$E$2:$E$401,MATCH($A393,Реестр!$W$2:$W$401,0)))</f>
        <v/>
      </c>
      <c r="F393" s="24" t="str">
        <f aca="false">IF($A393="","",INDEX(Реестр!$J$2:$J$401,MATCH($A393,Реестр!$W$2:$W$401,0)))</f>
        <v/>
      </c>
      <c r="G393" s="24" t="str">
        <f aca="false">IF($A393="","",INDEX(Реестр!$F$2:$F$401,MATCH($A393,Реестр!$W$2:$W$401,0)))</f>
        <v/>
      </c>
      <c r="H393" s="24" t="str">
        <f aca="false">IF($A393="","",INDEX(Реестр!$G$2:$G$401,MATCH($A393,Реестр!$W$2:$W$401,0)))</f>
        <v/>
      </c>
      <c r="I393" s="24" t="str">
        <f aca="false">IF($A393="","",INDEX(Реестр!$H$2:$H$401,MATCH($A393,Реестр!$W$2:$W$401,0)))</f>
        <v/>
      </c>
      <c r="J393" s="24" t="str">
        <f aca="false">IF($A393="","",INDEX(Реестр!$I$2:$I$401,MATCH($A393,Реестр!$W$2:$W$401,0)))</f>
        <v/>
      </c>
    </row>
    <row r="394" customFormat="false" ht="15" hidden="false" customHeight="false" outlineLevel="0" collapsed="false">
      <c r="A394" s="21" t="str">
        <f aca="false">IF(ROWS(A$5:A394)&lt;=MAX(Реестр!$W$2:$W$401),ROWS(A$5:A394),"")</f>
        <v/>
      </c>
      <c r="B394" s="24" t="str">
        <f aca="false">IF($A394="","",INDEX(Реестр!$B$2:$B$401,MATCH($A394,Реестр!$W$2:$W$401,0)))</f>
        <v/>
      </c>
      <c r="C394" s="24" t="str">
        <f aca="false">IF($A394="","",INDEX(Реестр!$C$2:$C$401,MATCH($A394,Реестр!$W$2:$W$401,0)))</f>
        <v/>
      </c>
      <c r="D394" s="24" t="str">
        <f aca="false">IF($A394="","",INDEX(Реестр!$D$2:$D$401,MATCH($A394,Реестр!$W$2:$W$401,0)))</f>
        <v/>
      </c>
      <c r="E394" s="24" t="str">
        <f aca="false">IF($A394="","",INDEX(Реестр!$E$2:$E$401,MATCH($A394,Реестр!$W$2:$W$401,0)))</f>
        <v/>
      </c>
      <c r="F394" s="24" t="str">
        <f aca="false">IF($A394="","",INDEX(Реестр!$J$2:$J$401,MATCH($A394,Реестр!$W$2:$W$401,0)))</f>
        <v/>
      </c>
      <c r="G394" s="24" t="str">
        <f aca="false">IF($A394="","",INDEX(Реестр!$F$2:$F$401,MATCH($A394,Реестр!$W$2:$W$401,0)))</f>
        <v/>
      </c>
      <c r="H394" s="24" t="str">
        <f aca="false">IF($A394="","",INDEX(Реестр!$G$2:$G$401,MATCH($A394,Реестр!$W$2:$W$401,0)))</f>
        <v/>
      </c>
      <c r="I394" s="24" t="str">
        <f aca="false">IF($A394="","",INDEX(Реестр!$H$2:$H$401,MATCH($A394,Реестр!$W$2:$W$401,0)))</f>
        <v/>
      </c>
      <c r="J394" s="24" t="str">
        <f aca="false">IF($A394="","",INDEX(Реестр!$I$2:$I$401,MATCH($A394,Реестр!$W$2:$W$401,0)))</f>
        <v/>
      </c>
    </row>
    <row r="395" customFormat="false" ht="15" hidden="false" customHeight="false" outlineLevel="0" collapsed="false">
      <c r="A395" s="21" t="str">
        <f aca="false">IF(ROWS(A$5:A395)&lt;=MAX(Реестр!$W$2:$W$401),ROWS(A$5:A395),"")</f>
        <v/>
      </c>
      <c r="B395" s="24" t="str">
        <f aca="false">IF($A395="","",INDEX(Реестр!$B$2:$B$401,MATCH($A395,Реестр!$W$2:$W$401,0)))</f>
        <v/>
      </c>
      <c r="C395" s="24" t="str">
        <f aca="false">IF($A395="","",INDEX(Реестр!$C$2:$C$401,MATCH($A395,Реестр!$W$2:$W$401,0)))</f>
        <v/>
      </c>
      <c r="D395" s="24" t="str">
        <f aca="false">IF($A395="","",INDEX(Реестр!$D$2:$D$401,MATCH($A395,Реестр!$W$2:$W$401,0)))</f>
        <v/>
      </c>
      <c r="E395" s="24" t="str">
        <f aca="false">IF($A395="","",INDEX(Реестр!$E$2:$E$401,MATCH($A395,Реестр!$W$2:$W$401,0)))</f>
        <v/>
      </c>
      <c r="F395" s="24" t="str">
        <f aca="false">IF($A395="","",INDEX(Реестр!$J$2:$J$401,MATCH($A395,Реестр!$W$2:$W$401,0)))</f>
        <v/>
      </c>
      <c r="G395" s="24" t="str">
        <f aca="false">IF($A395="","",INDEX(Реестр!$F$2:$F$401,MATCH($A395,Реестр!$W$2:$W$401,0)))</f>
        <v/>
      </c>
      <c r="H395" s="24" t="str">
        <f aca="false">IF($A395="","",INDEX(Реестр!$G$2:$G$401,MATCH($A395,Реестр!$W$2:$W$401,0)))</f>
        <v/>
      </c>
      <c r="I395" s="24" t="str">
        <f aca="false">IF($A395="","",INDEX(Реестр!$H$2:$H$401,MATCH($A395,Реестр!$W$2:$W$401,0)))</f>
        <v/>
      </c>
      <c r="J395" s="24" t="str">
        <f aca="false">IF($A395="","",INDEX(Реестр!$I$2:$I$401,MATCH($A395,Реестр!$W$2:$W$401,0)))</f>
        <v/>
      </c>
    </row>
    <row r="396" customFormat="false" ht="15" hidden="false" customHeight="false" outlineLevel="0" collapsed="false">
      <c r="A396" s="21" t="str">
        <f aca="false">IF(ROWS(A$5:A396)&lt;=MAX(Реестр!$W$2:$W$401),ROWS(A$5:A396),"")</f>
        <v/>
      </c>
      <c r="B396" s="24" t="str">
        <f aca="false">IF($A396="","",INDEX(Реестр!$B$2:$B$401,MATCH($A396,Реестр!$W$2:$W$401,0)))</f>
        <v/>
      </c>
      <c r="C396" s="24" t="str">
        <f aca="false">IF($A396="","",INDEX(Реестр!$C$2:$C$401,MATCH($A396,Реестр!$W$2:$W$401,0)))</f>
        <v/>
      </c>
      <c r="D396" s="24" t="str">
        <f aca="false">IF($A396="","",INDEX(Реестр!$D$2:$D$401,MATCH($A396,Реестр!$W$2:$W$401,0)))</f>
        <v/>
      </c>
      <c r="E396" s="24" t="str">
        <f aca="false">IF($A396="","",INDEX(Реестр!$E$2:$E$401,MATCH($A396,Реестр!$W$2:$W$401,0)))</f>
        <v/>
      </c>
      <c r="F396" s="24" t="str">
        <f aca="false">IF($A396="","",INDEX(Реестр!$J$2:$J$401,MATCH($A396,Реестр!$W$2:$W$401,0)))</f>
        <v/>
      </c>
      <c r="G396" s="24" t="str">
        <f aca="false">IF($A396="","",INDEX(Реестр!$F$2:$F$401,MATCH($A396,Реестр!$W$2:$W$401,0)))</f>
        <v/>
      </c>
      <c r="H396" s="24" t="str">
        <f aca="false">IF($A396="","",INDEX(Реестр!$G$2:$G$401,MATCH($A396,Реестр!$W$2:$W$401,0)))</f>
        <v/>
      </c>
      <c r="I396" s="24" t="str">
        <f aca="false">IF($A396="","",INDEX(Реестр!$H$2:$H$401,MATCH($A396,Реестр!$W$2:$W$401,0)))</f>
        <v/>
      </c>
      <c r="J396" s="24" t="str">
        <f aca="false">IF($A396="","",INDEX(Реестр!$I$2:$I$401,MATCH($A396,Реестр!$W$2:$W$401,0)))</f>
        <v/>
      </c>
    </row>
    <row r="397" customFormat="false" ht="15" hidden="false" customHeight="false" outlineLevel="0" collapsed="false">
      <c r="A397" s="21" t="str">
        <f aca="false">IF(ROWS(A$5:A397)&lt;=MAX(Реестр!$W$2:$W$401),ROWS(A$5:A397),"")</f>
        <v/>
      </c>
      <c r="B397" s="24" t="str">
        <f aca="false">IF($A397="","",INDEX(Реестр!$B$2:$B$401,MATCH($A397,Реестр!$W$2:$W$401,0)))</f>
        <v/>
      </c>
      <c r="C397" s="24" t="str">
        <f aca="false">IF($A397="","",INDEX(Реестр!$C$2:$C$401,MATCH($A397,Реестр!$W$2:$W$401,0)))</f>
        <v/>
      </c>
      <c r="D397" s="24" t="str">
        <f aca="false">IF($A397="","",INDEX(Реестр!$D$2:$D$401,MATCH($A397,Реестр!$W$2:$W$401,0)))</f>
        <v/>
      </c>
      <c r="E397" s="24" t="str">
        <f aca="false">IF($A397="","",INDEX(Реестр!$E$2:$E$401,MATCH($A397,Реестр!$W$2:$W$401,0)))</f>
        <v/>
      </c>
      <c r="F397" s="24" t="str">
        <f aca="false">IF($A397="","",INDEX(Реестр!$J$2:$J$401,MATCH($A397,Реестр!$W$2:$W$401,0)))</f>
        <v/>
      </c>
      <c r="G397" s="24" t="str">
        <f aca="false">IF($A397="","",INDEX(Реестр!$F$2:$F$401,MATCH($A397,Реестр!$W$2:$W$401,0)))</f>
        <v/>
      </c>
      <c r="H397" s="24" t="str">
        <f aca="false">IF($A397="","",INDEX(Реестр!$G$2:$G$401,MATCH($A397,Реестр!$W$2:$W$401,0)))</f>
        <v/>
      </c>
      <c r="I397" s="24" t="str">
        <f aca="false">IF($A397="","",INDEX(Реестр!$H$2:$H$401,MATCH($A397,Реестр!$W$2:$W$401,0)))</f>
        <v/>
      </c>
      <c r="J397" s="24" t="str">
        <f aca="false">IF($A397="","",INDEX(Реестр!$I$2:$I$401,MATCH($A397,Реестр!$W$2:$W$401,0)))</f>
        <v/>
      </c>
    </row>
    <row r="398" customFormat="false" ht="15" hidden="false" customHeight="false" outlineLevel="0" collapsed="false">
      <c r="A398" s="21" t="str">
        <f aca="false">IF(ROWS(A$5:A398)&lt;=MAX(Реестр!$W$2:$W$401),ROWS(A$5:A398),"")</f>
        <v/>
      </c>
      <c r="B398" s="24" t="str">
        <f aca="false">IF($A398="","",INDEX(Реестр!$B$2:$B$401,MATCH($A398,Реестр!$W$2:$W$401,0)))</f>
        <v/>
      </c>
      <c r="C398" s="24" t="str">
        <f aca="false">IF($A398="","",INDEX(Реестр!$C$2:$C$401,MATCH($A398,Реестр!$W$2:$W$401,0)))</f>
        <v/>
      </c>
      <c r="D398" s="24" t="str">
        <f aca="false">IF($A398="","",INDEX(Реестр!$D$2:$D$401,MATCH($A398,Реестр!$W$2:$W$401,0)))</f>
        <v/>
      </c>
      <c r="E398" s="24" t="str">
        <f aca="false">IF($A398="","",INDEX(Реестр!$E$2:$E$401,MATCH($A398,Реестр!$W$2:$W$401,0)))</f>
        <v/>
      </c>
      <c r="F398" s="24" t="str">
        <f aca="false">IF($A398="","",INDEX(Реестр!$J$2:$J$401,MATCH($A398,Реестр!$W$2:$W$401,0)))</f>
        <v/>
      </c>
      <c r="G398" s="24" t="str">
        <f aca="false">IF($A398="","",INDEX(Реестр!$F$2:$F$401,MATCH($A398,Реестр!$W$2:$W$401,0)))</f>
        <v/>
      </c>
      <c r="H398" s="24" t="str">
        <f aca="false">IF($A398="","",INDEX(Реестр!$G$2:$G$401,MATCH($A398,Реестр!$W$2:$W$401,0)))</f>
        <v/>
      </c>
      <c r="I398" s="24" t="str">
        <f aca="false">IF($A398="","",INDEX(Реестр!$H$2:$H$401,MATCH($A398,Реестр!$W$2:$W$401,0)))</f>
        <v/>
      </c>
      <c r="J398" s="24" t="str">
        <f aca="false">IF($A398="","",INDEX(Реестр!$I$2:$I$401,MATCH($A398,Реестр!$W$2:$W$401,0)))</f>
        <v/>
      </c>
    </row>
    <row r="399" customFormat="false" ht="15" hidden="false" customHeight="false" outlineLevel="0" collapsed="false">
      <c r="A399" s="21" t="str">
        <f aca="false">IF(ROWS(A$5:A399)&lt;=MAX(Реестр!$W$2:$W$401),ROWS(A$5:A399),"")</f>
        <v/>
      </c>
      <c r="B399" s="24" t="str">
        <f aca="false">IF($A399="","",INDEX(Реестр!$B$2:$B$401,MATCH($A399,Реестр!$W$2:$W$401,0)))</f>
        <v/>
      </c>
      <c r="C399" s="24" t="str">
        <f aca="false">IF($A399="","",INDEX(Реестр!$C$2:$C$401,MATCH($A399,Реестр!$W$2:$W$401,0)))</f>
        <v/>
      </c>
      <c r="D399" s="24" t="str">
        <f aca="false">IF($A399="","",INDEX(Реестр!$D$2:$D$401,MATCH($A399,Реестр!$W$2:$W$401,0)))</f>
        <v/>
      </c>
      <c r="E399" s="24" t="str">
        <f aca="false">IF($A399="","",INDEX(Реестр!$E$2:$E$401,MATCH($A399,Реестр!$W$2:$W$401,0)))</f>
        <v/>
      </c>
      <c r="F399" s="24" t="str">
        <f aca="false">IF($A399="","",INDEX(Реестр!$J$2:$J$401,MATCH($A399,Реестр!$W$2:$W$401,0)))</f>
        <v/>
      </c>
      <c r="G399" s="24" t="str">
        <f aca="false">IF($A399="","",INDEX(Реестр!$F$2:$F$401,MATCH($A399,Реестр!$W$2:$W$401,0)))</f>
        <v/>
      </c>
      <c r="H399" s="24" t="str">
        <f aca="false">IF($A399="","",INDEX(Реестр!$G$2:$G$401,MATCH($A399,Реестр!$W$2:$W$401,0)))</f>
        <v/>
      </c>
      <c r="I399" s="24" t="str">
        <f aca="false">IF($A399="","",INDEX(Реестр!$H$2:$H$401,MATCH($A399,Реестр!$W$2:$W$401,0)))</f>
        <v/>
      </c>
      <c r="J399" s="24" t="str">
        <f aca="false">IF($A399="","",INDEX(Реестр!$I$2:$I$401,MATCH($A399,Реестр!$W$2:$W$401,0)))</f>
        <v/>
      </c>
    </row>
    <row r="400" customFormat="false" ht="15" hidden="false" customHeight="false" outlineLevel="0" collapsed="false">
      <c r="A400" s="21" t="str">
        <f aca="false">IF(ROWS(A$5:A400)&lt;=MAX(Реестр!$W$2:$W$401),ROWS(A$5:A400),"")</f>
        <v/>
      </c>
      <c r="B400" s="24" t="str">
        <f aca="false">IF($A400="","",INDEX(Реестр!$B$2:$B$401,MATCH($A400,Реестр!$W$2:$W$401,0)))</f>
        <v/>
      </c>
      <c r="C400" s="24" t="str">
        <f aca="false">IF($A400="","",INDEX(Реестр!$C$2:$C$401,MATCH($A400,Реестр!$W$2:$W$401,0)))</f>
        <v/>
      </c>
      <c r="D400" s="24" t="str">
        <f aca="false">IF($A400="","",INDEX(Реестр!$D$2:$D$401,MATCH($A400,Реестр!$W$2:$W$401,0)))</f>
        <v/>
      </c>
      <c r="E400" s="24" t="str">
        <f aca="false">IF($A400="","",INDEX(Реестр!$E$2:$E$401,MATCH($A400,Реестр!$W$2:$W$401,0)))</f>
        <v/>
      </c>
      <c r="F400" s="24" t="str">
        <f aca="false">IF($A400="","",INDEX(Реестр!$J$2:$J$401,MATCH($A400,Реестр!$W$2:$W$401,0)))</f>
        <v/>
      </c>
      <c r="G400" s="24" t="str">
        <f aca="false">IF($A400="","",INDEX(Реестр!$F$2:$F$401,MATCH($A400,Реестр!$W$2:$W$401,0)))</f>
        <v/>
      </c>
      <c r="H400" s="24" t="str">
        <f aca="false">IF($A400="","",INDEX(Реестр!$G$2:$G$401,MATCH($A400,Реестр!$W$2:$W$401,0)))</f>
        <v/>
      </c>
      <c r="I400" s="24" t="str">
        <f aca="false">IF($A400="","",INDEX(Реестр!$H$2:$H$401,MATCH($A400,Реестр!$W$2:$W$401,0)))</f>
        <v/>
      </c>
      <c r="J400" s="24" t="str">
        <f aca="false">IF($A400="","",INDEX(Реестр!$I$2:$I$401,MATCH($A400,Реестр!$W$2:$W$401,0)))</f>
        <v/>
      </c>
    </row>
    <row r="401" customFormat="false" ht="15" hidden="false" customHeight="false" outlineLevel="0" collapsed="false">
      <c r="A401" s="21" t="str">
        <f aca="false">IF(ROWS(A$5:A401)&lt;=MAX(Реестр!$W$2:$W$401),ROWS(A$5:A401),"")</f>
        <v/>
      </c>
      <c r="B401" s="24" t="str">
        <f aca="false">IF($A401="","",INDEX(Реестр!$B$2:$B$401,MATCH($A401,Реестр!$W$2:$W$401,0)))</f>
        <v/>
      </c>
      <c r="C401" s="24" t="str">
        <f aca="false">IF($A401="","",INDEX(Реестр!$C$2:$C$401,MATCH($A401,Реестр!$W$2:$W$401,0)))</f>
        <v/>
      </c>
      <c r="D401" s="24" t="str">
        <f aca="false">IF($A401="","",INDEX(Реестр!$D$2:$D$401,MATCH($A401,Реестр!$W$2:$W$401,0)))</f>
        <v/>
      </c>
      <c r="E401" s="24" t="str">
        <f aca="false">IF($A401="","",INDEX(Реестр!$E$2:$E$401,MATCH($A401,Реестр!$W$2:$W$401,0)))</f>
        <v/>
      </c>
      <c r="F401" s="24" t="str">
        <f aca="false">IF($A401="","",INDEX(Реестр!$J$2:$J$401,MATCH($A401,Реестр!$W$2:$W$401,0)))</f>
        <v/>
      </c>
      <c r="G401" s="24" t="str">
        <f aca="false">IF($A401="","",INDEX(Реестр!$F$2:$F$401,MATCH($A401,Реестр!$W$2:$W$401,0)))</f>
        <v/>
      </c>
      <c r="H401" s="24" t="str">
        <f aca="false">IF($A401="","",INDEX(Реестр!$G$2:$G$401,MATCH($A401,Реестр!$W$2:$W$401,0)))</f>
        <v/>
      </c>
      <c r="I401" s="24" t="str">
        <f aca="false">IF($A401="","",INDEX(Реестр!$H$2:$H$401,MATCH($A401,Реестр!$W$2:$W$401,0)))</f>
        <v/>
      </c>
      <c r="J401" s="24" t="str">
        <f aca="false">IF($A401="","",INDEX(Реестр!$I$2:$I$401,MATCH($A401,Реестр!$W$2:$W$401,0)))</f>
        <v/>
      </c>
    </row>
    <row r="402" customFormat="false" ht="15" hidden="false" customHeight="false" outlineLevel="0" collapsed="false">
      <c r="A402" s="21" t="str">
        <f aca="false">IF(ROWS(A$5:A402)&lt;=MAX(Реестр!$W$2:$W$401),ROWS(A$5:A402),"")</f>
        <v/>
      </c>
      <c r="B402" s="24" t="str">
        <f aca="false">IF($A402="","",INDEX(Реестр!$B$2:$B$401,MATCH($A402,Реестр!$W$2:$W$401,0)))</f>
        <v/>
      </c>
      <c r="C402" s="24" t="str">
        <f aca="false">IF($A402="","",INDEX(Реестр!$C$2:$C$401,MATCH($A402,Реестр!$W$2:$W$401,0)))</f>
        <v/>
      </c>
      <c r="D402" s="24" t="str">
        <f aca="false">IF($A402="","",INDEX(Реестр!$D$2:$D$401,MATCH($A402,Реестр!$W$2:$W$401,0)))</f>
        <v/>
      </c>
      <c r="E402" s="24" t="str">
        <f aca="false">IF($A402="","",INDEX(Реестр!$E$2:$E$401,MATCH($A402,Реестр!$W$2:$W$401,0)))</f>
        <v/>
      </c>
      <c r="F402" s="24" t="str">
        <f aca="false">IF($A402="","",INDEX(Реестр!$J$2:$J$401,MATCH($A402,Реестр!$W$2:$W$401,0)))</f>
        <v/>
      </c>
      <c r="G402" s="24" t="str">
        <f aca="false">IF($A402="","",INDEX(Реестр!$F$2:$F$401,MATCH($A402,Реестр!$W$2:$W$401,0)))</f>
        <v/>
      </c>
      <c r="H402" s="24" t="str">
        <f aca="false">IF($A402="","",INDEX(Реестр!$G$2:$G$401,MATCH($A402,Реестр!$W$2:$W$401,0)))</f>
        <v/>
      </c>
      <c r="I402" s="24" t="str">
        <f aca="false">IF($A402="","",INDEX(Реестр!$H$2:$H$401,MATCH($A402,Реестр!$W$2:$W$401,0)))</f>
        <v/>
      </c>
      <c r="J402" s="24" t="str">
        <f aca="false">IF($A402="","",INDEX(Реестр!$I$2:$I$401,MATCH($A402,Реестр!$W$2:$W$401,0)))</f>
        <v/>
      </c>
    </row>
    <row r="403" customFormat="false" ht="15" hidden="false" customHeight="false" outlineLevel="0" collapsed="false">
      <c r="A403" s="21" t="str">
        <f aca="false">IF(ROWS(A$5:A403)&lt;=MAX(Реестр!$W$2:$W$401),ROWS(A$5:A403),"")</f>
        <v/>
      </c>
      <c r="B403" s="24" t="str">
        <f aca="false">IF($A403="","",INDEX(Реестр!$B$2:$B$401,MATCH($A403,Реестр!$W$2:$W$401,0)))</f>
        <v/>
      </c>
      <c r="C403" s="24" t="str">
        <f aca="false">IF($A403="","",INDEX(Реестр!$C$2:$C$401,MATCH($A403,Реестр!$W$2:$W$401,0)))</f>
        <v/>
      </c>
      <c r="D403" s="24" t="str">
        <f aca="false">IF($A403="","",INDEX(Реестр!$D$2:$D$401,MATCH($A403,Реестр!$W$2:$W$401,0)))</f>
        <v/>
      </c>
      <c r="E403" s="24" t="str">
        <f aca="false">IF($A403="","",INDEX(Реестр!$E$2:$E$401,MATCH($A403,Реестр!$W$2:$W$401,0)))</f>
        <v/>
      </c>
      <c r="F403" s="24" t="str">
        <f aca="false">IF($A403="","",INDEX(Реестр!$J$2:$J$401,MATCH($A403,Реестр!$W$2:$W$401,0)))</f>
        <v/>
      </c>
      <c r="G403" s="24" t="str">
        <f aca="false">IF($A403="","",INDEX(Реестр!$F$2:$F$401,MATCH($A403,Реестр!$W$2:$W$401,0)))</f>
        <v/>
      </c>
      <c r="H403" s="24" t="str">
        <f aca="false">IF($A403="","",INDEX(Реестр!$G$2:$G$401,MATCH($A403,Реестр!$W$2:$W$401,0)))</f>
        <v/>
      </c>
      <c r="I403" s="24" t="str">
        <f aca="false">IF($A403="","",INDEX(Реестр!$H$2:$H$401,MATCH($A403,Реестр!$W$2:$W$401,0)))</f>
        <v/>
      </c>
      <c r="J403" s="24" t="str">
        <f aca="false">IF($A403="","",INDEX(Реестр!$I$2:$I$401,MATCH($A403,Реестр!$W$2:$W$401,0)))</f>
        <v/>
      </c>
    </row>
    <row r="404" customFormat="false" ht="15" hidden="false" customHeight="false" outlineLevel="0" collapsed="false">
      <c r="A404" s="21" t="str">
        <f aca="false">IF(ROWS(A$5:A404)&lt;=MAX(Реестр!$W$2:$W$401),ROWS(A$5:A404),"")</f>
        <v/>
      </c>
      <c r="B404" s="24" t="str">
        <f aca="false">IF($A404="","",INDEX(Реестр!$B$2:$B$401,MATCH($A404,Реестр!$W$2:$W$401,0)))</f>
        <v/>
      </c>
      <c r="C404" s="24" t="str">
        <f aca="false">IF($A404="","",INDEX(Реестр!$C$2:$C$401,MATCH($A404,Реестр!$W$2:$W$401,0)))</f>
        <v/>
      </c>
      <c r="D404" s="24" t="str">
        <f aca="false">IF($A404="","",INDEX(Реестр!$D$2:$D$401,MATCH($A404,Реестр!$W$2:$W$401,0)))</f>
        <v/>
      </c>
      <c r="E404" s="24" t="str">
        <f aca="false">IF($A404="","",INDEX(Реестр!$E$2:$E$401,MATCH($A404,Реестр!$W$2:$W$401,0)))</f>
        <v/>
      </c>
      <c r="F404" s="24" t="str">
        <f aca="false">IF($A404="","",INDEX(Реестр!$J$2:$J$401,MATCH($A404,Реестр!$W$2:$W$401,0)))</f>
        <v/>
      </c>
      <c r="G404" s="24" t="str">
        <f aca="false">IF($A404="","",INDEX(Реестр!$F$2:$F$401,MATCH($A404,Реестр!$W$2:$W$401,0)))</f>
        <v/>
      </c>
      <c r="H404" s="24" t="str">
        <f aca="false">IF($A404="","",INDEX(Реестр!$G$2:$G$401,MATCH($A404,Реестр!$W$2:$W$401,0)))</f>
        <v/>
      </c>
      <c r="I404" s="24" t="str">
        <f aca="false">IF($A404="","",INDEX(Реестр!$H$2:$H$401,MATCH($A404,Реестр!$W$2:$W$401,0)))</f>
        <v/>
      </c>
      <c r="J404" s="24" t="str">
        <f aca="false">IF($A404="","",INDEX(Реестр!$I$2:$I$401,MATCH($A404,Реестр!$W$2:$W$401,0)))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30"/>
    <col collapsed="false" customWidth="true" hidden="false" outlineLevel="0" max="4" min="4" style="0" width="80"/>
  </cols>
  <sheetData>
    <row r="1" customFormat="false" ht="33.75" hidden="false" customHeight="true" outlineLevel="0" collapsed="false">
      <c r="A1" s="8" t="s">
        <v>3220</v>
      </c>
      <c r="B1" s="8" t="s">
        <v>41</v>
      </c>
      <c r="D1" s="26" t="s">
        <v>3221</v>
      </c>
    </row>
    <row r="2" customFormat="false" ht="15" hidden="false" customHeight="false" outlineLevel="0" collapsed="false">
      <c r="A2" s="27" t="n">
        <v>77</v>
      </c>
      <c r="B2" s="9" t="s">
        <v>3222</v>
      </c>
    </row>
    <row r="3" customFormat="false" ht="15" hidden="false" customHeight="false" outlineLevel="0" collapsed="false">
      <c r="A3" s="27" t="n">
        <v>78</v>
      </c>
      <c r="B3" s="9" t="s">
        <v>3223</v>
      </c>
    </row>
    <row r="4" customFormat="false" ht="15" hidden="false" customHeight="false" outlineLevel="0" collapsed="false">
      <c r="A4" s="27" t="n">
        <v>92</v>
      </c>
      <c r="B4" s="9" t="s">
        <v>3224</v>
      </c>
    </row>
    <row r="5" customFormat="false" ht="15" hidden="false" customHeight="false" outlineLevel="0" collapsed="false">
      <c r="A5" s="27" t="n">
        <v>91</v>
      </c>
      <c r="B5" s="9" t="s">
        <v>3225</v>
      </c>
    </row>
    <row r="6" customFormat="false" ht="15" hidden="false" customHeight="false" outlineLevel="0" collapsed="false">
      <c r="A6" s="27" t="n">
        <v>50</v>
      </c>
      <c r="B6" s="9" t="s">
        <v>3226</v>
      </c>
    </row>
    <row r="7" customFormat="false" ht="15" hidden="false" customHeight="false" outlineLevel="0" collapsed="false">
      <c r="A7" s="27" t="n">
        <v>23</v>
      </c>
      <c r="B7" s="9" t="s">
        <v>3227</v>
      </c>
    </row>
    <row r="8" customFormat="false" ht="15" hidden="false" customHeight="false" outlineLevel="0" collapsed="false">
      <c r="A8" s="27" t="n">
        <v>16</v>
      </c>
      <c r="B8" s="9" t="s">
        <v>3228</v>
      </c>
    </row>
    <row r="9" customFormat="false" ht="15" hidden="false" customHeight="false" outlineLevel="0" collapsed="false">
      <c r="A9" s="27" t="n">
        <v>66</v>
      </c>
      <c r="B9" s="9" t="s">
        <v>3229</v>
      </c>
    </row>
    <row r="10" customFormat="false" ht="15" hidden="false" customHeight="false" outlineLevel="0" collapsed="false">
      <c r="A10" s="27" t="n">
        <v>54</v>
      </c>
      <c r="B10" s="9" t="s">
        <v>3230</v>
      </c>
    </row>
    <row r="11" customFormat="false" ht="15" hidden="false" customHeight="false" outlineLevel="0" collapsed="false">
      <c r="A11" s="27" t="n">
        <v>52</v>
      </c>
      <c r="B11" s="9" t="s">
        <v>3231</v>
      </c>
    </row>
    <row r="12" customFormat="false" ht="15" hidden="false" customHeight="false" outlineLevel="0" collapsed="false">
      <c r="A12" s="27" t="n">
        <v>61</v>
      </c>
      <c r="B12" s="9" t="s">
        <v>3232</v>
      </c>
    </row>
    <row r="13" customFormat="false" ht="15" hidden="false" customHeight="false" outlineLevel="0" collapsed="false">
      <c r="A13" s="27" t="n">
        <v>2</v>
      </c>
      <c r="B13" s="9" t="s">
        <v>3233</v>
      </c>
    </row>
    <row r="14" customFormat="false" ht="15" hidden="false" customHeight="false" outlineLevel="0" collapsed="false">
      <c r="A14" s="27" t="n">
        <v>63</v>
      </c>
      <c r="B14" s="9" t="s">
        <v>3234</v>
      </c>
    </row>
    <row r="15" customFormat="false" ht="15" hidden="false" customHeight="false" outlineLevel="0" collapsed="false">
      <c r="A15" s="27" t="n">
        <v>74</v>
      </c>
      <c r="B15" s="9" t="s">
        <v>3235</v>
      </c>
    </row>
    <row r="16" customFormat="false" ht="15" hidden="false" customHeight="false" outlineLevel="0" collapsed="false">
      <c r="A16" s="27" t="n">
        <v>24</v>
      </c>
      <c r="B16" s="9" t="s">
        <v>3236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2026-10-09T15:34:10Z</dcterms:created>
  <dc:creator>openpyxl</dc:creator>
  <dc:description/>
  <dc:language>en-US</dc:language>
  <cp:lastModifiedBy/>
  <dcterms:modified xsi:type="dcterms:W3CDTF">2026-10-09T15:34:14Z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